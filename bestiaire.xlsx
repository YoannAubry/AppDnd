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euille1" sheetId="1" state="visible" r:id="rId3"/>
  </sheets>
  <externalReferences>
    <externalReference r:id="rId4"/>
  </externalReferenc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<sst xmlns="http://schemas.openxmlformats.org/spreadsheetml/2006/main" count="7118" uniqueCount="2814">
  <si>
    <t xml:space="preserve">Nom</t>
  </si>
  <si>
    <t xml:space="preserve">Type</t>
  </si>
  <si>
    <t xml:space="preserve">Alignement</t>
  </si>
  <si>
    <t xml:space="preserve">Dangerosité</t>
  </si>
  <si>
    <t xml:space="preserve">XP</t>
  </si>
  <si>
    <t xml:space="preserve">Taille</t>
  </si>
  <si>
    <t xml:space="preserve">CA</t>
  </si>
  <si>
    <t xml:space="preserve">PV</t>
  </si>
  <si>
    <t xml:space="preserve">Vitesse</t>
  </si>
  <si>
    <t xml:space="preserve">FOR</t>
  </si>
  <si>
    <t xml:space="preserve">Colonne1</t>
  </si>
  <si>
    <t xml:space="preserve">DEX</t>
  </si>
  <si>
    <t xml:space="preserve">Colonne2</t>
  </si>
  <si>
    <t xml:space="preserve">CON</t>
  </si>
  <si>
    <t xml:space="preserve">Colonne3</t>
  </si>
  <si>
    <t xml:space="preserve">INT</t>
  </si>
  <si>
    <t xml:space="preserve">Colonne4</t>
  </si>
  <si>
    <t xml:space="preserve">SAG</t>
  </si>
  <si>
    <t xml:space="preserve">Colonne5</t>
  </si>
  <si>
    <t xml:space="preserve">CHA</t>
  </si>
  <si>
    <t xml:space="preserve">Colonne6</t>
  </si>
  <si>
    <t xml:space="preserve">Compétences et Jets de sauvegarde</t>
  </si>
  <si>
    <t xml:space="preserve">Langues</t>
  </si>
  <si>
    <t xml:space="preserve">Spécificités </t>
  </si>
  <si>
    <t xml:space="preserve">Actions</t>
  </si>
  <si>
    <t xml:space="preserve">Réactions</t>
  </si>
  <si>
    <t xml:space="preserve">Actions légendaires</t>
  </si>
  <si>
    <t xml:space="preserve">Aarakocra</t>
  </si>
  <si>
    <t xml:space="preserve">Humanoïde (aarakocra)</t>
  </si>
  <si>
    <t xml:space="preserve">NB</t>
  </si>
  <si>
    <t xml:space="preserve">M</t>
  </si>
  <si>
    <t xml:space="preserve">13 (3d8)</t>
  </si>
  <si>
    <t xml:space="preserve">6 m, vol 15 m</t>
  </si>
  <si>
    <t xml:space="preserve">Perception+5</t>
  </si>
  <si>
    <t xml:space="preserve">aérien, aarakocra</t>
  </si>
  <si>
    <t xml:space="preserve">- Sens Perception passive 15
- Attaque en piquée. Si l'aarakocra vole sur au moins 9 mètres en ligne droite vers une cible, puis la touche lors d'une attaque au corps à corps avec une arme, l'attaque inflige 3 (1d6) dégâts supplémentaires à la cible.</t>
  </si>
  <si>
    <t xml:space="preserve">- Serres. Attaque au corps à corps avec une arme : +4 au toucher, allonge 1,50 m, une cible. Touché : 4 (1d4 + 2) dégâts tranchants.
- Javeline. Attaque au corps à corps ou à distance avec une arme : +4 au toucher, allonge 1,50 m ou portée 9/36 m, une cible. Touché : 5 (1d6 + 2) dégâts perforants.</t>
  </si>
  <si>
    <t xml:space="preserve">-</t>
  </si>
  <si>
    <t xml:space="preserve">Abjurateur</t>
  </si>
  <si>
    <t xml:space="preserve">Humanoïde</t>
  </si>
  <si>
    <t xml:space="preserve">Tout</t>
  </si>
  <si>
    <t xml:space="preserve">84 (13d8+26)</t>
  </si>
  <si>
    <t xml:space="preserve">9 m</t>
  </si>
  <si>
    <t xml:space="preserve">Arcanes +8
Histoire +8
JS INT+8
JS SAG+5</t>
  </si>
  <si>
    <t xml:space="preserve">quatre langues au choix</t>
  </si>
  <si>
    <t xml:space="preserve">- Sens Perception passive 11
- Incantation. L'abjurateur est un lanceur de sorts de niveau 13. Sa caractéristique d'incantation est l'Intelligence (jet de sauvegarde contre ses sorts DD 16, +8 au toucher pour les attaques avec un sort). Il a préparé les sorts de magicien suivants :
  - Sorts mineurs (à volonté) : protection contre les armes, lumières dansantes, réparation, message, rayon de givre
  - Niveau 1 (4 emplacements) : alarme*, armure de mage*, projectile magique, bouclier*
  - Niveau 2 (3 emplacements) : verrou magique*, invisibilité
  - Niveau 3 (3 emplacements) : contresort*, dissipation de la magie*, boule de feu
  - Niveau 4 (3 emplacements) : bannissement*, peau de pierre*
  - Niveau 5 (2 emplacements) : cône de froid, mur de force
  - Niveau 6 (1 emplacement) : pétrification, globe d'invulnérabilité*
  - Niveau 7 (1 emplacement) : symbole*, téléportation
* sort d'abjuration de niveau 1 ou supérieur
- Protection arcanique. L'abjurateur possède un sceau magique qui a 30 points de vie. Chaque fois que l'abjurateur subit des dégâts, le sceau prend les dégâts à la place. Si le sceau tombe à 0 point de vie, l'abjurateur prend les dégâts restants. Lorsque l'abjurateur lance un sort d'abjuration de niveau 1 ou supérieur, le sceau récupère un nombre de points de vie égal au double du niveau du sort.x</t>
  </si>
  <si>
    <t xml:space="preserve">- Bâton. Attaque au corps à corps avec une arme : +3 au toucher, allonge 1,50 m, une cible. Touché : 2 (1d6 -1) dégâts contondants, ou 3 (1d8 -1) dégâts contondants si utilisé avec les deux mains.</t>
  </si>
  <si>
    <t xml:space="preserve">Aboleth</t>
  </si>
  <si>
    <t xml:space="preserve">Aberration</t>
  </si>
  <si>
    <t xml:space="preserve">LM</t>
  </si>
  <si>
    <t xml:space="preserve">G</t>
  </si>
  <si>
    <t xml:space="preserve">135 (18d10+36)</t>
  </si>
  <si>
    <t xml:space="preserve">3 m, nage 12 m</t>
  </si>
  <si>
    <t xml:space="preserve">Histoire+12
Perception+10
JS CON+6
JS INT+8
JS SAG+6</t>
  </si>
  <si>
    <t xml:space="preserve">profond, téléphathie 36 m</t>
  </si>
  <si>
    <t xml:space="preserve">- Sens vision dans le noir 36 m, Perception passive 20
- Amphibien. L'aboleth peut respirer aussi bien dans l'air que sous l'eau.
- Nuage de mucus. Lorsqu'il est sous l'eau, l'aboleth est entouré d'un mucus altérant. Une créature qui touche l'aboleth ou qui le frappe lors d'une attaque au corps à corps en se trouvant à 1,50 mètre ou moins de lui, doit effectuer un jet de sauvegarde de Constitution DD 14. Si elle l'échoue, la créature tombe malade pour les 1d4 prochaines heures. Une créature malade ne peut respirer que sous l'eau.
- Pénétration télépathique. Si une créature communique par télépathie avec l'aboleth, l'aboleth découvre les plus grands désirs de la créature, à condition qu'il puisse voir la créature.</t>
  </si>
  <si>
    <t xml:space="preserve">- Attaques multiples. L'aboleth effectue trois attaques avec ses tentacules.
- Tentacule. Attaque au corps à corps avec une arme : +9 au toucher, allonge 3 m, une cible. Touché : 12 (2d6 + 5) dégâts contondants. Si la cible est une créature, elle doit réussir un jet de sauvegarde de Constitution DD 14 ou tomber malade. Cette maladie n'a aucun effet pendant 1 minute et peut être annulée par toute magie qui soigne les maladies. Après 1 minute, le teint de la créature malade devient translucide et visqueux, la créature ne peut pas récupérer de points de vie si elle n'est pas sous l'eau, et cette maladie ne peut plus être soignée que par guérison ou tout autre sort de guérison des maladies de niveau 6 ou supérieur. Lorsque la créature est en dehors d'une étendue d'eau, elle subit 6 (1d12) dégâts d'acide toutes les 10 minutes à moins que son corps ne soit humidifié avant que 10 minutes ne se soient écoulées.
- Queue. Attaque au corps à corps avec une arme : +9 au toucher, allonge 3 m, une cible. Touché : 15 (3d6 + 5) dégâts contondants.
Asservissement (3/jour). L'aboleth cible une créature qu'il peut voir dans un rayon de 9 mètres autour de lui. La cible doit réussir un jet de sauvegarde de Sagesse DD 14 ou être charmée magiquement par l'aboleth jusqu'à ce que l'aboleth ne meure ou se trouve sur un plan d'existence différent de celui de la cible. La cible charmée est sous le contrôle de l'aboleth et ne peut pas utiliser de réaction, de plus l'aboleth et la cible peuvent communiquer par télépathie entre eux quelle que soit la distance. Chaque fois que la cible subit des dégâts, elle peut retenter son jet de sauvegarde. Si elle le réussit, l'effet se termine. Pas plus d'une fois toutes les 24 heures, la cible peut également retenter son jet de sauvegarde lorsqu'elle se trouve à plus de 1,5 kilomètre de l'aboleth.</t>
  </si>
  <si>
    <t xml:space="preserve">L'aboleth peut effectuer 3 actions légendaires, en choisissant parmi les options suivantes. Une seule action légendaire peut être utilisée à la fois, et seulement à la fin du tour d'une autre créature. L'aboleth récupère les actions légendaires dépensées au début de son tour.
- Détection. L'aboleth effectue un jet de Sagesse (Perception).
- Attaque avec la queue. L'aboleth effectue une attaque avec sa queue.
- Absorption psychique (coûte 2 actions). Une créature charmée par l'aboleth subit 10 (3d6) dégâts psychiques, et l'aboleth récupère un montant de point de vie égal aux dégâts que cette créature a subis.</t>
  </si>
  <si>
    <t xml:space="preserve">Abominion</t>
  </si>
  <si>
    <t xml:space="preserve">Bête</t>
  </si>
  <si>
    <t xml:space="preserve">15 (2d10+4)</t>
  </si>
  <si>
    <t xml:space="preserve">- Sens vision dans le noir 18 m, Perception passive 10
- Résistances aux dégâts froid, feu, poison
- Charge. Si l'abominion se déplace d'au moins 6 mètres en ligne droite vers une cible, puis la touche lors d'une attaque avec ses cornes dans le même tour, la cible subit 7 (2d6) dégâts perforants supplémentaires.
- Puanteur. Toute créature autre que l'abominion qui débute son tour à 1,50 mètre ou moins de l'abominion doit réussir un jet de sauvegarde de Constitution DD 12 ou être empoisonnée jusqu'au début de son prochain tour. Si elle réussit son jet de sauvegarde, la créature est immunisée contre la puanteur des abominions pour 1 heure.</t>
  </si>
  <si>
    <t xml:space="preserve">- Corne. Attaque au corps à corps avec une arme : +6 au toucher, portée 1,50 m, une cible. Touché : 7 (1d6 + 4) dégâts perforants.</t>
  </si>
  <si>
    <t xml:space="preserve">Acolyte</t>
  </si>
  <si>
    <t xml:space="preserve">9 (2d8)</t>
  </si>
  <si>
    <t xml:space="preserve">Médecine+4
Religion+2</t>
  </si>
  <si>
    <t xml:space="preserve">une langue au choix</t>
  </si>
  <si>
    <t xml:space="preserve">- Sens Perception passive 12
- Incantation. L'acolyte est un lanceur de sorts de niveau 1. Sa caractéristique d'incantation est la Sagesse (jet de sauvegarde contre ses sorts DD 12, +4 au toucher pour les attaques avec un sort). L'acolyte a préparé les sorts de clerc suivants :
Sorts mineurs (à volonté) : flamme sacrée, lumière, thaumaturgie
Niveau 1 (3 emplacements) : bénédiction, sanctuaire, soins</t>
  </si>
  <si>
    <t xml:space="preserve">Gourdin. Attaque au corps à corps avec une arme : +2 au toucher, allonge 1,50 m, une cible. Touché : 2 (1d4) dégâts contondants.</t>
  </si>
  <si>
    <t xml:space="preserve">Aigle géant</t>
  </si>
  <si>
    <t xml:space="preserve">26 (4d10+4)</t>
  </si>
  <si>
    <t xml:space="preserve">3 m, vol 24 m</t>
  </si>
  <si>
    <t xml:space="preserve">Perception+4</t>
  </si>
  <si>
    <t xml:space="preserve">commun et aérien (compris)</t>
  </si>
  <si>
    <t xml:space="preserve">- Sens Perception passive 14
- Vue aiguisée. L'aigle a un avantage aux jets de Sagesse (Perception) faisant appel à la vue.</t>
  </si>
  <si>
    <t xml:space="preserve">- Attaques multiples. L'aigle réalise deux attaques : une avec son bec et une avec ses serres.
- Bec. Attaque au corps à corps avec une arme : +5 au toucher, allonge 1,50 m, une cible. Touché : 6 (1d6 + 3) dégâts perforants.
- Serres. Attaque au corps à corps avec une arme : +5 au toucher, allonge 1,50 m, une cible. Touché : 10 (2d6 + 3) dégâts tranchants.</t>
  </si>
  <si>
    <t xml:space="preserve">Alhoon</t>
  </si>
  <si>
    <t xml:space="preserve">Mort-vivant</t>
  </si>
  <si>
    <t xml:space="preserve">Tout mauvais</t>
  </si>
  <si>
    <t xml:space="preserve">120 (16d8+48)</t>
  </si>
  <si>
    <t xml:space="preserve">Arcanes +8
Discrétion +5
Histoire +8
Intuition +7
Perception +7
Tromperie +7
JS CON+7
JS INT+8
JS SAG+7
JS CHAR+7</t>
  </si>
  <si>
    <t xml:space="preserve">profond, commun des profondeurs, télépathie 36 m</t>
  </si>
  <si>
    <t xml:space="preserve">- Résistances aux dégâts froid, foudre, nécrotique
- Immunités aux dégâts poison ; contondant, perforant et tranchant d'attaques non magiques
- Immunités aux états charmé, épuisement, effrayé, paralysé, empoisonné
- Sens vision véritable 36 m, Perception passive 17
- Résistance à la magie. L'alhoon a un avantage aux jets de sauvegarde contre les sorts et autres effets magiques.
- Incantation innée (psioniques). La caractéristique d'incantation innée de l'alhoon est l'Intelligence (jet de sauvegarde contre ses sorts DD 16). Il peut lancer les sorts suivants de manière innée, sans avoir besoin d'aucune composante :
  - À volonté : détection des pensées, lévitation
  - 1/jour chacun : domination de personne, changement de plan (personnel uniquement)
- Incantation. L'alhoon est un lanceur de sorts de niveau 12. Sa caractéristique d'incantation est l'Intelligence (jet de sauvegarde contre ses sorts DD 16, +8 au toucher pour les attaques avec un sort). L'alhoon a préparé les sorts de magicien suivants :
  - Sorts mineurs (à volonté) : contact glacial, lumières dansantes, main de mage, prestidigitation, poigne électrique
  - Niveau 1 (4 emplacements) : détection de la magie, déguisement, projectile magique, bouclier
  - Niveau 2 (3 emplacements) : invisibilité, image miroir, rayon ardent
  - Niveau 3 (3 emplacements) : contresort, vol, éclair
  - Niveau 4 (3 emplacements) : confusion, tentacules noirs d'Evard, assassin imaginaire
  - Niveau 5 (2 emplacements) : modification de mémoire, mur de force
  - Niveau 6 (1 emplacement) : désintégration, globe d'invulnérabilité
- Résistance au renvoi. L'alhoon a un avantage aux jets de sauvegarde pour résister aux effets de renvoi des morts-vivants.</t>
  </si>
  <si>
    <t xml:space="preserve">- Étreinte glaciale. Attaque au corps à corps avec un sort : +8 au toucher, allonge 1,50 m, une cible. Touché : 10 (3d6) dégâts de froid.
- Explosion de l'esprit (Recharge 5-6). L'alhoon émet par magie de l'énergie psychique dans un cône de 18 mètres. Chaque créature présente dans la zone doit réussir un jet de sauvegarde d'Intelligence DD 16 ou subir 22 (4d8 + 4) dégâts psychiques et être étourdie pendant 1 minute. Une créature peut retenter son jet de sauvegarde à la fin de chacun de ses tours, mettant fin à l'effet qui l'affecte en cas de réussite.- </t>
  </si>
  <si>
    <t xml:space="preserve">Allip</t>
  </si>
  <si>
    <t xml:space="preserve">NM</t>
  </si>
  <si>
    <t xml:space="preserve">40 (9d18)</t>
  </si>
  <si>
    <t xml:space="preserve">0 m, vol 12 m</t>
  </si>
  <si>
    <t xml:space="preserve">Perception+5
Discrétion+6
JS INT+6
JS SAG+5</t>
  </si>
  <si>
    <t xml:space="preserve">les langues de son vivant</t>
  </si>
  <si>
    <t xml:space="preserve">- Résistances aux dégâts acide, feu, foudre, tonnerre ; contondant, perforant et tranchant d'attaques non magiques
- Immunités aux dégâts froid, nécrotique, poison
- Immunités aux états charmé, épuisement, effrayé, agrippé, paralysé, pétrifié, empoisonné, à terre, entravé
- Sens vision dans le noir 18 m, Perception passive 15
- Déplacement intangible. L'allip peut se déplacer à travers d'autres créatures ou des objets comme si elle traversait un terrain difficile. Elle subit 5 (1d10) dégâts de force si elle termine son tour à l'intérieur d'un objet.</t>
  </si>
  <si>
    <t xml:space="preserve">- Contact perturbant. Attaque au corps à corps avec une arme : +6 au toucher, allonge 1,50 m, une créature. Touché : 12 (4d6 + 3) dégâts psychiques.
- Murmures de la folie. L'allip choisit jusqu'à trois créatures qu'elle peut voir dans un rayon de 18 mètres autour d'elle. Chaque cible doit réussir un jet de sauvegarde de Sagesse DD 14 ou subir 7 (1d8 + 3) dégâts psychiques et être obligée d'utiliser sa réaction pour effectuer une attaque au corps à corps contre une créature choisie par l'allip et que l'allip peut voir. Les artificiels et les morts-vivants sont immunisés à cet effet.
- Babil mugissant (Recharge 6). Chaque créature se trouvant dans un rayon de 9 mètres autour de l'allip et qui peut l'entendre doit réussir un jet de sauvegarde de Sagesse DD 14. En cas d'échec, une cible subit 12 (2d8 + 3) dégâts psychiques, et elle est étourdie jusqu'à la fin de son prochain tour. En cas de réussite, elle subit la moitié de ces dégâts et n'est pas étourdie. Les créatures artificiels et les morts-vivants sont immunisés à cet effet.</t>
  </si>
  <si>
    <t xml:space="preserve">Allosaure</t>
  </si>
  <si>
    <t xml:space="preserve">51 (6d10+18)</t>
  </si>
  <si>
    <t xml:space="preserve">18 m</t>
  </si>
  <si>
    <t xml:space="preserve">- Bond agressif. Si l'allosaure se déplace d'au moins 9 mètres en ligne droite vers une créature, puis la touche lors d'une attaque avec ses griffes dans le même tour, la cible doit réussir un jet de sauvegarde de Force DD 13 ou tomber à terre. Si la cible est à terre, l'allosaure peut effectuer une attaque de morsure contre elle en tant qu'action bonus.</t>
  </si>
  <si>
    <t xml:space="preserve">- Griffes. Attaque au corps à corps avec une arme : +6 au toucher, allonge 1,50 m, une cible. Touché : 8 (1d8 + 4) dégâts tranchants.
- Morsure. Attaque au corps à corps avec une arme : +6 au toucher, allonge 1,50 m, une cible. Touché : 15 (2d10 + 4) dégâts perforants.</t>
  </si>
  <si>
    <t xml:space="preserve">Âme en peine</t>
  </si>
  <si>
    <t xml:space="preserve">67 (9d8+27)</t>
  </si>
  <si>
    <t xml:space="preserve">0m , vol 18 m (stationnaire)</t>
  </si>
  <si>
    <t xml:space="preserve">- </t>
  </si>
  <si>
    <t xml:space="preserve">Les langues de son vivant</t>
  </si>
  <si>
    <t xml:space="preserve">- Résistances aux dégâts acide, feu, foudre, froid, tonnerre ; contondant, perforant et tranchant d'attaques non magiques qui ne sont pas en argent
- Immunités aux dégâts nécrotique, poison
- Immunités aux états à terre, charmé, épuisement, agrippé, paralysé, pétrifié, empoisonné, entravé
- Sens vision dans le noir 18 m, Perception passive 12
- Déplacement intangible. L'âme en peine peut se déplacer à travers d'autres créatures ou des objets comme si elle traversait un terrain difficile. Elle subit 5 (1d10) dégâts de force si elle termine son tour à l'intérieur d'un objet.
- Sensibilité au soleil. Si elle est exposée à la lumière du soleil, l'âme en peine a un désavantage aux jets d'attaque et aux jets de Sagesse (Perception) basés sur la vue.</t>
  </si>
  <si>
    <t xml:space="preserve">- Absorption de vie. Attaque au corps à corps avec une arme : +6 au toucher, allonge 1,50 m, une créature. Touché : 21 (4d8 + 3) dégâts nécrotiques. La cible doit réussir un jet de sauvegarde de Constitution DD 14 pour ne pas subir une diminution de son maximum de points de vie égale aux dégâts subis. Cette diminution perdure jusqu'à ce que la cible termine un repos long. La cible meurt si cet effet réduit son maximum de points de vie à 0.
- Création de spectre. L'âme en peine prend pour cible un humanoïde se trouvant à 3 mètres ou moins, décédé depuis 1 minute maximum et dont la mort fut violente. L'esprit de la cible se relève en tant que spectre, à l'endroit où se trouve le corps ou dans l'espace inoccupé le plus proche. Le spectre est sous le contrôle de l'âme en peine. L'âme en peine ne peut pas avoir plus de sept spectres sous son contrôle en même temps.</t>
  </si>
  <si>
    <t xml:space="preserve">Androsphinx</t>
  </si>
  <si>
    <t xml:space="preserve">Monstruosité</t>
  </si>
  <si>
    <t xml:space="preserve">LN</t>
  </si>
  <si>
    <t xml:space="preserve">199 (19d10+95)</t>
  </si>
  <si>
    <t xml:space="preserve">12 m, vol 18 m</t>
  </si>
  <si>
    <t xml:space="preserve">Arcanes +9
Perception +10
Religion +15
JS DEX+6
JS CON+11
JS INT+9
JS SAG+10</t>
  </si>
  <si>
    <t xml:space="preserve">commun, sphinx</t>
  </si>
  <si>
    <t xml:space="preserve">- Immunités aux dégâts psychique ; contondant, perforant et tranchant d'attaques non magiques
- Immunités aux états charmé, effrayé
- Sens vision véritable 36 m, Perception passive 20
- Inscrutable. Le sphinx est immunisé aux effets cherchant à ressentir ses émotions ou à lire ses pensées, ainsi qu'à n'importe quel sort de divination qu'il refuse. Les jets de Sagesse (Intuition) réalisés pour connaître les intentions ou la sincérité du sphinx subissent un désavantage.
- Armes magiques. Les attaques avec une arme du sphinx sont magiques.
- Incantation. Le sphinx est un lanceur de sorts de niveau 12. Sa caractéristique d'incantation est la Sagesse (jet de sauvegarde contre ses sorts DD 18, +10 au toucher pour les attaques avec un sort). Il n'a pas besoin de composantes matérielles pour lancer ses sorts. Le sphinx a la liste de sorts de clerc préparée :
  - Sorts mineurs (à volonté) : flamme sacrée, stabilisation, thaumaturgie
  - Niveau 1 (4 emplacements) : détection de la magie, détection du mal et du bien, injonction
  - Niveau 2 (3 emplacements) : restauration partielle, zone de vérité
  - Niveau 3 (3 emplacements) : dissipation de la magie, don des langues
  - Niveau 4 (3 emplacements) : bannissement, liberté de mouvement
  - Niveau 5 (2 emplacements) : colonne de flamme, restauration supérieure
  - Niveau 6 (1 emplacement) : festin des héros</t>
  </si>
  <si>
    <t xml:space="preserve">- Attaques multiples. Le sphinx effectue deux attaques avec ses griffes.
- Griffes. Attaque au corps à corps avec une arme : +12 au toucher, allonge 1,50 m, une cible. Touché : 17 (2d10 + 6) dégâts tranchants.
- Rugissement (3/jour). Le sphinx pousse un rugissement magique. Chaque fois qu'il rugit avant d'avoir terminé un repos long, le rugissement est de plus en plus fort et son effet différent, comme détaillé ci-dessous. Chaque créature se trouvant à 150 mètres du sphinx et étant capable de l'entendre doivent effectuer un jet de sauvegarde.
- 1er rugissement. Toutes les créatures qui échouent à un jet de sauvegarde de Sagesse DD 18 sont effrayées pendant 1 minute. Une créature peut retenter le jet de sauvegarde à la fin de chacun de ses tours, mettant fin l'effet qu'elle subit.
- 2nd rugissement. Toutes les créatures qui échouent à un jet de sauvegarde de Sagesse DD 18 sont assourdies et effrayées pendant 1 minute. Une créature effrayée est paralysée et peut retenter le jet de sauvegarde à la fin de chacun de ses tours, mettant fin l'effet qu'elle subit.
- 3e rugissement. Chaque créature effectue un jet de sauvegarde de Constitution DD 18. En cas d'échec, elle subit 44 (8d10) dégâts de tonnerre et est jetée à terre. En cas de réussite, elle subit la moitié des dégâts et n'est pas jetée à terre.</t>
  </si>
  <si>
    <t xml:space="preserve">Le sphinx peut effectuer 3 actions légendaires, en choisissant parmi les options suivantes. Une seule action légendaire peut être utilisée à la fois, et seulement à la fin du tour d'une autre créature. Le sphinx récupère les actions légendaires dépensées au début de son tour.
- Attaque avec les griffes. Le sphinx effectue une attaque avec ses griffes.
- Téléportation (coûte 2 actions). Le sphinx se téléporte par magie, emportant avec lui l'équipement qu'il porte ou transporte, jusqu'à un espace inoccupé qu'il peut voir dans un rayon de 36 mètres.
- Sort (coûte 3 actions). Le sphinx lance un sort choisi parmi sa liste de sorts préparés, en utilisant un emplacement de sort normalement.</t>
  </si>
  <si>
    <t xml:space="preserve">Ankheg</t>
  </si>
  <si>
    <t xml:space="preserve">14 (11 à terre)</t>
  </si>
  <si>
    <t xml:space="preserve">39 (6d10+6)</t>
  </si>
  <si>
    <t xml:space="preserve">9 m, creusement 3 m</t>
  </si>
  <si>
    <t xml:space="preserve">- Sens vision dans le noir 18 m, perception des vibrations 18 m, Perception passive 11</t>
  </si>
  <si>
    <t xml:space="preserve">- Morsure. Attaque au corps à corps avec une arme : +5 au toucher, allonge 1,50 m, une cible. Touché : 10 (2d6 + 3) dégâts tranchants + 3 (1d6) dégâts d'acide. Si a cible est de taille G ou inférieure, elle est agrippée (évasion DD 13). Tant qu'elle est agrippée, l'ankheg ne peut mordre que cette créature et a un avantage aux jets d'attaque pour cela.
- Vaporisation d'acide (Recharge 6). L'ankheg crache de l'acide sur une ligne de 9 mètres de long et 1,50 mètre de large, à conditions qu'il n'agrippe aucune créature. Chaque créature présente sur cette ligne doit effectuer un jet de sauvegarde de Dextérité DD 13, subissant 10 (3d6) dégâts d'acide en cas d'échec, ou la moitié de ces dégâts en cas de réussite.</t>
  </si>
  <si>
    <t xml:space="preserve">Ankylosaure</t>
  </si>
  <si>
    <t xml:space="preserve">TG</t>
  </si>
  <si>
    <t xml:space="preserve">68 (8d12+16)</t>
  </si>
  <si>
    <t xml:space="preserve">- Sens Perception passive 11</t>
  </si>
  <si>
    <t xml:space="preserve">- Queue. Attaque au corps à corps avec une arme : +7 au toucher, allonge 3 m, une cible. Touché : 18 (4d6 + 4) dégâts contondants. Si la cible est une créature, celle-ci doit réussir un jet de sauvegarde de Force DD 14 ou tomber à terre</t>
  </si>
  <si>
    <t xml:space="preserve">Apprenti magicien</t>
  </si>
  <si>
    <t xml:space="preserve">Arcanes+4
Histoire+4</t>
  </si>
  <si>
    <t xml:space="preserve">- Sens Perception passive 10
- Incantation. L'apprenti est un lanceur de sorts de niveau 1. Sa caractéristique d'incantation est l'Intelligence (jet de sauvegarde contre ses sorts DD 12, +4 au toucher pour les attaques avec un sort). Il a préparé les sorts de magicien suivants :
  - Sorts mineurs (à volonté) : trait de feu, réparation, prestidigitation
  - Niveau 1 (2 emplacements) : mains brûlantes, déguisement, bouclier.</t>
  </si>
  <si>
    <t xml:space="preserve">Dague. Attaque au corps à corps ou à distance avec une arme : +2 au toucher, allonge 1,50 m ou portée 6/18 m, une cible. Touché : 2 (1d4) dégâts perforants.</t>
  </si>
  <si>
    <t xml:space="preserve">Araignée de monte, femelle</t>
  </si>
  <si>
    <t xml:space="preserve">30 (4d10+8)</t>
  </si>
  <si>
    <t xml:space="preserve">9 m, escalade 9 m</t>
  </si>
  <si>
    <t xml:space="preserve">Discrétion+7
Perception+4</t>
  </si>
  <si>
    <t xml:space="preserve">- Sens vision dans le noir 36 m, Perception passive 14
- Pattes d'araignée. L'araignée de monte peut escalader des surfaces difficiles et être au plafond la tête en bas sans avoir besoin d'effectuer un jet de caractéristique.
- Saut extraordinaire. La distance des sauts en longueur de l'araignée de monte est triplée ; chaque mètre de sa vitesse de marche qu'il consacre au saut lui permet de se déplacer de 3 mètres..</t>
  </si>
  <si>
    <t xml:space="preserve">- Morsure. Attaque au corps à corps avec une arme : +5 au toucher, allonge 1,50 m, une cible. Touché : 7 (1d8 + 3) dégâts perforants plus 9 (2d8) dégâts de poison.
- Patte collante. Attaque au corps à corps avec une arme : +5 au toucher, allonge 1,50 m, une créature de taille M ou plus petite. Touché : la cible est collée à la patte de l'araignée de monte et agrippée jusqu'à ce qu'elle s'échappe (évasion DD 12). L'araignée de monte ne peut agripper qu'une seule créature à la fois.</t>
  </si>
  <si>
    <t xml:space="preserve">Araignée de monte, mâle</t>
  </si>
  <si>
    <t xml:space="preserve">13 (2d8+4)</t>
  </si>
  <si>
    <t xml:space="preserve">Discrétion+5
Perception+4</t>
  </si>
  <si>
    <t xml:space="preserve">- Sens vision dans le noir 36 m, Perception passive 14
- Pattes d'araignée. L'araignée de monte peut escalader des surfaces difficiles et être au plafond la tête en bas sans avoir besoin d'effectuer un jet de caractéristique.
- Saut extraordinaire. La distance des sauts en longueur de l'araignée de monte est triplée ; chaque mètre de sa vitesse de marche qu'il consacre au saut lui permet de se déplacer de 3 mètres.</t>
  </si>
  <si>
    <t xml:space="preserve">- Morsure. Attaque au corps à corps avec une arme : +4 au toucher, allonge 1,50 m, une cible. Touché : 6 (1d8 + 2) dégâts perforants plus 4 (1d8) dégâts de poison.
- Patte collante. Attaque au corps à corps avec une arme : +4 au toucher, allonge 1,50 m, une créature de taille P ou plus petite. Touché : la cible est collée à la patte de l'araignée de monte et agrippée jusqu'à ce qu'elle s'échappe (évasion DD 12). L'araignée de monte ne peut agripper qu'une seule créature à la fois.</t>
  </si>
  <si>
    <t xml:space="preserve">Araignée de phase</t>
  </si>
  <si>
    <t xml:space="preserve">32 (5d10+5)</t>
  </si>
  <si>
    <t xml:space="preserve">Discrétion+6</t>
  </si>
  <si>
    <t xml:space="preserve">- Sens vision dans le noir 18 m, Perception passive 10
- Saut éthérée. Par une action bonus, l'araignée peut magiquement passer du plan matériel au plan éthéré, et vice versa.
- Pattes d'araignée. L'araignée peut escalader des surfaces difficiles et être au plafond la tête en bas sans avoir besoin d'effectuer un jet de caractéristique.
- Déplacement sur la toile. L'araignée ignore les restrictions de mouvement causées par une toile d'araignée.</t>
  </si>
  <si>
    <t xml:space="preserve">- Morsure. Attaque au corps à corps avec une arme : +4 au toucher, allonge 1,50 m, une créature. Touché : 7 (1d10 + 2) dégâts perforants, et la cible doit effectuer un jet de sauvegarde de Constitution DD 11, subissant 18 (4d8) dégâts de poison en cas d'échec, ou la moitié de ces dégâts en cas de réussite. Si les dégâts de poison font tomber la cible à 0 point de vie, celle-ci est stable mais empoisonnée durant 1 heure, même après avoir regagné des points de vie, et est paralysée tant qu'elle est empoisonnée de la sorte.</t>
  </si>
  <si>
    <t xml:space="preserve">Araignée géante</t>
  </si>
  <si>
    <t xml:space="preserve">26 (4D10+4)</t>
  </si>
  <si>
    <t xml:space="preserve">9 m, escalade 9m</t>
  </si>
  <si>
    <t xml:space="preserve">Discrétion+7</t>
  </si>
  <si>
    <t xml:space="preserve">-Marche sur les toiles. Ignore les restrictions de déplacement des toiles.
-Pattes d’araignée. Escalade murs et plafonds sans test.
-Perception des toiles. En contact avec une toile : connaît la position de toutes les créatures sur la même toile.</t>
  </si>
  <si>
    <t xml:space="preserve">-Morsure. Mêlée +5, allonge 1,50 m, 1d8+3 perforants + JS CON DD 11 : échec 2d8 poison, réussite ½. Si le poison réduit la cible à 0 PV : stable, empoisonnée 1 h, paralysée tant que le poison dure.
-Toile d’araignée (Recharge 5–6). Distance +5, 9/18 m : cible entravée. Action pour se libérer : FOR DD 12. Toile : CA 10, 5 PV, vulnérable feu, immunisée contondants/poison/psychiques.</t>
  </si>
  <si>
    <t xml:space="preserve">Araignée-loup géante</t>
  </si>
  <si>
    <t xml:space="preserve">11 (2d8+2)</t>
  </si>
  <si>
    <t xml:space="preserve">12 m, escalade 12 m</t>
  </si>
  <si>
    <t xml:space="preserve">Discrétion+7
Perception+3</t>
  </si>
  <si>
    <t xml:space="preserve">- Sens vision aveugle 3 m, vision dans le noir 18 m, Perception passive 13
- Déplacement sur la toile. L'araignée ignore les restrictions de mouvement causées par une toile d'araignée.
- Pattes d'araignée. L'araignée peut escalader des surfaces difficiles et être au plafond la tête en bas sans avoir besoin d'effectuer un jet de caractéristique.
- Sens de la toile. Lorsqu'elle est en contact avec une toile, l'araignée connait l'emplacement exact de toutes les créatures qui sont en contact avec cette toile</t>
  </si>
  <si>
    <t xml:space="preserve">- Morsure. Attaque au corps à corps avec une arme : +3 au toucher, allonge 1,50 m, une créature. Touché : 4 (1d6 + 1) dégâts perforants, et la cible doit réaliser un jet de sauvegarde de Constitution DD 11, subissant 7 (2d6) dégâts de poison en cas d'échec, ou la moitié de ces dégâts en cas de réussite. Si le poison réduit les points de vie de la cible à 0, celle-ci est stable mais empoisonnée durant 1 heure, même si elle récupère des points de vie par la suite, et paralysée tant qu'elle est empoisonnée de cette manière.</t>
  </si>
  <si>
    <t xml:space="preserve">Arbre éveillé</t>
  </si>
  <si>
    <t xml:space="preserve">Plante</t>
  </si>
  <si>
    <t xml:space="preserve">59 (7d12+14)</t>
  </si>
  <si>
    <t xml:space="preserve">6 m</t>
  </si>
  <si>
    <t xml:space="preserve">une langue connue par son créateur</t>
  </si>
  <si>
    <t xml:space="preserve">- Vulnérabilités aux dégâts feu
- Résistances aux dégâts contondant, perforant
- Sens Perception passive 10
- Apparence trompeuse. Tant que l'arbre reste immobile, il ne peut être distingué d'un arbre ordinaire.</t>
  </si>
  <si>
    <t xml:space="preserve">- Coup. Attaque au corps à corps avec une arme : +6 au toucher, allonge 3 m, une cible. Touché : 14 (3d6 + 4) dégâts contondants.</t>
  </si>
  <si>
    <t xml:space="preserve">Arbuste éveillé</t>
  </si>
  <si>
    <t xml:space="preserve">P</t>
  </si>
  <si>
    <t xml:space="preserve">10 (3d6)</t>
  </si>
  <si>
    <t xml:space="preserve">- Vulnérabilités aux dégâts feu
- Résistances aux dégâts perforant
- Sens Perception passive 10
- Apparence trompeuse. Tant que l'arbuste reste immobile, il ne peut être distingué d'un arbuste ordinaire.</t>
  </si>
  <si>
    <t xml:space="preserve">- Écorchure. Attaque au corps à corps avec une arme : +1 au toucher, allonge 1,50 m, une cible. Touché : 1 (1d4 - 1) dégâts tranchants.</t>
  </si>
  <si>
    <t xml:space="preserve">Arcanaloth</t>
  </si>
  <si>
    <t xml:space="preserve">Fiélon (yugoloth)</t>
  </si>
  <si>
    <t xml:space="preserve">104 (16d8+32)</t>
  </si>
  <si>
    <t xml:space="preserve">9 m, vol 9m</t>
  </si>
  <si>
    <t xml:space="preserve">Arcanes +13
Intuition +9
Perception +7
Tromperie +9
JS DEX+5
JS INT+9
JS SAG+7
JS CHA+3</t>
  </si>
  <si>
    <t xml:space="preserve">toutes, télépathie 36 m</t>
  </si>
  <si>
    <t xml:space="preserve">- Résistances aux dégâts froid, feu, foudre ; contondant, perforant et tranchant d'attaques non magiques
- Immunités aux dégâts acide, poison
- Immunités aux états charmé, empoisonné
- Sens vision véritable 36 m, Perception passive 17
- Incantation innée. La caractéristique d'incantation innée de l'arcanaloth est le Charisme (jet de sauvegarde contre ses sorts DD 15). L'arcanaloth peut lancer les sorts suivants de manière innée, sans avoir besoin de composantes matérielles :
À volonté : modification d'apparence, ténèbres, métal brûlant, invisibilité (personnel uniquement), projectile magique
- Résistance à la magie. L'arcanaloth a un avantage aux jets de sauvegarde contre les sorts et autres effets magiques.
- Armes magiques. Les attaques avec une arme de l'arcanaloth sont magiques.
- Incantation. L'arcanaloth est un lanceur de sorts de niveau 16. Sa caractéristique d'incantation est l'Intelligence (jet de sauvegarde contre ses sorts DD 17, +9 au toucher pour les attaques avec un sort). L'arcanaloth a préparé les sorts de magicien suivants :
  - Sorts mineurs (à volonté) : trait de feu, main de mage, illusion mineure, prestidigitation
  - Niveau 1 (4 emplacements) : détection de la magie, identification, bouclier, disque flottant de Tenser
  - Niveau 2 (3 emplacements) : détection des pensées, image miroir, force fantasmagorique, suggestion
  - Niveau 3 (3 emplacements) : contresort, peur, boule de feu
  - Niveau 4 (3 emplacements) : bannissement, porte dimensionnelle
  - Niveau 5 (2 emplacements) : contact avec un autre plan, immobilisation de monstre
  - Niveau 6 (1 emplacement) : chaîne d'éclairs
  - Niveau 7 (1 emplacement) : doigt de mort
  - Niveau 8 (1 emplacement) : esprit impénétrable</t>
  </si>
  <si>
    <t xml:space="preserve">- Griffes. Attaque au corps à corps avec une arme : +7 au toucher, allonge 1,50 m, une cible. Touché : 8 (2d4 + 3) dégâts tranchants. La cible doit effectuer un jet de sauvegarde de Constitution DD 14, subissant 10 (3d6) dégâts de poison en cas d'échec, ou la moitié de ces dégâts en cas de réussite.
- Téléportation. L'arcanaloth se téléporte magiquement, avec tout l'équipement qu'il porte ou transporte, vers un espace inoccupé qu'il peut voir et situé dans un rayon de 18 mètres autour de lui.</t>
  </si>
  <si>
    <t xml:space="preserve">Archer</t>
  </si>
  <si>
    <t xml:space="preserve">75 (10d8+30)</t>
  </si>
  <si>
    <t xml:space="preserve">Acrobaties+6
Perception+5</t>
  </si>
  <si>
    <t xml:space="preserve">- Sens Perception passive 15
- Oeil de l'archer (3/jour). Par une action bonus, l'archer peut ajouter 1d10 à son prochain jet d'attaque ou de dégâts avec un arc court ou long.</t>
  </si>
  <si>
    <t xml:space="preserve">- Attaques multiples. L'archer effectue deux attaques avec son arc long.
- Épée courte. Attaque au corps à corps avec une arme : +6 au toucher, allonge 1,50 m, une cible. Touché : 7 (1d6 + 4) dégâts perforants.
- Arc long. Attaque à distance avec une arme : +6 au toucher, portée 45/90 m, une cible. Touché : 8 (1d8 + 4) dégâts perforants.</t>
  </si>
  <si>
    <t xml:space="preserve">- Sens Perception passive 15</t>
  </si>
  <si>
    <t xml:space="preserve">Attaques multiples. L'archer effectue deux attaques avec son épée courte ou son arc long.
- Épée courte. Attaque au corps à corps avec une arme : +6 au toucher, allonge 1,50 m, une cible. Touché : 7 (1d6 + 4) dégâts perforants.
- Arc long. Attaque à distance avec une arme : +6 au toucher, portée 45/90 m, une cible. Touché : 8 (1d8 + 4) dégâts perforants.
ACTION BONUS
- Oeil de l'archer (3/jour). Immédiatement après avoir effectué un jet d'attaque ou de dégâts avec une arme de distance, l'archer peut ajouter un d10 au résultat du dé.</t>
  </si>
  <si>
    <t xml:space="preserve">Archidruide</t>
  </si>
  <si>
    <t xml:space="preserve">132 (24d8+24)</t>
  </si>
  <si>
    <t xml:space="preserve">Médecine+9
Nature+5
Perception+9
JS INT+5
JS SAG+9</t>
  </si>
  <si>
    <t xml:space="preserve">druidique plus deux langues au choix</t>
  </si>
  <si>
    <t xml:space="preserve">- Sens Perception passive 19
- Incantation. L'archidruide est un lanceur de sorts de niveau 18. Sa caractéristique d'incantation est la Sagesse (jet de sauvegarde contre ses sorts DD 17, +9 au toucher pour les attaques avec un sort). Il a préparé les sorts de druide suivants :
  - Sorts mineurs (à volonté) : druidisme, réparation, bouffée de poison, flammes
  - Niveau 1 (4 emplacements) : soins, enchevêtrement, lueurs féeriques, communication avec les animaux
  - Niveau 2 (3 emplacements) : messager animal, sens animal, immobilisation de personne
  - Niveau 3 (3 emplacements) : invocation d'animaux, fusion dans la pierre, respiration aquatique
  - Niveau 4 (3 emplacements) : domination de bête, localisation de créature, peau de pierre, mur de feu
  - Niveau 5 (3 emplacements) : communion avec la nature, soins de groupe, passage par les arbres
  - Niveau 6 (1 emplacement) : guérison, festin des héros, rayon de soleil
  - Niveau 7 (1 emplacement) : tempête de feu
  - Niveau 8 (1 emplacement) : formes animales
  - Niveau 9 (1 emplacement) : prémonition</t>
  </si>
  <si>
    <t xml:space="preserve">- Cimeterre. Attaque au corps à corps avec une arme : +6 au toucher, allonge 1,50 m, une cible. Touché : 5 (1d6 + 2) dégâts tranchants.
- Changement de forme (2/jour). L'archidruide se métamorphose magiquement en une bête ou en un élémental d'un FP de 6 ou moins et peut rester sous cette forme durant 9 heures. L'archidruide peut choisir si son équipement tombe au sol, se fond avec sa nouvelle forme, ou est porté par la nouvelle forme. Il reprend sa forme réelle s'il meurt ou tombe inconscient. L'archidruide peut reprendre sa forme réelle en utilisant une action bonus lors de son tour. Sous une nouvelle forme, l'archidruide conserve ses statistiques de jeu et sa capacité à parler, mais sa CA, ses mouvements, sa Force et sa Dextérité sont remplacés par ceux de la nouvelle forme et il obtient les sens, les compétences, les traits, les actions et les réactions (sauf les capacités de classe, les actions légendaires et les actions de repaire) de sa nouvelle forme qu'il n'a pas déjà. Il peut sous cette nouvelle forme lancer ses sorts qui ont des composantes verbales ou somatiques. Les attaques sous sa nouvelle forme sont considérées comme magiques pour ce qui est des résistances et des immunités aux attaques non magiques.</t>
  </si>
  <si>
    <t xml:space="preserve">Archimage</t>
  </si>
  <si>
    <t xml:space="preserve">99 (18d8+18)</t>
  </si>
  <si>
    <t xml:space="preserve">Arcanes+13
Histoire+13
JS INT+9
JS SAG+6</t>
  </si>
  <si>
    <t xml:space="preserve">six langues au choix</t>
  </si>
  <si>
    <t xml:space="preserve">- Résistances aux dégâts dégâts des sorts ; contondant, perforant et tranchant non magiques (sort peau de pierre)
- Sens Perception passive 12
- Incantation. L'archimage est un lanceur de sorts de niveau 18. Sa caractéristique d'incantation est l'Intelligence (jet de sauvegarde contre ses sorts 17, +9 au toucher pour les attaques avec un sort). Il peut lancer à volonté les sorts déguisement et invisibilité. L'archimage a préparé les sorts de magicien suivants :
  - Sorts mineurs (à volonté) : trait de feu, lumière, main de mage, prestidigitation, poigne électrique
  - Niveau 1 (4 emplacements) : détection de la magie, identification, armure de mage*, projectile magique
  - Niveau 2 (3 emplacements) : détection des pensées, image miroir, foulée brumeuse
  - Niveau 3 (3 emplacements) : contresort, vol, éclair
  - Niveau 4 (3 emplacements) : bannissement, bouclier de feu, peau de pierre*
  - Niveau 5 (3 emplacements) : cône de froid, scrutation, mur de force
  - Niveau 6 (1 emplacement) : globe d'invulnérabilité
  - Niveau 7 (1 emplacement) : téléportation
  - Niveau 8 (1 emplacement) : esprit impénétrable*
  - Niveau 9 (1 emplacement) : arrêt du temps
* L'archimage jette ces sorts avant le combat.
- Résistance à la magie. L'archimage a un avantage aux jets de sauvegarde contre les sorts et autres effets magiques.</t>
  </si>
  <si>
    <t xml:space="preserve">- Dague. Attaque au corps à corps ou à distance avec une arme : +6 au toucher, allonge 1,50 m ou portée 6/18 m, une cible. Touché : 4 (1d4 + 2) dégâts perforants.</t>
  </si>
  <si>
    <t xml:space="preserve">Armure animée</t>
  </si>
  <si>
    <t xml:space="preserve">Artificiel</t>
  </si>
  <si>
    <t xml:space="preserve">33 (6d8+6)</t>
  </si>
  <si>
    <t xml:space="preserve">7,5 m</t>
  </si>
  <si>
    <t xml:space="preserve">- Immunités aux dégâts poison, psychique
- Immunités aux états assourdi, aveuglé, charmé, empoisonné, épuisement, paralysé, pétrifié, effrayé
- Sens vision aveugle 18 m (aveugle au-delà de ce rayon), Perception passive 6
- Apparence trompeuse. Lorsque l'armure reste immobile, elle ne peut être distinguée d'une armure normale.
- Sensibilité à l'antimagie. L'armure se retrouve incapable d'agir lorsqu'elle se situe dans un champ antimagie. Si elle est ciblée par une dissipation de la magie, l'armure doit réussir un jet de sauvegarde de Constitution contre le DD de sort du lanceur ou tomber inconsciente pendant 1 minute.</t>
  </si>
  <si>
    <t xml:space="preserve">- Attaques multiples. L'armure effectue deux attaques au corps à corps.
- Coup. Attaque au corps à corps avec une arme : +4 au toucher, allonge 1,50 m, une cible. Touché : 5 (1d6 + 2) dégâts contondants.</t>
  </si>
  <si>
    <t xml:space="preserve">Assassin</t>
  </si>
  <si>
    <t xml:space="preserve">Tout non bon</t>
  </si>
  <si>
    <t xml:space="preserve">78 (12d8+24)</t>
  </si>
  <si>
    <t xml:space="preserve">JS DEX+6
JS INT+4
Acrobaties +6
Discrétion +9
Perception +3
Tromperie +3</t>
  </si>
  <si>
    <t xml:space="preserve">- Résistances aux dégâts poison
- Sens Perception passive 13
- Assassinat. Au cours de son premier tour, l'assassin a un avantage aux jets d'attaque contre toute créature qui n'a pas encore pris un tour. Tout coup de l'assassin qui touche contre une créature surprise est un coup critique.
- Attaque sournoise. Une fois par tour, l'assassin inflige 14 (4d6) dégâts supplémentaires quand il touche une cible lors d'une attaque avec une arme et qu'il a un avantage au jet d'attaque, ou lorsque la cible est 1,50 mètre ou moins d'un allié de l'assassin qui n'est pas incapable d'agir et si l'assassin n'a pas un désavantage à son jet d'attaque.
- Esquive totale. Si l'assassin est soumis à un effet qui lui permet d'effectuer un jet de sauvegarde de Dextérité pour ne subir que la moitié des dégâts, il ne subit aucun dégât s'il réussit son jet de sauvegarde, et seulement la moitié des dégâts s'il échoue.</t>
  </si>
  <si>
    <t xml:space="preserve">- Attaques multiples. L'assassin effectue deux attaques avec l'épée courte.
- Épée courte. Attaque au corps à corps avec une arme : +6 au toucher, allonge 1,50 m, une cible. Touché : 6 (1d6 + 3) dégâts perforants, et la cible doit effectuer un jet de sauvegarde de Constitution DD 15, subissant 24 (7d6) dégâts de poison en cas d'échec, ou la moitié de ces dégâts en cas de réussite.
- Arbalète légère. Attaque à distance avec une arme : +6 au toucher, portée 24/96 m, une cible. Touché : 7 (1d8 + 3) dégâts perforants, et la cible doit effectuer un jet de sauvegarde de Constitution DD 15, subissant 24 (7d6) dégâts de poison en cas d'échec, ou la moitié de ces dégâts en cas de réussite.</t>
  </si>
  <si>
    <t xml:space="preserve">Aurochs</t>
  </si>
  <si>
    <t xml:space="preserve">38 (4d10+16)</t>
  </si>
  <si>
    <t xml:space="preserve">15 m</t>
  </si>
  <si>
    <t xml:space="preserve">- Sens Perception passive 11
- Charge. Si l'aurochs se déplace d'au moins 6 mètres en ligne droite vers une cible, puis la touche lors d'une attaque avec ses cornes dans le même tour, la cible subit 9 (2d8) dégâts perforants supplémentaires. Si la cible est une créature, elle doit réussir un jet de sauvegarde de Force DD 15 ou tomber à terre.</t>
  </si>
  <si>
    <t xml:space="preserve">- Corne. Attaque au corps à corps avec une arme : +7 au toucher, portée 1,50 m, une cible. Touché : 14 (2d8 + 5) dégâts perforants.</t>
  </si>
  <si>
    <t xml:space="preserve">Azer</t>
  </si>
  <si>
    <t xml:space="preserve">Élémentaire</t>
  </si>
  <si>
    <t xml:space="preserve">39 (6d8+12)</t>
  </si>
  <si>
    <t xml:space="preserve">JS CON+4</t>
  </si>
  <si>
    <t xml:space="preserve">Igné</t>
  </si>
  <si>
    <t xml:space="preserve">- Immunités aux dégâts feu, poison
- Immunités aux états empoisonné
- Sens Perception passive 11
- Corps brûlant. Une créature qui touche l'azer ou le frappe avec une attaque au corps à corps, en se trouvant à 1,50 mètre ou moins de lui, subit 5 (1d10) dégâts de feu.
- Armes brûlantes. Lorsque l'azer touche avec une arme de corps à corps en métal, il inflige 3 (1d6) dégâts de feu supplémentaires (inclus dans l'attaque ci-dessous).
- Illumination. L'azer émet une lumière vive dans un rayon de 3 mètres et une lumière faible sur 3 mètres supplémentaires.</t>
  </si>
  <si>
    <t xml:space="preserve">- Marteau de guerre. Attaque au corps à corps avec une arme : +5 au toucher, allonge 1,50 m, une cible. Touché : 7 (1d8 + 3) dégâts contondants, ou 8 (1d10 + 3) dégâts contondants si utilisé à deux mains pour faire une attaque au corps à corps, plus 3 (1d6) dégâts de feu.</t>
  </si>
  <si>
    <t xml:space="preserve">Babau</t>
  </si>
  <si>
    <t xml:space="preserve">Fiélon (démon)</t>
  </si>
  <si>
    <t xml:space="preserve">CM</t>
  </si>
  <si>
    <t xml:space="preserve">2 (11d8+33)</t>
  </si>
  <si>
    <t xml:space="preserve">12 m</t>
  </si>
  <si>
    <t xml:space="preserve">Perception +5
Discrétion +5</t>
  </si>
  <si>
    <t xml:space="preserve">abyssal</t>
  </si>
  <si>
    <t xml:space="preserve">- Résistances aux dégâts froid, feu, foudre ; contondant, perforant et tranchant d'attaques non magiques
- Immunités aux dégâts poison
- Immunités aux états empoisonné
- Sens vision dans le noir 36 m, Perception passive 15
- Incantation innée. La caractéristique d'incantation innée du babau est la Sagesse (jet de sauvegarde contre ses sorts DD 11). Le babau peut lancer les sorts suivants de manière innée, sans avoir besoin de composantes matérielles :
  - À volonté : ténèbres, dissipation de la magie, peur, métal brûlant, lévitation</t>
  </si>
  <si>
    <t xml:space="preserve">- Attaques multiples. Le babau effectue deux attaques au corps à corps. Il peut également utiliser Regard affaiblissant avant ou après avoir effectué ces attaques.
- Griffes. Attaque au corps à corps avec une arme : +6 au toucher, allonge 1,50 m, une cible. Touché : 8 (1d8 + 4) dégâts tranchants.
- Lance. Attaque au corps à corps ou à distance avec une arme : +6 au toucher, allonge 1,50 m ou portée 6/18 m, une cible. Touché : 7 (1d6 + 4) dégâts perforants, ou 8 (1d8 + 4) dégâts perforants si utilisée à deux mains pour effectuer une attaque au corps à corps.
- Regard affaiblissant. Le babau cible une créature qu'il peut voir et se trouvant à 6 mètres ou moins de lui. La cible doit effectuer un jet de sauvegarde de Constitution DD 13. En cas d'échec, la cible n'inflige que la moitié des dégâts si elle effectue une attaque avec une arme qui utilise la Force. L'effet dure 1 minute. La cible peut retenter son jet de sauvegarde à la fin de chacun de ses tours, mettant fin à l'effet qui l'affecte en cas de réussite.</t>
  </si>
  <si>
    <t xml:space="preserve">Babélien</t>
  </si>
  <si>
    <t xml:space="preserve">N</t>
  </si>
  <si>
    <t xml:space="preserve">3 m, nage 3 m</t>
  </si>
  <si>
    <t xml:space="preserve">- Immunités aux états à terre
- Sens vision dans le noir 18 m, Perception passive 10
- Sol aberrant. Le sol, dans un rayon de 3 mètres autour du babélien, a un aspect pâteux et est considéré comme un terrain difficile. Chaque créature qui débute son tour dans cette zone doit réussir un jet de sauvegarde de Force DD 10 ou voir sa vitesse de déplacement réduite à 0 jusqu'au début de son prochain tour.
- Charabia. Le babélien babille des choses incompréhensibles tant qu'il peut voir une créature et qu'il n'est pas incapable d'agir. Chaque créature qui débute son tour dans un rayon de 6 mètres du babélien et qui peut entendre son charabia doit effectuer un jet de sauvegarde de Sagesse DD 10. En cas d'échec, la créature ne peut pas utiliser de réaction jusqu'au début de son prochain tour et lance un d8 pour déterminer ce qu'elle fait pendant son tour. Sur un 1 à 4, la créature ne fait rien. Sur un 5 ou 6, la créature n'utilise aucune action ni action bonus et utilise l'intégralité de son mouvement pour se déplacer dans une direction aléatoire. Sur un 7 ou 8, la créature effectue une attaque au corps à corps contre une créature aléatoire à portée ou ne fait rien si elle ne peut pas effectuer une telle attaque.</t>
  </si>
  <si>
    <t xml:space="preserve">- Attaques multiples. Le babélien effectue une attaque de morsure et, s'il le peut, utilise sa Salive aveuglante.
- Morsure. Attaque au corps à corps avec une arme : +2 au toucher, allonge 1,50 m, une créature. Touché : 17 (5d6) dégâts perforants. Si la cible est de taille M ou inférieure, elle doit réussir un jet de sauvegarde de Force DD 10 ou tomber à terre. Si la cible est tuée par les dégâts de cette attaque, elle est absorbée par le babélien.
- Salive aveuglante (Recharge 5-6). Le babélien crache un projectile chimique sur un point qu'il peut voir dans un rayon de 4,50 mètres autour de lui. Le projectile explose dans un éclat de lumière aveuglant au moment de l'impact. Chaque créature se trouvant à 1,50 mètre du flash de lumière doit réussir un jet de sauvegarde de Dextérité DD 13 ou être aveuglée jusqu'à la fin du prochain tour du babélien.</t>
  </si>
  <si>
    <t xml:space="preserve">Babouin</t>
  </si>
  <si>
    <t xml:space="preserve">3 (1d6)</t>
  </si>
  <si>
    <t xml:space="preserve">- Perception passive 11
- Tactique de groupe. Le babouin a un avantage aux jets d'attaque contre une créature si au moins l'un de ses alliés est à 1,50 mètre ou moins de la créature et n'est pas incapable d'agir</t>
  </si>
  <si>
    <t xml:space="preserve">- Morsure. Attaque au corps à corps avec une arme : +1 au toucher, allonge 1,50 m, une cible. Touché : 1 (1d4 – 1) dégâts perforants.</t>
  </si>
  <si>
    <t xml:space="preserve">Baiser de la mort</t>
  </si>
  <si>
    <t xml:space="preserve">161 (17d10+68)</t>
  </si>
  <si>
    <t xml:space="preserve">0 m, vol 9 m (stationnaire)</t>
  </si>
  <si>
    <t xml:space="preserve">Perception+5
JS CON+8
JS SAG+5</t>
  </si>
  <si>
    <t xml:space="preserve">profond, commun des profondeurs</t>
  </si>
  <si>
    <t xml:space="preserve">- Immunités aux dégâts foudre
- Immunités aux états à terre
- Sens vision dans le noir 36 m, Perception passive 15
- Sang de foudre. Une créature à 1,50 mètre ou moins du baiser de la mort subit 5 (1d10) dégâts de foudre chaque fois qu'elle touche le baiser de la mort avec une attaque de corps à corps qui inflige des dégâts perforants ou tranchants.</t>
  </si>
  <si>
    <t xml:space="preserve">- Attaques multiples. Le baiser de la mort effectue trois attaques avec ses tentacules. Jusqu'à trois de ces attaques peuvent être remplacées par Absorption de sang, un remplacement par tentacule agrippant une créature.
- Tentacule. Attaque au corps à corps avec une arme : +8 au toucher, allonge 6 m, une cible. Touché : 14 (3d6 + 4) dégâts perforants, et la cible est agrippée (évasion DD 14) si c'est une créature de taille TG ou plus petite. Tant qu'elle est agrippée, la cible est entravée et le baiser de la mort ne peut pas utiliser le même tentacule sur une autre cible. Le baiser de la mort possède dix tentacules.
- Absorption de sang. Une créature agrippée par un tentacule du baiser de la mort doit effectuer un jet de sauvegarde de Constitution DD 16. En cas d'échec, la cible subit 22 (4d10) dégâts de foudre et le baiser de la mort regagne la moitié de ce nombre de points de vie.</t>
  </si>
  <si>
    <t xml:space="preserve">Balor</t>
  </si>
  <si>
    <t xml:space="preserve">262 (21d12+126)</t>
  </si>
  <si>
    <t xml:space="preserve">12 m, vol 24 m</t>
  </si>
  <si>
    <t xml:space="preserve">JS FOR+14
JS CON+12
JS SAG+9
JS CHA+12</t>
  </si>
  <si>
    <t xml:space="preserve">abyssal, téléphathie 36 m</t>
  </si>
  <si>
    <t xml:space="preserve">- Spasmes d'agonie. Le balor explose lorsqu'il meurt, et toutes les créatures situées à 9 mètres ou moins de lui doivent effectuer un jet de sauvegarde de Dextérité DD 20, subissant 70 (20d6) dégâts de feu en cas d'échec, ou la moitié de ces dégâts en cas de réussite. L'explosion embrase les objets inflammables qui ne sont pas tenus ou portés se trouvant dans la zone, et détruit les armes du balor.
- Aura de feu. Au début de chaque tour du balor, toute créature située à 1,50 mètre ou moins de lui subit 10 (3d6) dégâts de feu, et les objets inflammables situés dans l'aura, qui ne sont pas tenus ou portés, s'embrasent. Une créature qui touche le balor ou le frappe avec une attaque au corps à corps tout en se trouvant à 1,50 mètre ou moins de lui subit 10 (3d6) dégâts de feu.
- Résistance à la magie. Le balor a un avantage aux jets de sauvegarde contre les sorts et autres effets magiques.
- Armes magiques. Les attaques avec une arme du balor sont magiques.</t>
  </si>
  <si>
    <t xml:space="preserve">- Attaques multiples. Le balor effectue deux attaques : une avec son épée longue et une avec son fouet.
- Épée longue. Attaque au corps à corps avec une arme : +14 au toucher, allonge 3 m, une cible. Touché : 21 (3d8 + 8) dégâts tranchants + 13 (3d8) dégâts de foudre. Si le balor réalise un coup critique, il lance trois fois les dés de dégâts au lieu de deux fois.
- Fouet. Attaque au corps à corps avec une arme : +14 au toucher, allonge 9 m, une cible. Touché : 15 (2d6 + 8) dégâts tranchants + 10 (3d6) dégâts de feu, et la cible doit réussir un jet de sauvegarde de Force DD 20 ou être tirée de 7,50 mètres vers le balor.
- Téléportation. Le balor se téléporte magiquement, avec tout équipement qu'il porte ou transporte, vers un espace inoccupé qu'il peut voir et situé dans un rayon de 36 mètres autour de lui.</t>
  </si>
  <si>
    <t xml:space="preserve">Banderhobb</t>
  </si>
  <si>
    <t xml:space="preserve">84 (8d10+40)</t>
  </si>
  <si>
    <t xml:space="preserve">Athlétisme+8
Discrétion+4</t>
  </si>
  <si>
    <t xml:space="preserve">comprend le commun et les langages de son créateur mais ne peut pas parler</t>
  </si>
  <si>
    <t xml:space="preserve">- Immunités aux états charmé, effrayé
- Sens vision dans le noir 36 m, Perception passive 12
- Connexion par vibrations. Si le banderhobb possède un morceau, même petit, d'une créature ou d'un objet, comme une mèche de cheveux ou un éclat de bois, il connait le chemin le plus direct pour atteindre cette créature ou cet objet, à condition qu'ils se trouvent au plus à 1,5 kilomètre du banderhobb.
- Discrétion dans les ombres. Tant qu'il se trouve dans les ténèbres ou exposé à une lumière faible, le banderhobb peut utiliser une action bonus pour effectuer l'action Se cacher.</t>
  </si>
  <si>
    <t xml:space="preserve">- Morsure. Attaque au corps à corps avec une arme : +8 au toucher, allonge 1,50 m, une cible. Touché : 22 (5d6 + 5) dégâts perforants, et la cible est agrippée (évasion DD 15) si c'est une créature de taille G ou plus petite. Tant qu'elle est agrippée, la cible est entravée et le banderhobb ne peut plus effectuer d'attaque de morsure ou de langue contre une autre cible.
- Langue. Attaque au corps à corps avec une arme : +8 au toucher, allonge 4,50 m, une créature. Touché : 10 (3d6) dégâts nécrotiques, et la cible doit effectuer un jet de sauvegarde de Force DD 15. En cas d'échec, la cible est attirée dans un espace situé à 1,50 mètre ou moins du banderhobb, qui peut utiliser son action bonus pour effectuer une attaque de morsure contre la cible.
- Engloutissement. Le banderhobb effectue une attaque de morsure contre une créature de taille M ou inférieure qu'il agrippe. Si l'attaque réussit, la créature est avalée, et elle n'est plus agrippée. Une fois avalée, la créature est aveuglée et entravée, bénéficie d'un abri total contre les attaques et effets provenant de l'extérieur du banderhobb, et subit 10 (3d6) dégâts nécrotiques au début de chaque tour du banderhobb. Une créature dont les points de vie tombent à 0 de cette manière cesse de subir des dégâts nécrotiques et est stabilisée. Un banderhobb ne peut avoir en lui qu'une seule créature engloutie à la fois. Tant que le banderhobb n'est pas incapable d'agir, il peut régurgiter la créature à n'importe quel moment (aucune action n'est requise) dans un espace situé à 1,50 mètre ou moins de lui. La créature se retrouve à terre. Si le banderhobb meurt, il régurgite également une créature engloutie.
- Foulée d'ombre. Le banderhobb se téléporte par magie vers un espace inoccupé qu'il peut voir, situé dans un rayon de 9 mètres autour de lui, et plongé dans les ténèbres ou faiblement éclairé. Avant ou après s'être téléporté, il peut effectuer une attaque de morsure ou de langue.</t>
  </si>
  <si>
    <t xml:space="preserve">Bandit</t>
  </si>
  <si>
    <t xml:space="preserve">Non Loyal</t>
  </si>
  <si>
    <t xml:space="preserve">- Perception passive 10</t>
  </si>
  <si>
    <t xml:space="preserve">- Cimeterre. Attaque au corps à corps avec une arme : +3 au toucher, allonge 1,50 m, une cible. Touché : 4 (1d6 + 1) dégâts tranchants.
- Arbalète légère. Attaque à distance avec une arme : +3 au toucher, portée 24/96 m, une cible. Touché : 5 (1d8 + 1) dégâts perforants.</t>
  </si>
  <si>
    <t xml:space="preserve">Bandit, Capitaine</t>
  </si>
  <si>
    <t xml:space="preserve">65 (10d8+20)</t>
  </si>
  <si>
    <t xml:space="preserve">Athlétisme+4
Tromperie+4
JS FOR+4
JS DEX+5
JS SAG+2</t>
  </si>
  <si>
    <t xml:space="preserve">deux langues au choix</t>
  </si>
  <si>
    <t xml:space="preserve">- Attaques multiples. Le capitaine effectue trois attaques : deux avec son cimeterre et une avec sa dague. Ou bien il effectue deux attaques à distance avec ses dagues.
- Cimeterre. Attaque au corps à corps avec une arme : +5 au toucher, allonge 1,50 m, une cible. Touché : 6 (1d6 + 3) dégâts tranchants.
- Dague. Attaque au corps à corps ou à distance avec une arme : +5 au toucher, allonge 1,50 m ou portée 6/18 m, une cible. Touché : 5 (1d4 + 3) dégâts perforants.</t>
  </si>
  <si>
    <t xml:space="preserve">- Parade. Le capitaine ajoute 2 à sa CA contre une attaque au corps à corps qui le toucherait. Pour ce faire, il doit voir l'attaquant et avoir en main une arme de corps à corps.</t>
  </si>
  <si>
    <t xml:space="preserve">Bandit, Ruffian Fer Rouge</t>
  </si>
  <si>
    <t xml:space="preserve">16 (3d8+3)</t>
  </si>
  <si>
    <t xml:space="preserve">Intimidation+2</t>
  </si>
  <si>
    <t xml:space="preserve">commun</t>
  </si>
  <si>
    <t xml:space="preserve">- Perception passive 9</t>
  </si>
  <si>
    <t xml:space="preserve">Attaques multiples. Le ruffian effectue deux attaques au corps à corps.
Épée courte. Attaque d’arme au corps à corps : +4 pour toucher, allonge 1,50 m, une cible. Touché : 5 (1d6+2) dégâts perforants.</t>
  </si>
  <si>
    <t xml:space="preserve">Banshie</t>
  </si>
  <si>
    <t xml:space="preserve">58 (13d8)</t>
  </si>
  <si>
    <t xml:space="preserve">0 m, 12 m (stationnaire)</t>
  </si>
  <si>
    <t xml:space="preserve">JS SAG+2
JS CHA+5</t>
  </si>
  <si>
    <t xml:space="preserve">commun, elfique</t>
  </si>
  <si>
    <t xml:space="preserve">- Résistances aux dégâts acide, foudre, feu, tonnerre ; contondant, perforant et tranchant d'attaques non magiques
- Immunités aux dégâts froid, nécrotique, poison
- Immunités aux états à terre, charmé, empoisonné, agrippé, entravé, épuisement, paralysé, pétrifié, effrayé
- Sens vision dans le noir 18 m, Perception passive 10
- Détection de la vie. Grâce à la magie, la banshie peut sentir la présence de créatures qui ne sont ni des morts-vivants ni des créatures artificielles jusqu'à 7,5 kilomètres de distance. Elle connait dans quelle direction elles se trouvent, mais pas leur localisation exacte.
- Déplacement intangible. La banshie peut se déplacer à travers d'autres créatures ou des objets comme si elle traversait un terrain difficile. Elle subit 5 (1d10) dégâts de force si elle termine son tour à l'intérieur d'un objet.</t>
  </si>
  <si>
    <t xml:space="preserve">- Contact corrupteur. Attaque au corps à corps avec un sort : +4 au toucher, allonge 1,50 m, une cible. Touché : 12 (3d6 + 2) dégâts nécrotiques.
- Visage Effroyable. Chaque créature non morte-vivante se trouvant à 18 mètres de la banshie et pouvant la voir doit réussir un jet de sauvegarde de Sagesse DD 13 ou être effrayée pendant 1 minute. Une créature effrayée peut retenter le jet de sauvegarde à la fin de chacun de ses tours, avec un désavantage si la banshie est toujours visible, mettant fin à l'effet en cas de réussite. Si le jet de sauvegarde de la cible est réussi ou que l'effet qu'elle subit se termine, celle-ci devient immunisée au Visage Effroyable de la banshie pendant les prochaines 24 heures.
- Hurlement (1/jour). La banshie pousse un hurlement plaintif, à condition de ne pas être exposée à la lumière du soleil. Les morts-vivants et les artificiels sont immunisés à cet effet. Toutes les autres créatures se situant à 9 mètres d'elle et pouvant l'entendre doivent effectuer un jet de sauvegarde de Constitution DD 13. En cas d'échec, la créature tombe à 0 point de vie. En cas de réussite, elle subit 10 (3d6) dégâts psychiques.</t>
  </si>
  <si>
    <t xml:space="preserve">Barde</t>
  </si>
  <si>
    <t xml:space="preserve">44 (8d8+8)</t>
  </si>
  <si>
    <t xml:space="preserve">Acrobaties +4
Perception +5
Représentation +6
JS DEX+4
JS SAG+3</t>
  </si>
  <si>
    <t xml:space="preserve">- Incantation. Le barde est un lanceur de sorts de niveau 4. Sa caractéristique d'incantation est le Charisme (jet de sauvegarde contre ses sorts DD 12, +4 au toucher pour les attaques avec un sort). Il a préparé les sorts de barde suivants :
  - Sorts mineurs (à volonté) : amis, main de mage, moquerie cruelle
  - Niveau 1 (4 emplacements) : charme-personne, mot de guérison, héroïsme, sommeil, vague tonnante
  - Niveau 2 (3 emplacements) : invisibilité, fracassement
- Chant reposant. Le barde peut chanter une chanson tout en prenant un repos court. Tout allié qui entend la chanson récupère 1d6 points de vie supplémentaires s'il dépense un dé de vie pour récupérer des points de vie à la fin de ce repos. Le barde peut aussi se conférer cet avantage à lui-même.
- Provocation (2/jour). Le barde peut utiliser une action bonus lors de son tour pour cibler une créature à 9 mètres ou moins de lui. Si la cible peut entendre le barde, elle doit réussir un jet de sauvegarde de Charisme DD 12 ou avoir un désavantage aux jets de caractéristique, d'attaque et de sauvegarde jusqu'au début du prochain tour du barde.</t>
  </si>
  <si>
    <t xml:space="preserve">- Épée courte. Attaque au corps à corps avec une arme : +4 au toucher, allonge 1,50 m, une cible. Touché : 5 (1d6 + 2) dégâts perforants.
- Arc court. Attaque à distance avec une arme : +4 au toucher, portée 24/96 m, une cible. Touché : 5 (1d6 + 2) dégâts perforants.</t>
  </si>
  <si>
    <t xml:space="preserve">Barghest</t>
  </si>
  <si>
    <t xml:space="preserve">Fiélon (métamorphe)</t>
  </si>
  <si>
    <t xml:space="preserve">90 (12d10+24)</t>
  </si>
  <si>
    <t xml:space="preserve">18 m (9 m sous forme de gobelin)</t>
  </si>
  <si>
    <t xml:space="preserve">Discrétion +4
Intimidation +4
Perception +5
Tromperie +4</t>
  </si>
  <si>
    <t xml:space="preserve">abyssal, commun, gobelin, infernal, télépathie 18 m</t>
  </si>
  <si>
    <t xml:space="preserve">- Résistances aux dégâts froid, feu, foudre ; contondant, perforant et tranchant d'attaques non magiques
- Immunités aux dégâts acide, poison
- Immunités aux états empoisonné
- Sens vision aveugle 18 m, vision dans le noir 18 m, Perception passive 15
- Métamorphe. Le barghest peut utiliser son action pour se métamorphoser en un gobelin de taille P, ou pour reprendre sa forme véritable. Mises à part sa taille et sa vitesse, ses statistiques sont les mêmes quelle que soit sa forme. L'équipement qu'il porte ou transporte ne se transforme pas. Il retrouve sa forme véritable s'il meurt.
- Bannissement par le feu. Lorsque le barghest débute son tour englouti par des flammes hautes ou larges d'au moins 3 mètres, il doit réussir un jet de sauvegarde de Charisme DD 15 ou être instantanément banni vers le plan Géhenne. Une explosion de flamme ponctuelle (comme celle du souffle d'un dragon rouge ou le sort boule de feu) n'a pas cet effet sur le barghest.
- Odorat aiguisé. Le barghest a un avantage aux jets de Sagesse (Perception) basés sur l'odorat.
- Incantation innée. La caractéristique d'incantation innée du barghest est le Charisme (jet de sauvegarde contre ses sorts DD 12). Le barghest peut lancer les sorts suivants de manière innée, sans avoir besoin de composantes matérielles :
  - À volonté : lévitation, illusion mineure, passage sans trace,
  - 1/jour chacun : charme-personne, porte dimensionnelle, suggestion</t>
  </si>
  <si>
    <t xml:space="preserve">Morsure (forme véritable uniquement). Attaque au corps à corps avec une arme : +6 au toucher, allonge 1,50 m, une cible. Touché : 13 (2d8 + 4) dégâts perforants.
Griffes. Attaque au corps à corps avec une arme : +6 au toucher, allonge 1,50 m, une cible. Touché : 8 (1d8 + 4) dégâts tranchants.</t>
  </si>
  <si>
    <t xml:space="preserve">Barlgura</t>
  </si>
  <si>
    <t xml:space="preserve">68 (8d10+24)</t>
  </si>
  <si>
    <t xml:space="preserve">Discrétion +5
Perception +5
JS DEX+5
JS CON+6</t>
  </si>
  <si>
    <t xml:space="preserve">- Résistances aux dégâts froid, feu, foudre
- Immunités aux dégâts poison
- Immunités aux états empoisonné
- Sens vision aveugle 9 m, vision dans le noir 36 m, Perception passive 15
- Incantation innée. La caractéristique d'incantation innée du barlgura est la Sagesse (jet de sauvegarde contre ses sorts DD 13). Le barlgura peut lancer les sorts suivants de manière innée, sans avoir besoin de composantes matérielles :
1/jour chacun : enchevêtrement, force fantasmagorique
2/jour chacun : déguisement, invisibilité (personnel uniquement)
- Téméraire. Au début de son tour, le barlgura peut obtenir un avantage à tous les jets d'attaque au corps à corps avec une arme pendant ce tour, mais les attaques contre lui ont un avantage jusqu'au début de son prochain tour.
- Saut avec élan. Le saut en longueur du barlgura va jusqu'à 12 mètres et son saut en hauteur jusqu'à 6 mètres quand il peut prendre son élan.</t>
  </si>
  <si>
    <t xml:space="preserve">- Attaques multiples. Le barlgura effectue trois attaques : une de morsure et deux avec ses poings.
- Morsure. Attaque au corps à corps avec une arme : +7 au toucher, allonge 1,50 m, une cible. Touché : 11 (2d6 + 4) dégâts perforants.
- Poing. Attaque au corps à corps avec une arme : +7 au toucher, allonge 1,50 m, une cible. Touché : 9 (1d10 + 4) dégâts contondants.</t>
  </si>
  <si>
    <t xml:space="preserve">Basilic</t>
  </si>
  <si>
    <t xml:space="preserve">52 (8d8+16)</t>
  </si>
  <si>
    <t xml:space="preserve">- Sens vision dans le noir 18 m, Perception passive 9
- Regard pétrifiant. Si une créature débute son tour à 9 mètres du basilic et que chacun peut voir l'autre, le basilic peut forcer la créature à effectuer un jet de sauvegarde de Constitution DD 12, s'il n'est pas incapable d'agir. En cas d'échec, la magie commence à transformer la créature en pierre, et celle-ci est entravée. Elle doit retenter le jet de sauvegarde à la fin de son prochain tour. En cas de réussite, l'effet se termine. En cas d'échec, la créature est pétrifiée, jusqu'à ce qu'elle soit délivrée par un sort de restauration supérieure ou par une magie similaire. Une créature qui n'est pas surprise peut éviter le regard du basilic pour ne pas tenter de jet de sauvegarde au début de son tour. Dans ce cas, elle ne pourra pas voir le basilic jusqu'au début de son prochain tour, elle pourra encore choisir à ce moment d'éviter son regard. Si elle regarde le basilic entretemps, elle devra tenter immédiatement le jet de sauvegarde. Si le basilic voit son propre reflet à 9 mètres ou moins dans des conditions de lumière vive, il se méprendra et se ciblera avec son regard, croyant être face à un rival</t>
  </si>
  <si>
    <t xml:space="preserve">Morsure. Attaque au corps à corps avec une arme : +5 au toucher, allonge 1,50 m, une cible. Touché : 10 (2d6 + 3) dégâts perforants + 7 (2d6) dégâts de poison.</t>
  </si>
  <si>
    <t xml:space="preserve">Bec de hache</t>
  </si>
  <si>
    <t xml:space="preserve">19 (3d10+3)</t>
  </si>
  <si>
    <t xml:space="preserve">- Sens Perception passive 10</t>
  </si>
  <si>
    <t xml:space="preserve">- Bec. Attaque au corps à corps avec une arme : +4 au toucher, allonge 1,50 m, une cible. Touché : 6 (1d8 + 2) dégâts tranchants.</t>
  </si>
  <si>
    <t xml:space="preserve">Béhir</t>
  </si>
  <si>
    <t xml:space="preserve">168 (16d12+64)</t>
  </si>
  <si>
    <t xml:space="preserve">15 m, escalade 12 m</t>
  </si>
  <si>
    <t xml:space="preserve">Discrétion+7
Perception+6</t>
  </si>
  <si>
    <t xml:space="preserve">draconique</t>
  </si>
  <si>
    <t xml:space="preserve">- Immunités aux dégâts foudre
- Sens vision dans le noir 27 m, Perception passive 16</t>
  </si>
  <si>
    <t xml:space="preserve">- Attaques multiples. Le béhir effectue deux attaques : une de morsure et une de constriction.
- Morsure. Attaque au corps à corps avec une arme : +10 au toucher, allonge 3 m, une cible. Touché : 22 (3d10 + 6) dégâts perforants.
- Constriction. Attaque au corps à corps avec une arme : +10 au toucher, allonge 1,50 m, une créature de taille G ou inférieure. Touché : 17 (2d10 + 6) dégâts contondants + 17 (2d10 + 6) dégâts tranchants. La cible est agrippée (DD 16 pour s'échapper) si le béhir n'est pas déjà en train d'étreindre une créature, et la cible est entravée tant qu'elle est agrippée.
- Souffle de foudre (Recharge 5-6). Le béhir crache un jet de foudre sur une ligne de 6 mètres de long et de 1,50 mètre de large. Chaque créature sur cette ligne doit effectuer un jet de sauvegarde de Dextérité DD 16, subissant 66 (12d10) dégâts de foudre en cas d'échec, ou la moitié de ces dégâts en cas de réussite.
- Engloutissement. Le béhir effectue une attaque de morsure contre une créature de taille M ou inférieure qu'il agrippe. Si l'attaque réussit, la créature est avalée, et elle n'est plus agrippée. Une fois avalée, la créature est aveuglée et entravée, bénéficie d'un abri total contre les attaques et effets provenant de l'extérieur du béhir, et subit 21 (6d6) dégâts d'acide au début de chaque tour du béhir. Un béhir ne peut avoir en lui qu'une seule créature engloutie à la fois. Si le béhir subit 30 points de dégâts ou plus en un seul tour de la part de la créature avalée, il doit réussir un jet de sauvegarde de Constitution DD 14 à la fin du tour ou régurgiter la créature qu'il a avalée, qui se retrouve alors à terre, à 3 mètres ou moins du béhir. Si le béhir meurt, une créature avalée n'est plus entravée et peut s'échapper du cadavre en utilisant 4,50 mètres de mouvement pour se retrouver à l'extérieur et à terre.</t>
  </si>
  <si>
    <t xml:space="preserve">Belette</t>
  </si>
  <si>
    <t xml:space="preserve">TP</t>
  </si>
  <si>
    <t xml:space="preserve">1 (1d4-1)</t>
  </si>
  <si>
    <t xml:space="preserve">Discrétion+5
Perception+3</t>
  </si>
  <si>
    <t xml:space="preserve">- Sens Perception passive 13
- Odorat et ouïe aiguisés. La belette a un avantage aux jets de Sagesse (Perception) basés sur l'odorat ou l'ouïe.</t>
  </si>
  <si>
    <t xml:space="preserve">- Morsure. Attaque au corps à corps avec une arme : +5 au toucher, allonge 1,50 m, une cible. Touché : 1 dégât perforant.</t>
  </si>
  <si>
    <t xml:space="preserve">Belette géante</t>
  </si>
  <si>
    <t xml:space="preserve">- Sens vision dans le noir 18 m, Perception passive 13
- Odorat et ouïe aiguisés. La belette a un avantage aux jets de Sagesse (Perception) basés sur l'odorat ou l'ouïe.</t>
  </si>
  <si>
    <t xml:space="preserve">- Morsure. Attaque au corps à corps avec une arme : +5 au toucher, allonge 1,50 m, une cible. Touché : 5 (1d4 + 3) dégâts perforants.</t>
  </si>
  <si>
    <t xml:space="preserve">Berserker</t>
  </si>
  <si>
    <t xml:space="preserve">Tout chaotique</t>
  </si>
  <si>
    <t xml:space="preserve">- Sens Perception passive 10
- Téméraire. Au début de son tour, un berserker peut obtenir un avantage à tous les jets d'attaque au corps à corps avec une arme pendant ce tour, mais les attaques contre lui ont un avantage jusqu'au début de son prochain tour.</t>
  </si>
  <si>
    <t xml:space="preserve">- Hache à deux mains. Attaque au corps à corps avec une arme : +5 au toucher, allonge 1,50 m, une cible. Touché : 9 (1d12 + 3) dégâts tranchants.</t>
  </si>
  <si>
    <t xml:space="preserve">Bête éclipsante</t>
  </si>
  <si>
    <t xml:space="preserve">85 (10d10+30</t>
  </si>
  <si>
    <t xml:space="preserve">- Sens vision dans le noir 18 m, Perception passive 11
- Esquive totale. Si la bête éclipsante est soumise à un effet qui lui permet d'effectuer un jet de sauvegarde pour ne subir que la moitié des dégâts, elle ne subit aucun dégât si elle réussit son jet de sauvegarde, et seulement la moitié des dégâts si elle échoue.
- Déplacement. La bête éclipsante projette une illusion magique qui fait apparaître la bête éclipsante à quelques centimètres de sa véritable localisation ; de ce fait, les jets d'attaque qui ciblent la bête éclipsante ont un désavantage contre elle. Si elle est touchée par une attaque, ce trait est interrompu jusqu'à la fin de son prochain tour. Ce trait est également interrompu tant que la bête éclipsante est incapable d'agir ou que sa vitesse de déplacement est égale à 0 mètre..</t>
  </si>
  <si>
    <t xml:space="preserve">- Attaques multiples. La bête éclipsante effectue deux attaques avec ses tentacules.
- Tentacule. Attaque au corps à corps avec une arme : +6 au toucher, allonge 3 m, une cible. Touché : 7 (1d6 + 4) dégâts contondants + 3 (1d6) dégâts perforants.</t>
  </si>
  <si>
    <t xml:space="preserve">Blaireau</t>
  </si>
  <si>
    <t xml:space="preserve">3 (1d4+1)</t>
  </si>
  <si>
    <t xml:space="preserve">6 m, creusement 1,50 m</t>
  </si>
  <si>
    <t xml:space="preserve">- Sens vision dans le noir 9 m, Perception passive 11
- Odorat aiguisé. Le blaireau a un avantage aux jets de Sagesse (Perception) basés sur l'odorat.</t>
  </si>
  <si>
    <t xml:space="preserve">- Morsure. Attaque au corps à corps avec une arme : +2 au toucher, allonge 1,50 m, une cible. Touché : 1 dégât perforant.</t>
  </si>
  <si>
    <t xml:space="preserve">Blaireau géant</t>
  </si>
  <si>
    <t xml:space="preserve">- Attaques multiples. Le blaireau réalise deux attaques : une avec ses griffes et une de morsure.
- Griffes. Attaque au corps à corps avec une arme : +3 au toucher, allonge 1,50 m, une cible. Touché : 6 (2d4 + 1) dégâts tranchants.
- Morsure. Attaque au corps à corps avec une arme : +3 au toucher, allonge 1,50 m, une cible. Touché : 4 (1d6 + 1) dégâts perforants.</t>
  </si>
  <si>
    <t xml:space="preserve">Blême</t>
  </si>
  <si>
    <t xml:space="preserve">36 (8d8)</t>
  </si>
  <si>
    <t xml:space="preserve">- Résistances aux dégâts nécrotique
- Immunités aux dégâts poison
- Immunités aux états charmé, épuisement, empoisonné
- Sens vision dans le noir 18 m, Perception passive 10
- Puanteur. Toute créature qui débute son tour à 1,50 mètre ou moins de la blême doit réussir un jet de sauvegarde de Constitution DD 10 ou être empoisonnée jusqu'au début de son prochain tour. Si elle réussit son jet de sauvegarde, la créature est immunisée contre la puanteur des blêmes pour les prochaines 24 heures.
- Mépris du renvoi. La blême et toutes les goules situées dans un rayon de 9 mètres autour d'elle ont un avantage aux jets de sauvegarde pour résister aux effets de renvoi des morts-vivants.</t>
  </si>
  <si>
    <t xml:space="preserve">- Griffes. Attaque au corps à corps avec une arme : +5 au toucher, allonge 1,50 m, une cible. Touché : 10 (2d6 + 3) dégâts tranchants. Si la cible est une créature autre qu'un mort-vivant, elle doit réussir un jet de sauvegarde de Constitution DD 10 ou être paralysée pendant 1 minute. La cible peut retenter son jet de sauvegarde à la fin de chacun de ses tours, mettant fin à l'effet qui l'affecte en cas de réussite.
- Morsure. Attaque au corps à corps avec une arme : +3 au toucher, allonge 1,50 m, une créature. Touché : 12 (2d8 + 3) dégâts perforants.</t>
  </si>
  <si>
    <t xml:space="preserve">Bodak</t>
  </si>
  <si>
    <t xml:space="preserve">58 (9d8+18)</t>
  </si>
  <si>
    <t xml:space="preserve">Perception+4
Discrétion+6</t>
  </si>
  <si>
    <t xml:space="preserve">abyssal, les langues qu'il connaissait de son vivant</t>
  </si>
  <si>
    <t xml:space="preserve">- Résistances aux dégâts froid, feu, nécrotique ; contondant, perforant et tranchant d'attaques non magiques
- Immunités aux dégâts foudre, poison
- Immunités aux états charmé, effrayé, empoisonné
- Sens vision dans le noir 36 m, Perception passive 14
- Aura d'annihilation. Le bodak peut activer ou désactiver cette capacité par une action bonus. Lorsqu'elle est active, l'aura inflige 5 dégâts nécrotiques à toute créature qui termine son tour à 9 mètres ou moins du bodak. Les morts-vivants et les fiélons ignorent cet effet.
- Regard mortel. Lorsqu'une créature qui peut voir les yeux du bodak commence son tour à 9 mètres ou moins du bodak, le bodak peut la forcer à effectuer un jet de sauvegarde de Constitution DD 13 s'il n'est pas incapable d'agir et peut voir la créature. Si le jet de sauvegarde échoue de 5 ou plus, la créature est réduite à 0 point de vie, à moins qu'elle ne soit immunisée contre l'état effrayé. Sinon, une créature subit 16 (3d10) dégâts psychiques en cas d'échec de la sauvegarde. À moins d'être surprise, une créature peut détourner les yeux pour éviter le jet de sauvegarde au début de son tour. Si la créature le fait, elle aura un désavantage aux jets d'attaque contre le bodak jusqu'au début de son prochain tour. Si la créature regarde le bodak entre-temps, elle doit immédiatement effectuer le jet de sauvegarde.
- Hypersensibilité au soleil. Le bodak subit 5 dégâts radiants lorsqu'il débute son tour à la lumière du soleil. S'il est exposé à la lumière du soleil, il a un désavantage aux jets d'attaque et de caractéristique.</t>
  </si>
  <si>
    <t xml:space="preserve">- Poing. Attaque au corps à corps avec une arme : +5 au toucher, allonge 1,50 m, une cible. Touché : 4 (1d4 + 2) dégâts contondants + 9 (2d8) dégâts nécrotiques.
- Regard flétrissant. Une créature que le bodak peut voir à 18 mètres ou moins doit effectuer un jet de sauvegarde de Constitution DD 13, subissant 22 (4d10) dégâts nécrotiques en cas d'échec, ou la moitié de ces dégâts en cas de réussite.</t>
  </si>
  <si>
    <t xml:space="preserve">Boeuf</t>
  </si>
  <si>
    <t xml:space="preserve">- Perception passive 10
- Bête de somme. Le bœuf est considéré comme un animal de taille TG pour ce qui est de déterminer sa capacité de charge.
- Charge. Si le bœuf se déplace d'au moins 6 mètres en ligne droite vers une cible, puis la touche lors d'une attaque avec ses cornes dans le même tour, la cible subit 7 (2d6) dégâts perforants supplémentaires..</t>
  </si>
  <si>
    <t xml:space="preserve">Boiseux</t>
  </si>
  <si>
    <t xml:space="preserve">Athlétisme +7
Perception +4
Discrétion +4</t>
  </si>
  <si>
    <t xml:space="preserve">sylvestre</t>
  </si>
  <si>
    <t xml:space="preserve">- Vulnérabilités aux dégâts feu
- Résistances aux dégâts contondant, perforant
- Immunités aux états charmé, effrayé
- Sens vision dans le noir 18 m, Perception passive 14
- Gourdin magique. Dans la main du boiseux, son gourdin est magique et inflige 7 (3d4) dégâts supplémentaires (inclus dans l'attaque ci-dessous).
- Camouflage dans la végétation. Le boiseux a un avantage aux jets de Dextérité (Discrétion) effectués sur n'importe quel terrain comportant une importante vie végétale.
- Régénération. Le boiseux récupère 10 points de vie au début de son tour s'il est en contact avec le sol. Si le boiseux subit des dégâts de feu, ce trait ne fonctionne pas au début de son prochain tour. Le boiseux ne meurt que s'il débute son tour avec 0 point de vie et qu'il ne se régénère pas.
- Passage par les arbres. Une fois pendant son tour, le boiseux peut utiliser 3 mètres de son mouvement pour pénétrer par magie à l'intérieur d'un arbre vivant se trouvant à 1,50 mètre ou moins de lui et ressortir d'un arbre vivant dans un rayon de 18 mètres autour du premier arbre, apparaissant alors dans un espace inoccupé à 1,50 mètre du deuxième arbre. Chacun des arbres doit être de taille G ou supérieure.</t>
  </si>
  <si>
    <t xml:space="preserve">- Attaques multiples. Le boiseux effectue deux attaques de gourdin.
- Gourdin. Attaque au corps à corps avec une arme : +7 au toucher, allonge 1,50 m, une cible. Touché : 14 (4d4 + 4) dégâts contondants.</t>
  </si>
  <si>
    <t xml:space="preserve">Bonnet rouge</t>
  </si>
  <si>
    <t xml:space="preserve">Fée</t>
  </si>
  <si>
    <t xml:space="preserve">45 (6d6+24)</t>
  </si>
  <si>
    <t xml:space="preserve">7,50 m</t>
  </si>
  <si>
    <t xml:space="preserve">Athlétisme+6
Perception+3</t>
  </si>
  <si>
    <t xml:space="preserve">commun, sylvestre</t>
  </si>
  <si>
    <t xml:space="preserve">- Sens vision dans le noir 18 m, Perception passive 13
- Bottes en fer. Lorsqu'il se déplace, le bonnet rouge a un désavantage aux jets de Dextérité (Discrétion).
- Force hors normes. Durant une lutte, le bonnet rouge est considéré comme étant de taille M. De plus, l'utilisation d'une arme lourde n'impose pas de désavantage à ses jets d'attaque.</t>
  </si>
  <si>
    <t xml:space="preserve">- Attaques multiples. Le bonnet rouge effectue trois attaques avec sa serpe mauvaise.
- Serpe mauvaise. Attaque au corps à corps avec une arme : +6 au toucher, allonge 1,50 m, une cible. Touché : 9 (2d4 + 4) dégâts tranchants.
- Poursuite de fer. Le bonnet rouge se déplace à sa vitesse vers une créature qu'il peut voir et donne des coups de pied avec ses bottes en fer. La cible doit réussir un jet de sauvegarde de Dextérité DD 14 ou subir 20 (3d10 + 4) dégâts contondants et tomber à terre.</t>
  </si>
  <si>
    <t xml:space="preserve">Bretteur</t>
  </si>
  <si>
    <t xml:space="preserve">Tout non loyal</t>
  </si>
  <si>
    <t xml:space="preserve">66 (12d8+12)</t>
  </si>
  <si>
    <t xml:space="preserve">Acrobaties+8
Athlétisme+5
Persuasion+6</t>
  </si>
  <si>
    <t xml:space="preserve">- Sens Perception passive 10
- Pied léger. Le bretteur peut prendre l'action Foncer ou Se désengager comme action bonus à chacun de ses tours.
- Défense élégante. Si le bretteur porte au plus une armure légère et aucun bouclier, sa CA inclut son modificateur Charisme.</t>
  </si>
  <si>
    <t xml:space="preserve">- Attaques multiples. Le bretteur effectue trois attaques : une avec sa dague et deux avec sa rapière.
- Dague. Attaque au corps à corps ou à distance avec une arme : +6 au toucher, allonge 1,50 m ou portée 6/18 m, une cible. Touché : 6 (1d4 + 4) dégâts perforants.
- Rapière. Attaque au corps à corps avec une arme : +6 au toucher, allonge 1,50 m, une cible. Touché : 8 (1d8 + 4) dégâts perforants.</t>
  </si>
  <si>
    <t xml:space="preserve">Acrobaties +8
Athlétisme +5
 Persuasion +6</t>
  </si>
  <si>
    <t xml:space="preserve">- Sens Perception passive 10
- Défense élégante. Si le bretteur porte au plus une armure légère et aucun bouclier, sa CA inclut son modificateur Charisme.</t>
  </si>
  <si>
    <t xml:space="preserve">Attaques multiples. Le bretteur effectue trois attaques : une avec sa dague et deux avec sa rapière.
- Dague. Attaque au corps à corps ou à distance avec une arme : +6 au toucher, allonge 1,50 m ou portée 6/18 m, une cible. Touché : 6 (1d4 + 4) dégâts perforants.
- Rapière. Attaque au corps à corps avec une arme : +6 au toucher, allonge 1,50 m, une cible. Touché : 8 (1d8 + 4) dégâts perforants.
ACTION BONUS
- Pied léger. Le bretteur effectue l'action Foncer ou Se désangager.</t>
  </si>
  <si>
    <t xml:space="preserve">Brutacien</t>
  </si>
  <si>
    <t xml:space="preserve">Humanoïde (brutacien)</t>
  </si>
  <si>
    <t xml:space="preserve">6 m, nage 12 m</t>
  </si>
  <si>
    <t xml:space="preserve">Discrétion+3</t>
  </si>
  <si>
    <t xml:space="preserve">brutacien</t>
  </si>
  <si>
    <t xml:space="preserve">- Sens Perception passive 10
- Amphibien. Le brutacien peut respirer aussi bien dans l'air que sous l'eau.
- Communication avec les grenouilles et les crapauds. Le brutacien peut communiquer des concepts simples aux crapauds et aux grenouilles lorsqu'il parle le brutacien.
- Camouflage dans la vase. Le brutacien a un avantage aux jets de Dextérité (Discrétion) effectués pour se cacher sur un terrain marécageux.
- Saut sans élan. Le brutacien peut sauter en longueur jusqu'à 6 mètres ou en hauteur jusqu'à 3 mètres, avec ou sans élan.</t>
  </si>
  <si>
    <t xml:space="preserve">- Attaques multiples. Le brutacien effectue deux attaques au corps à corps : une de morsure et une avec la lance.
- Morsure. Attaque au corps à corps avec une arme : +3 au toucher, allonge 1,50 m, une cible. Touché : 3 (1d4 + 1) dégâts contondants.
- Lance. Attaque au corps à corps ou à distance avec une arme : +3 au toucher, allonge 1,50 m ou portée 6/18 m, une cible. Touché : 4 (1d6 + 1) dégâts perforants, ou 5 (1d8 + 1) dégâts perforants si utilisée à deux mains pour faire une attaque au corps à corps.</t>
  </si>
  <si>
    <t xml:space="preserve">Bulette</t>
  </si>
  <si>
    <t xml:space="preserve">94 (9d10+45)</t>
  </si>
  <si>
    <t xml:space="preserve">12 m, creusement 12 m</t>
  </si>
  <si>
    <t xml:space="preserve">Perception+6</t>
  </si>
  <si>
    <t xml:space="preserve">- Sens vision dans le noir 18 m, perception des vibrations 18 m, Perception passive 16
- Saut sans élan. La bulette peut sauter en longueur jusqu'à 9 mètres ou en hauteur jusqu'à 4,50 mètres, avec ou sans élan.</t>
  </si>
  <si>
    <t xml:space="preserve">- Morsure. Attaque au corps à corps avec une arme : +7 au toucher, allonge 1,50 m, une cible. Touché : 30 (4d12 + 4) dégâts perforants.
- Saut implacable. Si la bulette parcourt au moins 4,50 mètres en sautant lors de son mouvement, elle peut utiliser son action pour atterrir sur un espace où se trouvent une ou plusieurs créatures. Chaque créature doit alors réussir un jet de sauvegarde de Force ou de Dextérité DD 16 (au choix de la cible) ou tomber à terre et subir 14 (3d6 + 4) dégâts contondants + 14 (3d6 + 4) dégâts tranchants. Si le jet de sauvegarde est réussi, la créature subit la moitié des dégâts, n'est pas projetée au sol, et est poussée de 1,50 mètre hors de l'espace de la bulette (vers un espace inoccupé choisi par la créature). S'il n'y a pas d'espace libre à portée, la créature se retrouve à terre dans l'espace de la bulette.</t>
  </si>
  <si>
    <t xml:space="preserve">Cambion</t>
  </si>
  <si>
    <t xml:space="preserve">Fiélon</t>
  </si>
  <si>
    <t xml:space="preserve">82 (11d8+33)</t>
  </si>
  <si>
    <t xml:space="preserve">9 m, vol 18 m</t>
  </si>
  <si>
    <t xml:space="preserve">Discrétion +7
Intimidation +6
Perception +
Tromperie +6
JS FOR+7
JS CON+6
JS INT+5
JS CHA+6</t>
  </si>
  <si>
    <t xml:space="preserve">abyssal, commun, infernal</t>
  </si>
  <si>
    <t xml:space="preserve">- Résistances aux dégâts foudre, feu, froid, poison ; contondant, perforant et tranchant d'attaques non magiques
- Sens vision dans le noir 18 m, Perception passive 14
- Faveur impie. La CA du cambion prend en compte son bonus de Charisme.
- Incantation innée. La caractéristique d'incantation innée du cambion est le Charisme (jet de sauvegarde contre ses sorts DD 14). Le cambion peut lancer les sorts suivants de manière innée, sans avoir besoin de composantes matérielles :
  - 3/jour chacun : détection de la magie, injonction, modification d'apparence
  - 1/jour : changement de plan (personnel uniquement)</t>
  </si>
  <si>
    <t xml:space="preserve">- Attaques multiples. Le cambion effectue deux attaques au corps à corps, ou utilise deux fois son Rayon de feu.
- Lance. Attaque au corps à corps ou à distance avec une arme : +7 au toucher, allonge 1,50 m ou portée 6/12 m, une cible. Touché : 7 (1d6 + 4) dégâts perforants, ou 8 (1d8 + 4) dégâts perforants si utilisée à deux mains pour faire une attaque au corps à corps, plus 3 (1d6) dégâts de feu.
- Rayon de feu. Attaque à distance avec un sort : +7 au toucher, portée 36 m, une cible. Touché : 10 (3d6) dégâts de feu.
- Charme satanique. Un humanoïde situé à 9 mètres ou moins du cambion et qu'il peut voir doit réussir un jet de sauvegarde de Sagesse DD 14 ou être charmé par magie pendant 1 journée. La cible charmée obéit aux paroles du cambion. Si la cible subit des dégâts de la part du cambion ou d'une autre créature, ou reçoit un ordre suicidaire de la part du cambion, elle peut retenter le jet de sauvegarde, mettant fin à l'effet en cas de réussite. Si le jet de sauvegarde d'une créature est réussi ou que l'effet qu'elle subit se termine, celle-ci devient immunisée au Charme satanique du cambion pendant les prochaines 24 heures.</t>
  </si>
  <si>
    <t xml:space="preserve">Catoblépas</t>
  </si>
  <si>
    <t xml:space="preserve">84 (8d10+ 40)</t>
  </si>
  <si>
    <t xml:space="preserve">- Sens vision dans le noir 18 m, Perception passive 12
- Odorat aiguisé. Le catoblépas a un avantage aux jets de Sagesse (Perception) basés sur l'odorat.
- Puanteur. Toute créature autre qu'un catoblépas qui débute son tour dans un rayon de 3 mètres autour du catoblépas doit réussir un jet de sauvegarde de Constitution DD 16 ou être empoisonnée jusqu'au début de son prochain tour. En cas de réussite, la créature est immunisée contre la puanteur de tous les catoblépas pendant 1 heure.</t>
  </si>
  <si>
    <t xml:space="preserve">- Queue. Attaque au corps à corps avec une arme : +7 au toucher, allonge 3 m, une cible. Touché : 21 (5d6 + 4) dégâts contondants, et la cible doit réussir un jet de sauvegarde de Constitution DD 16 ou être étourdie jusqu'au début du prochain tour du catoblépas.
- Rayon de la mort (Recharge 5-6). Le catoblépas cible une créature qu'il peut voir et se trouvant à 9 mètres ou moins de lui. La cible doit effectuer un jet de sauvegarde de Constitution DD 16, subissant 36 (8d8) dégâts nécrotiques en cas d'échec, ou la moitié de ces dégâts en cas de réussite. Si le jet de sauvegarde échoue de 5 ou plus, la cible subit à la place 64 dégâts nécrotiques. La cible meurt si elle tombe à 0 point de vie à cause de ce rayon.</t>
  </si>
  <si>
    <t xml:space="preserve">Centaure</t>
  </si>
  <si>
    <t xml:space="preserve">45 (6d10+12)</t>
  </si>
  <si>
    <t xml:space="preserve">Athlétisme+6
Survie+3
Perception+3</t>
  </si>
  <si>
    <t xml:space="preserve">elfique, sylvestre</t>
  </si>
  <si>
    <t xml:space="preserve">- Sens Perception passive 13
- Charge. Si le centaure se déplace d'au moins 9 mètres en ligne droite vers une cible, puis la touche lors d'une attaque avec la pique dans le même tour, la cible subit 10 (3d6) dégâts perforants supplémentaires.</t>
  </si>
  <si>
    <t xml:space="preserve">- Attaques multiples. Le centaure effectue deux attaques : une avec la pique et une avec ses sabots, ou deux avec l'arc long.
- Pique. Attaque au corps à corps avec une arme : +6 au toucher, allonge 3 m, une cible. Touché : 9 (1d10 + 4) dégâts perforants.
- Sabots. Attaque au corps à corps avec une arme : +6 au toucher, allonge 1,50 m, une cible. Touché : 11 (2d6 + 4) dégâts contondants.
- Arc long. Attaque à distance avec une arme : +4 au toucher, portée 45/180 m, une cible. Touché : 6 (1d8 + 2) dégâts perforants.</t>
  </si>
  <si>
    <t xml:space="preserve">Cerf</t>
  </si>
  <si>
    <t xml:space="preserve">4 (1d8)</t>
  </si>
  <si>
    <t xml:space="preserve">- Perception passive 12</t>
  </si>
  <si>
    <t xml:space="preserve">- Morsure. Attaque au corps à corps avec une arme : +2 au toucher, allonge 1,50 m, une cible. Touché : 2 (1d4) dégâts perforants.</t>
  </si>
  <si>
    <t xml:space="preserve">Cerveau, vénérable</t>
  </si>
  <si>
    <t xml:space="preserve">210 (20d10+100)</t>
  </si>
  <si>
    <t xml:space="preserve">1,50 m, nage 3 m</t>
  </si>
  <si>
    <t xml:space="preserve">Arcanes +10
Intimidation +12
Intuition +14
Persuasion +12
Tromperie +12
JS INT+10
JS SAG+9
JS CHA+12</t>
  </si>
  <si>
    <t xml:space="preserve">comprend le commun, le profond et le commun des profondeurs mais ne peut pas parler, télépathie 7,5 kilomètres</t>
  </si>
  <si>
    <t xml:space="preserve">- Sens vision aveugle 36 m, Perception passive 14
- Perception des créatures. Le cerveau vénérable est conscient de la présence des créatures dans un rayon de 7,5 kilomètres autour de lui et qui ont une valeur d'Intelligence de 4 ou plus. Il connait la distance et la direction de chacune de ces créatures, ainsi que leur valeur d'Intelligence respective, mais il ne peut rien percevoir d'autre d'elles. Une créature protégée par le sort esprit impénétrable, le sort non-détection ou une magie similaire ne peut pas être perçue par ce trait.
- Incantation innée (psioniques). La caractéristique d'incantation innée du cerveau vénérable est l'Intelligence (jet de sauvegarde contre ses sorts DD 18). Le cerveau vénérable peut lancer les sorts suivants de manière innée, sans avoir besoin d'aucune composante :
À volonté : détection des pensées, lévitation
1/jour chacun : domination de personne, changement de plan (personnel uniquement)
- Résistance légendaire (3/jour). Si le cerveau vénérable échoue à un jet de sauvegarde, il peut décider de transformer cet échec en réussite.
- Résistance à la magie. Le cerveau vénérable a un avantage aux jets de sauvegarde contre les sorts et autres effets magiques.
- Relai télépathique. Le cerveau vénérable peut utiliser sa télépathie pour débuter et maintenir une conversation télépathique avec un maximum de dix créatures en simultané. Le cerveau vénérable peut permettre à ces créatures de s'entendre télépathiquement les unes avec les autres tant qu'elles sont connectées de la sorte.</t>
  </si>
  <si>
    <t xml:space="preserve">- Tentacule. Attaque au corps à corps avec une arme : +7 au toucher, allonge 9 m, une cible. Touché : 20 (4d8 + 2) dégâts contondants. Si la cible est de taille TG ou inférieure, elle est agrippée (évasion DD 15) et subit 9 (1d8 + 5) dégâts psychiques au début de chacun de ses tours jusqu'à ce qu'elle ne soit plus agrippée. Le cerveau vénérable peut agripper jusqu'à quatre créatures à la fois.
- Explosion de l'esprit (Recharge 5-6). Le cerveau vénérable émet par magie de l'énergie psychique. Les créatures choisies par le cerveau vénérable et qui se trouvent dans un rayon de 18 mètres autour de lui doivent réussir un jet de sauvegarde d'Intelligence DD 18 ou subir 32 (5d10 + 5) dégâts psychiques et être étourdie pendant 1 minute. Une créature peut retenter son jet de sauvegarde à la fin de chacun de ses tours, mettant fin à l'effet qui l'affecte en cas de réussite.
- Lien psychique. Le cerveau vénérable cible une créature incapable d'agir qu'il peut percevoir à l'aide de son trait Perception des créatures et établit un lien psychique avec elle. Jusqu'à ce que le lien psychique prenne fin, le cerveau vénérable peut percevoir tout ce que la créature perçoit. La cible devient consciente que quelque chose est lié à son esprit une fois qu'elle n'est plus incapable d'agir, et le cerveau vénérable peut rompre le lien à n'importe quel moment (aucune action n'est requise). La cible peut utiliser une action au cours de son tour pour briser le lien psychique si elle réussit un jet de sauvegarde de Charisme DD 18. En cas de réussite, la cible subit 10 (3d6) dégâts psychiques. Le lien prend également fin si la cible et le cerveau vénérable sont éloignés de plus de 7,5 kilomètres ; dans ce cas la cible ne subit aucun dégât. Le cerveau vénérable peut établir un lien psychique avec un maximum de dix créatures en même temps.
- Perception des pensées. Le cerveau vénérable cible une créature avec laquelle il a établi un lien psychique. Le cerveau vénérable a alors une idée de ce à quoi réfléchit la cible, de son état émotionnel et des pensées générales qui affectent son esprit (ce qui inclut les choses que la cible aime, déteste ou qui l'inquiètent). Le cerveau vénérable peut également effectuer un jet de Charisme (Tromperie) avec avantage pour persuader l'esprit de sa cible qu'elle pense elle-même à une idée précise ou qu'elle ressent une émotion particulière choisie par le cerveau vénérable. La cible s'oppose à cette tentative en effectuant un jet opposé de Sagesse (Intuition). Si le cerveau vénérable l'emporte, l'esprit de sa cible se laisse berner pendant 1 heure ou jusqu'à ce qu'un fait évident contredisant l'idée instillée dans son esprit se présente à elle.</t>
  </si>
  <si>
    <t xml:space="preserve">Le cerveau vénérable peut effectuer 3 actions légendaires, en choisissant parmi les options suivantes. Une seule action légendaire peut être utilisée à la fois, et seulement à la fin du tour d'une autre créature. Le cerveau vénérable récupère les actions légendaires dépensées au début de son tour.
- Tentacule. Le cerveau vénérable effectue une attaque de tentacule.
- Rupture de concentration. Le cerveau vénérable cible une créature dans un rayon de 36 mètres autour de lui et avec laquelle il possède un lien psychique. Le cerveau vénérable brise la concentration de la cible sur un sort qu'elle a lancé. La créature subit également 1d4 dégâts psychiques par niveau du sort.
- Pulsation psychique. Le cerveau vénérable cible une créature dans un rayon de 36 mètres autour de lui et avec laquelle il possède un lien psychique. Les ennemis du cerveau vénérable se trouvant dans un rayon de 3 mètres autour de cette créature subissent 10 (3d6) dégâts psychiques.
- Lien psychique intense. Le cerveau vénérable cible une créature dans un rayon de 36 mètres autour de lui et avec laquelle il possède un lien psychique. Le cerveau vénérable met fin au lien, affligeant par la même occasion la créature d'un désavantage aux jets de caractéristique, d'attaque et de sauvegarde jusqu'à la fin du prochain tour de la créature.</t>
  </si>
  <si>
    <t xml:space="preserve">Chacal</t>
  </si>
  <si>
    <t xml:space="preserve">Perception+3</t>
  </si>
  <si>
    <t xml:space="preserve">- Perception passive 13
- Odorat et ouïe aiguisés. Le chacal a un avantage aux jets de Sagesse (Perception) basés sur l'odorat ou l'ouïe.
- Tactique de groupe. Le chacal a un avantage aux jets d'attaque contre une créature si au moins l'un de ses alliés est à 1,50 mètre ou moins de la créature et n'est pas incapable d'agir.</t>
  </si>
  <si>
    <t xml:space="preserve">- Morsure. Attaque au corps à corps avec une arme : +1 au toucher, allonge 1,50 m, une cible. Touché : 1 (1d4 - 1) dégâts perforants.</t>
  </si>
  <si>
    <t xml:space="preserve">Chameau</t>
  </si>
  <si>
    <t xml:space="preserve">- Morsure. Attaque au corps à corps avec une arme : +5 au toucher, allonge 1,50 m, une cible. Touché : 2 (1d4) dégâts contondants.</t>
  </si>
  <si>
    <t xml:space="preserve">Champion</t>
  </si>
  <si>
    <t xml:space="preserve">143 (22d8+44)</t>
  </si>
  <si>
    <t xml:space="preserve">Athlétisme +9
Intimidation +5
Perception +6
JS FOR+9
JS CON+6</t>
  </si>
  <si>
    <t xml:space="preserve">- Sens Perception passive 16
- Inflexible (2/jour). Le champion relance un jet de sauvegarde raté.
- Second souffle (Recharge après un repos court ou long). Par une action bonus, le champion peut regagner 20 pv.</t>
  </si>
  <si>
    <t xml:space="preserve">- Attaques multiples. Le champion effectue trois attaques avec son épée à deux mains ou son arc court.
- Épée à deux mains. Attaque au corps à corps avec une arme : +9 au toucher, allonge 1,50 m, une cible. Touché : 12 (2d6 + 5) dégâts tranchants, plus 7 (2d6) dégâts tranchants si le champion possède encore plus de la moitié de ses points de vie.
- Arc court [E]. Attaque à distance avec une arme : +6 au toucher, portée 24/96 m, une cible. Touché : 5 (1d6 + 2) dégâts perforants, plus 7 (2d6) dégâts perforants si le champion possède encore plus de la moitié de ses points de vie.</t>
  </si>
  <si>
    <t xml:space="preserve">- Sens Perception passive 16
- Inflexible (2/jour). Le champion relance un jet de sauvegarde raté</t>
  </si>
  <si>
    <t xml:space="preserve">Attaques multiples. Le champion effectue trois attaques avec son épée à deux mains ou son arc court.
- Épée à deux mains. Attaque au corps à corps avec une arme : +9 au toucher, allonge 1,50 m, une cible. Touché : 12 (2d6 + 5) dégâts tranchants, plus 7 (2d6) dégâts tranchants si le champion possède encore plus de la moitié de ses points de vie.
- Arc court. Attaque à distance avec une arme : +6 au toucher, portée 24/96 m, une cible. Touché : 5 (1d6 + 2) dégâts perforants, plus 7 (2d6) dégâts perforants si le champion possède encore plus de la moitié de ses points de vie.
ACTION BONUS
- Second souffle (recharge après un repos court ou long). Le champion récupère 20 points de vie.</t>
  </si>
  <si>
    <t xml:space="preserve">Charognard rampant</t>
  </si>
  <si>
    <t xml:space="preserve">- Sens vision dans le noir 18 m, Perception passive 13
- Odorat aiguisé. Le charognard rampant a un avantage aux jets de Sagesse (Perception) basés sur l'odorat.
- Pattes d'araignée. Le charognard rampant peut escalader des surfaces difficiles et être au plafond la tête en bas sans avoir besoin d'effectuer un jet de caractéristique.</t>
  </si>
  <si>
    <t xml:space="preserve">- Attaques multiples. Le charognard rampant effectue deux attaques : une avec ses tentacules et une de morsure.
- Tentacules. Attaque au corps à corps avec une arme : +8 au toucher, allonge 3 m, une créature. Touché : 4 (1d4 + 2) dégâts de poison, et la cible doit réussir un jet de sauvegarde de Constitution DD 13 ou être empoisonné pendant 1 minute. Jusqu'à ce que ce poison prenne fin, la cible est paralysée. La cible peut retenter ce jet de sauvegarde à la fin de chacun de ses tours, mettant fin au poison qui l'affecte.
- Morsure. Attaque au corps à corps avec une arme : +4 au toucher, allonge 1,50 m, une cible. Touché : 7 (2d4 + 2) dégâts perforants.</t>
  </si>
  <si>
    <t xml:space="preserve">Chasme</t>
  </si>
  <si>
    <t xml:space="preserve">84 (13d10+13)</t>
  </si>
  <si>
    <t xml:space="preserve">6 m, vol 18 m</t>
  </si>
  <si>
    <t xml:space="preserve">Perception+5
JS DEX+5
JS SAG+5</t>
  </si>
  <si>
    <t xml:space="preserve">- Résistances aux dégâts froid, feu, foudre
- Immunités aux dégâts poison
- Immunités aux états empoisonné
- Sens vision aveugle 3 m, vision dans le noir 36 m, Perception passive 15
- Bourdonnement. Le chasme produit un horrible son bourdonnant auquel sont immunisés les démons. Toute autre créature qui débute son tour dans un rayon de 9 mètres autour du chasme doit réussir un jet de sauvegarde de Constitution DD 12 ou tomber inconsciente pendant 10 minutes. Une créature qui ne peut pas entendre le bourdonnement réussit automatiquement son jet de sauvegarde. L'effet sur une créature rendue inconsciente prend fin dès qu'elle subit des dégâts ou si une autre créature utilise son action pour l'asperger avec de l'eau bénite. Si une créature réussit son jet de sauvegarde contre cet effet ou si cet effet prend fin pour elle, elle est immunisée au bourdonnement pour les prochaines 24 heures.
- Résistance à la magie. Le chasme a un avantage aux jets de sauvegarde contre les sorts et autres effets magiques.
- Pattes d'araignée. La chasme peut escalader des surfaces difficiles et être au plafond la tête en bas sans avoir besoin d'effectuer un jet de caractéristique.</t>
  </si>
  <si>
    <t xml:space="preserve">- Rostre. Attaque au corps à corps avec une arme : +5 au toucher, allonge 1,50 m, une créature. Touché : 16 (4d6 + 2) dégâts perforants + 24 (7d6) dégâts nécrotiques, et le maximum de points de vie de la cible est réduit d'un montant égal aux dégâts nécrotiques subis. Si cet effet fait tomber le maximum de points de vie de la créature à 0, la créature meurt. Cette réduction du maximum de points de vie de la créature est effective jusqu'à ce que la créature finisse un repos long ou soit ciblée par un sort de restauration supérieure ou tout autre effet similaire.</t>
  </si>
  <si>
    <t xml:space="preserve">Chat</t>
  </si>
  <si>
    <t xml:space="preserve">2 (1d4)</t>
  </si>
  <si>
    <t xml:space="preserve">12 m, escalade 9 m</t>
  </si>
  <si>
    <t xml:space="preserve">Discrétion+4
Perception+3</t>
  </si>
  <si>
    <t xml:space="preserve">- Perception passive 13
- Odorat aiguisé. Le chat a un avantage aux jets de Sagesse (Perception) basés sur l'odorat.</t>
  </si>
  <si>
    <t xml:space="preserve">- Griffes. Attaque au corps à corps avec une arme : +0 au toucher, allonge 1,50 m, une cible. Touché : 1 dégât tranchant.</t>
  </si>
  <si>
    <t xml:space="preserve">Chauve-souris</t>
  </si>
  <si>
    <t xml:space="preserve">1,50 m, vol 9 m</t>
  </si>
  <si>
    <t xml:space="preserve">- Sens vision aveugle 18 m, Perception passive 11
- Écholocalisation. La chauve-souris ne peut utiliser sa vision aveugle quand elle est assourdie.
- Ouïe aiguisée. La chauve-souris a un avantage aux jets de Sagesse (Perception) faisant appel à l'ouïe.</t>
  </si>
  <si>
    <t xml:space="preserve">- Morsure. Attaque au corps à corps avec une arme : +0 au toucher, allonge 1,50 m, une créature. Touché : 1 dégât perforant.</t>
  </si>
  <si>
    <t xml:space="preserve">Chauve-souris géante</t>
  </si>
  <si>
    <t xml:space="preserve">22 (4d10)</t>
  </si>
  <si>
    <t xml:space="preserve">3 m, vol 18 m</t>
  </si>
  <si>
    <t xml:space="preserve">- Morsure. Attaque au corps à corps avec une arme : +4 au toucher, allonge 1,50 m, une cible. Touché : 5 (1d6 + 2) dégâts perforants.</t>
  </si>
  <si>
    <t xml:space="preserve">Cheval de guerre</t>
  </si>
  <si>
    <t xml:space="preserve">- Perception passive 11
- Charge écrasante. Si un cheval se déplace d'au moins 6 mètres en ligne droite vers une créature, puis la touche lors d'une attaque avec ses sabots dans le même tour, la cible doit réussir un jet de sauvegarde de Force DD 14 pour ne pas être jetée à terre. Si la cible est à terre, le cheval peut réaliser une autre attaque contre elle avec ses sabots en tant qu'action bonus.</t>
  </si>
  <si>
    <t xml:space="preserve">- Sabots. Attaque au corps à corps avec une arme : +6 au toucher, allonge 1,50 m, une cible. Touché : 11 (2d6 + 4) dégâts contondants.</t>
  </si>
  <si>
    <t xml:space="preserve">Cheval de selle</t>
  </si>
  <si>
    <t xml:space="preserve">13 (2d10+2)</t>
  </si>
  <si>
    <t xml:space="preserve">- Sabots. Attaque au corps à corps avec une arme : +5 au toucher, allonge 1,50 m, une cible. Touché : 8 (2d4 + 3) dégâts contondants.</t>
  </si>
  <si>
    <t xml:space="preserve">Cheval de trait</t>
  </si>
  <si>
    <t xml:space="preserve">- Sabots. Attaque au corps à corps avec une arme : +6 au toucher, allonge 1,50 m, une cible. Touché : 9 (2d4 + 4) dégâts contondants.</t>
  </si>
  <si>
    <t xml:space="preserve">Chevalier</t>
  </si>
  <si>
    <t xml:space="preserve">JS CON+4
JS AG+2</t>
  </si>
  <si>
    <t xml:space="preserve">- Perception passive 10
- Brave. Le chevalier a un avantage aux jets de sauvegarde pour ne pas être effrayé.</t>
  </si>
  <si>
    <t xml:space="preserve">- Attaques multiples. Le chevalier effectue deux attaques au corps à corps.
- Épée à deux mains. Attaque au corps à corps avec une arme : +5 au toucher, allonge 1,50 m, une cible. Touché : 10 (2d6 + 3) dégâts tranchants.
- Arbalète lourde. Attaque à distance avec une arme : +2 au toucher, portée 30/120 m, une cible. Touché : 5 (1d10) dégâts perforants.
- Commandement (Recharge après un repos court ou long). Pendant 1 minute, le chevalier peut lancer un avertissement ou un ordre spécial chaque fois qu'une créature non-hostile qu'il peut voir dans un rayon de 9 mètres autour de lui effectue un jet d'attaque ou de sauvegarde. La créature peut ajouter un d4 à son jet à condition qu'elle puisse entendre et comprendre le chevalier. Une créature ne peut bénéficier que d'un seul dé de Commandement à la fois. Cet effet se termine si le chevalier est incapable d'agir.</t>
  </si>
  <si>
    <t xml:space="preserve">- Parade. Le chevalier ajoute 2 à sa CA contre une attaque au corps à corps qui le toucherait. Pour ce faire, il doit voir l'attaquant et avoir en main une arme de corps à corps.</t>
  </si>
  <si>
    <t xml:space="preserve">Chevalier de la mort</t>
  </si>
  <si>
    <t xml:space="preserve">180 (19d8+95)</t>
  </si>
  <si>
    <t xml:space="preserve">JS DEX+6
JS SAG+9
JS CHA+10</t>
  </si>
  <si>
    <t xml:space="preserve">abyssal, commun</t>
  </si>
  <si>
    <t xml:space="preserve">- Immunités aux dégâts nécrotique, poison
- Immunités aux états effrayé, épuisement, empoisonné
- Sens vision dans le noir 36 m, Perception passive 13
- Résistance à la magie. Le chevalier de la mort a un avantage aux jets de sauvegarde contre les sorts et autres effets magiques.
- Général des Morts. À moins que le chevalier de la mort soit incapable d'agir, les morts-vivants de son choix à 18 mètres ou moins de lui (lui y comprit) bénéficient d'un avantage à leurs jets de sauvegarde contre les capacités qui repoussent les morts-vivants.
- Nature morte-vivante. Le chevalier de la mort n'a pas besoin d'air, ni de manger, ni de boire, ni de dormir.
- Incantation. Le chevalier de la mort est un lanceur de sorts de niveau 19. Sa caractéristique d'incantation est le Charisme (jet de sauvegarde contre ses sorts DD 18, +10 au toucher pour les attaques avec un sort). Il a préparé les sorts de paladin suivants :
  - Niveau 1 (4 emplacements) : châtiment calcinant, duel forcé, injonction
  - Niveau 2 (3 emplacements) : arme magique, immobilisation de personne
  - Niveau 3 (3 emplacements) : arme élémentaire, dissipation de la magie
  - Niveau 4 (3 emplacements) : bannissement, châtiment débilitant
  - Niveau 5 (2 emplacements) : vague destructrice (nécrotique)</t>
  </si>
  <si>
    <t xml:space="preserve">- Attaques multiples. Le chevalier de la mort effectue trois attaques avec son épée longue.
- Épée longue. Attaque au corps à corps avec une arme : +11 au toucher, allonge 1,50 m, une cible. Touché : 9 (1d8 + 5) dégâts tranchants, ou 10 (1d10 + 5) dégâts tranchants si utilisée à deux mains, plus 18 (4d8) dégâts nécrotiques.
- Flammes impies (1/jour). Le chevalier de la mort projette une boule de feu magique qui explose en un point qu'il peut voir situé dans un rayon de 36 mètres autour de lui. Chaque créature dans un rayon de 6 mètres autour du point d'impact doit lancer un jet de sauvegarde de Dextérité DD 18. La sphère se propage au-delà des coins. Une créature subit 35 (10d6) dégâts de feu et 35 (10d6) dégâts nécrotiques si le jet de sauvegarde est raté, ou la moitié en cas de réussite.</t>
  </si>
  <si>
    <t xml:space="preserve">- Parade. Le chevalier de la mort ajoute 6 à sa CA contre une attaque au corps à corps qui le toucherait. Pour ce faire, il doit voir l'attaquant et avoir en main une arme de corps à corps.</t>
  </si>
  <si>
    <t xml:space="preserve">Chevalier noir</t>
  </si>
  <si>
    <t xml:space="preserve">Humanoïde (paladin)</t>
  </si>
  <si>
    <t xml:space="preserve">119 (14d8+56)</t>
  </si>
  <si>
    <t xml:space="preserve">Athlétisme +7
Tromperie +5
Intimidation +5
JS SAG+5
JS CHA+5</t>
  </si>
  <si>
    <t xml:space="preserve">- Sens Perception passive 12</t>
  </si>
  <si>
    <t xml:space="preserve">Attaques multiples. Le chevalier noir effectue trois attaques avec sa coutille, son arc court, ou les deux.
- Coutille. Attaque au corps à corps avec une arme : +7 au toucher, allonge 3 m, une cible. Touché : 9 (1d10 + 4) dégâts tranchants.
- Arc court. Attaque à distance avec une arme : +3 au toucher, portée 24/96 m, une cible. Touché : 5 (1d6 + 2) dégâts perforants.
- Aspect épouvantable (Recharge après un repos court ou long). Chaque ennemi dans un rayon de 9 mètres autour du chevalier noir doit réussir un jet de sauvegarde de Sagesse DD 13 ou être effrayé pendant 1 minute. Si une cible effrayée termine son tour à plus de 9 mètres du chevalier noir, elle peut retenter son jet de sauvegarde, mettant fin à l'effet qui l'affecte en cas de réussite.
- Incantation. Le chevalier noir lance un des sorts suivants, utilisantle Charisme comme caractéristique d'incantation (jet de sauvegarde contre ses sorts DD 13) :
  - 2/jour chacun : injonction, dissipation de la magie, appel de destrier
ACTION BONUS
- Châtiment. Immédiatement après qu'il ait touché une cible avec un jet d'attaque, le chevalier noir peut forcer cette cible à effectuer un jet de sauvegarde de Constitution DD 13. En cas d'échec, la cible subit l'un des effets suivants, au choix du chevalier noir :
- Aveuglé. La cible est aveuglée pendant 1 minute. La cible aveuglée peut retenter son jet la sauvegarde à la fin de chacun de ses tours, mettant fin à l'effet qui l'affecte en cas de réussite.
- Repoussé. La cible est repoussée de 3 mètres et tombe à terre.</t>
  </si>
  <si>
    <t xml:space="preserve">Tout bon</t>
  </si>
  <si>
    <t xml:space="preserve">153 (18d8+72)</t>
  </si>
  <si>
    <t xml:space="preserve">- Sens Perception passive 12
- Incantation. Le chevalier noir est un lanceur de sorts de niveau 10. Sa caractéristique d'incantation est le Charisme (jet de sauvegarde contre ses sorts DD 13, +5 au toucher pour les attaques avec un sort). Il a préparé les sorts de paladin suivants :
  - Niveau 1 (4 emplacements) : injonction, protection contre le mal et le bien, châtiment tonitruant
  - Niveau 2 (3 emplacements) : châtiment révélateur, appel de destrier
  - Niveau 3 (2 emplacements) : châtiment aveuglant, dissipation de la magies</t>
  </si>
  <si>
    <t xml:space="preserve">- Attaques multiples. Le chevalier noir effectue trois attaques avec sa coutille ou son arc court.
- Coutille. Attaque au corps à corps avec une arme : +7 au toucher, allonge 3 m, une cible. Touché : 9 (1d10 + 4) dégâts tranchants.
- Arc court. Attaque à distance avec une arme : +3 au toucher, portée 24/96 m, une cible. Touché : 5 (1d6 + 2) dégâts perforants.
- Aspect épouvantable (Recharge après un repos court ou long). Le chevalier noir diffuse une aura magique de menace. Chaque ennemi se trouvant dans un rayon de 9 mètres autour du chevalier noir doit réussir un jet de sauvegarde de Sagesse DD 13 ou être effrayé pendant 1 minute. Si une cible effrayée termine son tour à plus de 9 mètres du chevalier noir, elle peut retenter son jet de sauvegarde, mettant fin à l'effet qui l'affecte en cas de réussite.</t>
  </si>
  <si>
    <t xml:space="preserve">Chèvre</t>
  </si>
  <si>
    <t xml:space="preserve">- Perception passive 10
- Charge. Si la chèvre se déplace d'au moins 6 mètres en ligne droite vers une cible, puis la touche lors d'une attaque avec un coup de tête dans le même tour, la cible subit 2 (1d4) dégâts contondants supplémentaires. Si la cible est une créature, elle doit réussir un jet de sauvegarde de Force DD 10 ou tomber à terre.
- Stable. La chèvre a un avantage aux jets de sauvegarde de Force et de Dextérité contre les effets susceptibles de la faire tomber à terre.</t>
  </si>
  <si>
    <t xml:space="preserve">- Coup de tête. Attaque au corps à corps avec une arme : +3 au toucher, allonge 1,50 m, une cible. Touché : 3 (1d4 + 1) dégâts contondants.</t>
  </si>
  <si>
    <t xml:space="preserve">Chèvre géante</t>
  </si>
  <si>
    <t xml:space="preserve">- Perception passive 11
- Charge. Si la chèvre se déplace d'au moins 6 mètres en ligne droite vers une cible, puis la touche lors d'une attaque avec un coup de tête dans le même tour, la cible subit 2 (1d4) dégâts contondants supplémentaires. Si la cible est une créature, elle doit réussir un jet de sauvegarde de Force DD 10 ou tomber à terre.
- Stable. La chèvre a un avantage aux jets de sauvegarde de Force et de Dextérité contre les effets susceptibles de la faire tomber à terre.</t>
  </si>
  <si>
    <t xml:space="preserve">- Coup de tête. Attaque au corps à corps avec une arme : +5 au toucher, allonge 1,50 m, une cible. Touché : 8 (2d4 + 3) dégâts contondants.</t>
  </si>
  <si>
    <t xml:space="preserve">Chien de chasse infernal</t>
  </si>
  <si>
    <t xml:space="preserve">45 (7d8+14</t>
  </si>
  <si>
    <t xml:space="preserve">infernal (compris)</t>
  </si>
  <si>
    <t xml:space="preserve">- Immunités aux dégâts feu
- Sens vision dans le noir 18 m, Perception passive 15
- Odorat et ouïe aiguisés. Le chien de chasse a un avantage aux jets de Sagesse (Perception) basés sur l'odorat ou l'ouïe.
- Tactique de groupe. Le chien de chasse a un avantage aux jets d'attaque contre une créature si au moins l'un de ses alliés est à 1,50 mètre ou moins de la créature et n'est pas incapable d'agir.</t>
  </si>
  <si>
    <t xml:space="preserve">- Morsure. Attaque au corps à corps avec une arme : +5 au toucher, allonge 1,50 m, une cible. Touché : 7 (1d8 + 3) dégâts perforants + 7 (2d6) de feu.
- Souffle de feu (Recharge 5-6). Le chien de chasse exhale des flammes dans un cône de 4,50 mètres. Toutes les créatures dans la zone doivent effectuer un jet de sauvegarde de Dextérité DD 12, subissant 21 (6d6) dégâts de feu en cas d'échec, ou la moitié de ces dégâts en cas de réussite.</t>
  </si>
  <si>
    <t xml:space="preserve">Chien de chasse yeth</t>
  </si>
  <si>
    <t xml:space="preserve">12 m, vol 12 m (stationnaire)</t>
  </si>
  <si>
    <t xml:space="preserve">commun, elfique, sylvestre (compris)</t>
  </si>
  <si>
    <t xml:space="preserve">- Immunités aux dégâts contondant, perforant et tranchant d'attaques non magiques qui ne sont pas en argent
- Immunités aux états charmé, épuisement, effrayé
- Sens vision dans le noir 18 m, Perception passive 11
- Odorat et ouïe aiguisés. Le chien de chasse yeth a un avantage aux jets de Sagesse (Perception) basés sur l'odorat ou l'ouïe.
- Banni par le soleil. Si le chien de chasse yeth débute son tour à la lumière du soleil, il est transporté dans le plan éthéré. Tant que la lumière du soleil brille là où il a disparu, le chien de chasse doit rester dans l'éther profond. Après le coucher du soleil, il retourne dans l'éther frontalier où généralement il cherchera à rejoindre sa meute ou son maître. Le chien de chasse yeth est visible du plan matériel tant qu'il se trouve dans l'éther frontalier, et vice versa, mais il ne peut pas affecter ni être affecté par quoi que ce soit se trouvant dans l'autre plan. Une fois qu'il est à proximité de sa meute ou de son maître sur le plan matériel, un chien de chasse yeth se trouvant dans l'éther frontalier peut revenir dans le plan matériel en utilisant une action.
- Lien télépathique. Tant que le chien de chasse yeth se trouve sur le même plan d'existence que son maître, il peut magiquement transmettre à son maître ce qu'il perçoit, et tous deux peuvent communiquer par télépathie.</t>
  </si>
  <si>
    <t xml:space="preserve">- Morsure. Attaque au corps à corps avec une arme : +6 au toucher, allonge 1,50 m, une cible. Touché : 11 (2d6 + 4) dégâts perforants + 14 (4d6) dégâts psychiques si la cible est effrayée.
- Sinistre aboiement. Le chien de chasse yeth aboie magiquement. Tous ses ennemis se trouvant dans un rayon de 90 mètres autour de lui et qui peuvent l'entendre doivent réussir un jet de sauvegarde de Sagesse DD 13 ou être effrayé jusqu'à la fin du prochain tour du chien de chasse yeth ou jusqu'à ce que le chien de chasse soit incapable d'agir. Une cible effrayée qui débute son tour dans un rayon de 9 mètres autour du chien de chasse yeth doit utiliser tout son mouvement au cours de ce tour pour s'éloigner le plus possible du chien de chasse, doit absolument finir son mouvement avant d'utiliser une action, et doit passer par le chemin le plus direct, même si des dangers se dressent sur son passage. Une cible qui réussit son jet de sauvegarde est immunisée au Sinistre aboiement de tous les chiens de chasse yeth pour les prochaines 24 heures.</t>
  </si>
  <si>
    <t xml:space="preserve">Chien du trépas</t>
  </si>
  <si>
    <t xml:space="preserve">Discrétion+4
Perception+5</t>
  </si>
  <si>
    <t xml:space="preserve">- Sens vision dans le noir 36 m, Perception passive 15
- Bicéphale. Le chien a un avantage aux jets de Sagesse (Perception), ainsi qu'aux jets de sauvegarde pour ne pas être assourdi, aveuglé, charmé, étourdi, inconscient ou effrayé.</t>
  </si>
  <si>
    <t xml:space="preserve">- Attaques multiples. Le chien effectue deux attaques de morsure.
- Morsure. Attaque au corps à corps avec une arme : +4 au toucher, allonge 1,50 m, une cible. Touché : 5 (1d6 + 2) dégâts perforants. Si la cible est une créature, elle doit réussir un jet de sauvegarde de Constitution DD 12 contre la maladie pour ne pas être empoisonnée, et ce jusqu'à ce que la maladie soit soignée. Toutes les 24 heures, la créature doit refaire le jet de sauvegarde, et réduire son maximum de points de vie de 5 (1d10) en cas d'échec. Cette réduction dure jusqu'à ce que la maladie soit soignée. La créature meurt si la maladie réduit ses points de vie à 0</t>
  </si>
  <si>
    <t xml:space="preserve">Chien esquiveur</t>
  </si>
  <si>
    <t xml:space="preserve">LB</t>
  </si>
  <si>
    <t xml:space="preserve">22 (4d8+4)</t>
  </si>
  <si>
    <t xml:space="preserve">sylvestre (compris)</t>
  </si>
  <si>
    <t xml:space="preserve">- Sens Perception passive 13
- Odorat et ouïe aiguisés. Le chien a un avantage aux jets de Sagesse (Perception) basés sur l'odorat ou l'ouïe.</t>
  </si>
  <si>
    <t xml:space="preserve">- Morsure. Attaque au corps à corps avec une arme : +3 au toucher, allonge 1,50 m, une cible. Touché : 4 (1d6 + 1) dégâts perforants.
- Téléportation (Recharge 4-6). Le chien se téléporte par magie, emportant avec lui l'équipement qu'il porte ou transporte, jusqu'à un espace inoccupé qu'il peut voir se situant à 12 mètres maximum. Avant ou après s'être téléporté, il peut effectuer une attaque de morsure.</t>
  </si>
  <si>
    <t xml:space="preserve">Chimère</t>
  </si>
  <si>
    <t xml:space="preserve">114 (12d10+48)</t>
  </si>
  <si>
    <t xml:space="preserve">Perception+8</t>
  </si>
  <si>
    <t xml:space="preserve">draconique (compris)</t>
  </si>
  <si>
    <t xml:space="preserve">- Sens vision dans le noir 18 m, Perception passive 18</t>
  </si>
  <si>
    <t xml:space="preserve">- Attaques multiples. La chimère effectue trois attaques : une de morsure, une avec ses cornes et une avec ses griffes. Lorsque son souffle de feu est utilisable, elle peut l'utiliser à la place de la morsure ou des cornes.
- Cornes. Attaque au corps à corps avec une arme : +7 au toucher, allonge 1,50 m, une cible. Touché : 10 (1d12 + 4) dégâts contondants.
- Griffes. Attaque au corps à corps avec une arme : +7 au toucher, allonge 1,50 m, une cible. Touché : 11 (2d6 + 4) dégâts tranchants.
- Morsure. Attaque au corps à corps avec une arme : +7 au toucher, allonge 1,50 m, une cible. Touché : 11 (2d6 + 4) dégâts perforants.
- Souffle de feu (Recharge 5-6). La chimère exhale des flammes dans un cône de 4,50 mètres. Toutes les créatures dans la zone doivent effectuer un jet de sauvegarde de Dextérité DD 15, subissant 31 (7d8) dégâts de feu en cas d'échec, ou la moitié de ces dégâts en cas de réussite.- </t>
  </si>
  <si>
    <t xml:space="preserve">Chitine</t>
  </si>
  <si>
    <t xml:space="preserve">18 (4d6+4)</t>
  </si>
  <si>
    <t xml:space="preserve">Athlétisme+4
Discrétion+4</t>
  </si>
  <si>
    <t xml:space="preserve">commun des profondeurs</t>
  </si>
  <si>
    <t xml:space="preserve">- Sens vision dans le noir 18 m, Perception passive 10
- Ascendance féerique. La chitine a un avantage aux jets de sauvegarde pour de pas être charmé, et la magie ne peut pas l'endormir.
- Sensibilité au soleil. Si elle est exposée à la lumière du soleil, la chitine a un désavantage aux jets d'attaque et aux jets de Sagesse (Perception) basés sur la vue.
- Sens de la toile. Lorsqu'elle est en contact avec une toile, la chitine connaît l'emplacement exact de toutes les créatures en contact avec cette toile.
- Déplacement sur la toile. La chitine ignore les restrictions de mouvement causées par une toile d'araignée.</t>
  </si>
  <si>
    <t xml:space="preserve">Attaques multiples. La chitine effectue trois attaques avec sa dague.
- Dague. Attaque au corps à corps ou à distance avec une arme : +4 au toucher, allonge 1,50 m ou portée 6/18 m, une cible. Touché : 4 (1d4 + 2) dégâts perforants.</t>
  </si>
  <si>
    <t xml:space="preserve">Choldrith</t>
  </si>
  <si>
    <t xml:space="preserve">Athlétisme +5
Religion +2
Discrétion +5</t>
  </si>
  <si>
    <t xml:space="preserve">- Sens vision dans le noir 18 m, Perception passive 12
- Ascendance féerique. La choldrith a un avantage aux jets de sauvegarde ne pas être charmé, et la magie ne peut pas l'endormir.
- Incantation. La choldrith est un lanceur de sorts de niveau 4. Sa caractéristique d'incantation est la Sagesse (jet de sauvegarde contre ses sorts DD 12, +4 au toucher pour les attaques avec un sort). La choldrith a préparé les sorts de clerc suivants :
  - Sorts mineurs (à volonté) : assistance, réparation, résistance, thaumaturgie
  - Niveau 1 (4 emplacements) : fléau, mot de guérison, sanctuaire, bouclier de la foi
  - Niveau 2 (3 emplacements) : immobilisation de personne, arme spirituelle (dague)
- Pattes d'araignée. La choldrith peut escalader des surfaces difficiles et être au plafond la tête en bas sans avoir besoin d'effectuer un jet de caractéristique.
- Sensibilité au soleil. Si elle est exposée à la lumière du soleil, la choldrith a un désavantage aux jets d'attaque et aux jets de Sagesse (Perception) basés sur la vue.
- Sens de la toile. Lorsqu'elle est en contact avec une toile, la choldrith connaît l'emplacement exact de toutes les créatures en contact avec cette toile.
- Déplacement sur la toile. La choldrith ignore les restrictions de mouvement causées par une toile d'araignée.</t>
  </si>
  <si>
    <t xml:space="preserve">- Dague. Attaque au corps à corps ou à distance avec une arme : +5 au toucher, allonge 1,50 m ou portée 6/18 m, une cible. Touché : 5 (1d4 + 3) dégâts perforants + 10 (3d6) dégâts de poison.
- Toile d'araignée (Recharge 5-6). Attaque à distance avec une arme : +5 au toucher, portée 9/18 m, une créature de taille G ou inférieure. Touché : la créature est entravée par la toile. Par une action, la créature entravée peut effectuer un jet de Force DD 11, déchirant la toile en cas de réussite. La toile peut aussi être attaquée et détruite (CA 10 ; pv 5 ; vulnérabilité aux dégâts de feu ; immunités aux dégâts contondants, de poison et psychiques).</t>
  </si>
  <si>
    <t xml:space="preserve">Chouette</t>
  </si>
  <si>
    <t xml:space="preserve">1,50 m, vol 18 m</t>
  </si>
  <si>
    <t xml:space="preserve">Discrétion+3
Perception+3</t>
  </si>
  <si>
    <t xml:space="preserve">- Sens vision dans le noir 36 m, Perception passive 13
- Repli aérien. La chouette ne provoque pas d'attaques d'opportunité lorsqu'elle quitte l'allonge d'un ennemi en volant.
- Ouïe et vue aiguisées. La chouette a un avantage aux jets de Sagesse (Perception) faisant appel à l'ouïe ou à la vue.</t>
  </si>
  <si>
    <t xml:space="preserve">- Serres. Attaque au corps à corps avec une arme : +3 au toucher, allonge 1,50 m, une cible. Touché : 1 dégât tranchant.</t>
  </si>
  <si>
    <t xml:space="preserve">Chouette géante</t>
  </si>
  <si>
    <t xml:space="preserve">commun, elfique et sylverstre (compris)</t>
  </si>
  <si>
    <t xml:space="preserve">- Sens vision dans le noir 36 m, Perception passive 15
- Repli aérien. La chouette ne provoque pas d'attaques d'opportunité lorsqu'elle quitte l'allonge d'un ennemi en volant.
- Ouïe et vue aiguisées. La chouette a un avantage aux jets de Sagesse (Perception) faisant appel à l'ouïe ou à la vue..</t>
  </si>
  <si>
    <t xml:space="preserve">- Serres. Attaque au corps à corps avec une arme : +3 au toucher, allonge 1,50 m, une cible. Touché : 8 (2d6 + 1) dégâts tranchants.</t>
  </si>
  <si>
    <t xml:space="preserve">Chuul</t>
  </si>
  <si>
    <t xml:space="preserve">93 (11d10+33)</t>
  </si>
  <si>
    <t xml:space="preserve">9 m, nage 9 m</t>
  </si>
  <si>
    <t xml:space="preserve">profond (compris)</t>
  </si>
  <si>
    <t xml:space="preserve">- Immunités aux dégâts poison
- Immunités aux états empoisonné
- Sens vision dans le noir 18 m, Perception passive 14
- Amphibien. Le chuul peut respirer aussi bien dans l'air que sous l'eau.
- Détection de la magie. Le chuul détecte la magie dans un rayon de 36 mètres à volonté. Mis à part cela, ce trait fonctionne comme le sort détection de la magie, mais il n'est pas lui-même magique.</t>
  </si>
  <si>
    <t xml:space="preserve">- Attaques multiples. Le chuul effectue deux attaques de pinces. Si le chuul agrippe une créature, il peut également utiliser une fois ses tentacules.
- Pinces. Attaque au corps à corps avec une arme : +6 au toucher, allonge 3 m, une cible. Touché : 11 (2d6 + 4) dégâts contondants. La cible est agrippée (évasion DD 14) si elle est de taille G ou plus petite et que le chuul n'a pas déjà agrippé plus d'une autre créature.
- Tentacules. Une créature agrippée par le chuul doit réussir un jet de sauvegarde de Constitution DD 13 ou être empoisonnée pour 1 minute. Tant que le poison est actif, la cible est paralysée. La cible peut relancer le jet de sauvegarde à la fin de chacun de ses tours, mettant fin à l'effet qui l'affecte en cas de réussite.</t>
  </si>
  <si>
    <t xml:space="preserve">Cockatrice</t>
  </si>
  <si>
    <t xml:space="preserve">27 (6d6+6)</t>
  </si>
  <si>
    <t xml:space="preserve">6 m, vol 12 m</t>
  </si>
  <si>
    <t xml:space="preserve">Sens vision dans le noir 18 m, Perception passive 11</t>
  </si>
  <si>
    <t xml:space="preserve">- Attaque au corps à corps avec une arme : +3 au toucher, allonge 1,50 m, une créature. Touché : 3 (1d4 + 1) dégâts perforants, et la cible doit réussir un jet de sauvegarde de Constitution DD 11 pour ne pas être pétrifiée par magie. En cas d'échec, la magie commence à transformer la créature en pierre, et celle-ci est entravée. Elle doit retenter le jet de sauvegarde à la fin de son tour. En cas de réussite, l'effet se termine. En cas d'échec, la créature est pétrifiée pendant 24 heures.</t>
  </si>
  <si>
    <t xml:space="preserve">Corbeau</t>
  </si>
  <si>
    <t xml:space="preserve">3 m, vol 15 m</t>
  </si>
  <si>
    <t xml:space="preserve">- Sens Perception passive 13
- Imitation. Le corbeau peut imiter des sons simples qu'il a entendus, comme le chuchotement d'une personne, un bébé qui pleure ou un petit cri animal. Une créature qui entend les sons peut se rendre compte qu'il s'agit d'imitations si elle réussit un jet de Sagesse (Intuition) DD 10.</t>
  </si>
  <si>
    <t xml:space="preserve">- Bec. Attaque au corps à corps avec une arme : +4 au toucher, allonge 1,50 m, une cible. Touché : 1 dégât perforant.</t>
  </si>
  <si>
    <t xml:space="preserve">Couatl</t>
  </si>
  <si>
    <t xml:space="preserve">Céleste</t>
  </si>
  <si>
    <t xml:space="preserve">97 (13d8+39)</t>
  </si>
  <si>
    <t xml:space="preserve">9 m, vol 27 m</t>
  </si>
  <si>
    <t xml:space="preserve">JS CON+5
JS SAG+7
JS CHA+6</t>
  </si>
  <si>
    <t xml:space="preserve">- Résistances aux dégâts radiant
- Immunités aux dégâts psychique ; contondant, perforant et tranchant d'attaques non magiques
- Sens vision véritable 36 m, Perception passive 15
- Incantation innée. La caractéristique d'incantation innée du couatl est le Charisme (jet de sauvegarde contre ses sorts DD 14). Le couatl peut lancer les sorts suivants de manière innée, qui nécessitent uniquement une composante verbale :
  - À volonté : détection du mal et du bien, détection de la magie, détection des pensées
  - 3/jour chacun : bénédiction, bouclier, création de nourriture et d'eau, protection contre le poison, restauration partielle, sanctuaire, soins
  - 1/jour chacun : restauration supérieure, scrutation, songe
- Armes magiques. Les attaques avec une arme du couatl sont magiques.
- Esprit fortifié. Le couatl est immunisé contre la scrutation et aux effets qui permettraient de ressentir ses émotions, lire ses pensées, ou détecter sa localisation.</t>
  </si>
  <si>
    <t xml:space="preserve">- Morsure. Attaque au corps à corps avec une arme : +8 au toucher, allonge 1,50 m, une cible. Touché : 8 (1d6 + 5) dégâts perforants, et la cible doit réussir un jet de Constitution DD 13 ou être empoisonnée pendant 24 heures. Jusqu'à ce que l'empoisonnement se termine, la cible est inconsciente. Une autre créature peut utiliser une action pour secouer la cible et la réveiller.
- Constriction. Attaque au corps à corps avec une arme : +6 au toucher, allonge 3 m, une créature de taille M ou inférieure. Touché : 10 (2d6 + 3) dégâts contondants, et la cible est agrippée (DD 15 pour s'échapper). Tant qu'elle est agrippée, la cible est entravée, et le couatl ne peut pas étreindre une autre cible.
- Changement de forme. Le couatl se métamorphose magiquement en un humanoïde ou en une bête ayant un facteur de puissance égal ou inférieur au sien, ou bien retrouve sa forme véritable. Il retrouve sa forme originale s'il meurt. L'équipement qu'il porte ou transporte est absorbé ou porté par la nouvelle forme (au choix du couatl). Dans sa nouvelle forme, le couatl garde ses statistiques de jeu et sa capacité à parler, mais sa CA, son mode de déplacement, sa Force, sa Dextérité et ses autres actions sont remplacés par ceux de la nouvelle forme, et il gagne les statistiques et capacités (sauf les capacités de classe, les actions légendaires et les actions de repère) que possède la nouvelle forme et qui lui font défaut. Si la nouvelle forme possède une attaque de morsure, le couatl peut utiliser à la place sa propre attaque de morsure.</t>
  </si>
  <si>
    <t xml:space="preserve">Crabe</t>
  </si>
  <si>
    <t xml:space="preserve">6 m, nage 6 m</t>
  </si>
  <si>
    <t xml:space="preserve">Discrétion+2</t>
  </si>
  <si>
    <t xml:space="preserve">- Sens vision aveugle 9 m, Perception passive 9
- Amphibien. Le crabe peut respirer aussi bien dans l'air que sous l'eau.</t>
  </si>
  <si>
    <t xml:space="preserve">- Pinces. Attaque au corps à corps avec une arme : +0 au toucher, allonge 1,50 m, une cible. Touché : 1 dégât contondant.</t>
  </si>
  <si>
    <t xml:space="preserve">Crabe géant</t>
  </si>
  <si>
    <t xml:space="preserve">Discrétion+4</t>
  </si>
  <si>
    <t xml:space="preserve">6 Pinces. Attaque au corps à corps avec une arme : +3 au toucher, allonge 1,50 m, une cible. Touché : 4 (1d6 + 1) dégâts contondants, et la cible est agrippée (DD 11 pour s'échapper). Le crabe a deux pinces, chacune lui permettant d'agripper une cible.</t>
  </si>
  <si>
    <t xml:space="preserve">Crabe-pêcheur</t>
  </si>
  <si>
    <t xml:space="preserve">6 m, escalade 6 m</t>
  </si>
  <si>
    <t xml:space="preserve">Perception+2
Discrétion+5</t>
  </si>
  <si>
    <t xml:space="preserve">- Sens vision aveugle 18 m, Perception passive 12
- Filament collant. Le crabe-pêcheur peut utiliser son action pour étirer un filament collant jusqu'à 18 mètres, filament qui adhère à tout ce qu'il touche. Une créature collée au filament est agrippée par le crabe-pêcheur (évasion DD 13) et le jet de caractéristique effectué pour s'échapper a un désavantage. Le filament peut être attaqué (CA 15 ; 5 points de vie ; immunités aux dégâts de poison et psychiques), mais une arme qui échoue à le sectionner se colle aussi au filament, nécessitant une action et un jet de Force DD 13 réussi pour pouvoir la libérer. Détruire le filament n'inflige aucun dégât au crabe-pêcheur, qui peut faire sortir un filament de remplacement au tour suivant.
- Sang inflammable. Si le crabe-pêcheur tombe à la moitié de ses points de vie ou moins, il gagne la vulnérabilité aux dégâts de feu.
- Pattes d'araignée. Le crabe-pêcheur peut escalader des surfaces difficiles et être au plafond la tête en bas sans avoir besoin d'effectuer un jet de caractéristique.</t>
  </si>
  <si>
    <t xml:space="preserve">- Attaques multiples. Le crabe-pêcheur effectue deux attaques avec ses griffes.
- Griffes. Attaque au corps à corps avec une arme : +5 au toucher, allonge 1,50 m, une cible. Touché : 10 (2d6 + 3) dégâts tranchants.
- Filament. Une créature agrippée par le filament adhésif du crabe-pêcheur doit effectuer un jet de sauvegarde de Force DD 13, à condition qu'elle ne dépasse pas les 100 kg. En cas d'échec, la cible est attirée dans un espace inoccupé situé à 1,50 mètre ou moins du crabe-pêcheur, et le crabe-pêcheur effectue une attaque avec ses griffes contre elle en utilisant une action bonus. Attirer la cible de la sorte libère toutes les autres créatures qui étaient attachées au filament. Tant que la cible est agrippée, le crabe-pêcheur ne peut pas produire un autre filament.</t>
  </si>
  <si>
    <t xml:space="preserve">Crânefeu</t>
  </si>
  <si>
    <t xml:space="preserve">40 (9d4+8)</t>
  </si>
  <si>
    <t xml:space="preserve">Arcanes+5
Perception+2</t>
  </si>
  <si>
    <t xml:space="preserve">Commun</t>
  </si>
  <si>
    <t xml:space="preserve">- Résistance aux dégâts de foudre, nécrotiques et perforants
- Immunité contre les dégâts de feu, de froid et de poison
- Immunité contre les états à terre, charmé, empoisonné, paralysé
et terrorisé
- Sens vision dans le noir 18 m, Perception passive 12
- Illumination. Le crânefeu diffuse soit une lumière faible sur un rayon de 4,50 mètres, soit une lumière vive sur un rayon de 4,50 mètres et une lumière faible sur 4,50 mètres supplémentaires. Il peut passer de l’une à l’autre de ces deux options par une action.
- Reconstitution. Si le crânefeu est détruit, il récupère la totalité de ses points de vie en une heure, à moins que de l’eau bénite soit déversée sur ses restes ou qu’ils soient la cible du sort dissipation de la magie
ou lever une malédiction.
- Résistance à la magie. Le crânefeu est avantagé lors des jets de
sauvegarde contre les sorts et autres effets magiques.</t>
  </si>
  <si>
    <t xml:space="preserve">- Attaques multiples. Le crânefeu effectue deux attaques avec son
rayon de feu.
- Rayon de feu. Attaque de sort à distance : +5 pour toucher, portée 9 m, une cible. Touché : 10 (3d6) dégâts de feu. 
- Incantation. Le crânefeu est un lanceur de sorts de niveau 5. Sa caractéristique d’incantation est l’Intelligence (DD du jet de sauvegarde contre les sorts 13, +5 pour toucher avec les attaques de sort). Aucune composante matérielle ou somatique n’est nécessaire
pour lancer ses sorts. Voici les sorts de magicien connus par le
crânefeu :
• Sort mineur (à volonté) : main du mage
• 1er niveau (3 emplacements) : bouclier, projectile magique
• 2e niveau (2 emplacements) : flou, sphère de feu
• 3e niveau (1 emplacement) : boule de feu</t>
  </si>
  <si>
    <t xml:space="preserve">Crapaud géant</t>
  </si>
  <si>
    <t xml:space="preserve">- Sens vision dans le noir 9 m, Perception passive 10
- Amphibien. Le crapaud peut respirer aussi bien dans l'air que sous l'eau.
- Saut sans élan. Le crapaud peut sauter en longueur jusqu'à 6 mètres ou en hauteur jusqu'à 3 mètres, avec ou sans élan</t>
  </si>
  <si>
    <t xml:space="preserve">- Morsure. Attaque au corps à corps avec une arme : +4 au toucher, allonge 1,50 m, une cible. Touché : 7 (1d10 + 2) dégâts perforants + 5 (1d10) dégâts de poison, et la cible est agrippée (DD 13 pour s'échapper). Tant qu'elle est agrippée, la cible est entravée, et le crapaud ne peut pas mordre une autre cible.
- Engloutissement. Le crapaud effectue une attaque de morsure contre une cible de taille M ou inférieure qu'il agrippe. Si l'attaque réussit, la cible est avalée et elle n'est plus agrippée. La créature avalée est aveuglée et entravée, bénéficie d'un abri total contre les attaques ou autres effets provenant de l'extérieur du crapaud, et subit 10 (3d6) dégâts d'acide au début de chaque tour du crapaud. Le crapaud ne peut avaler qu'une cible à la fois. Si le crapaud meurt, la créature avalée n'est plus entravée et peut sortir du cadavre en utilisant 1,50 mètre de mouvement, pour alors en émerger et se retrouver à terre.</t>
  </si>
  <si>
    <t xml:space="preserve">Criard</t>
  </si>
  <si>
    <t xml:space="preserve">0 m</t>
  </si>
  <si>
    <t xml:space="preserve">- Immunités aux états aveuglé, assourdi, effrayé
- Sens vision aveugle 9 m (aveugle au-delà de ce rayon), Perception passive 6
- Apparence trompeuse. Tant que le criard reste immobile, il ne peut être distingué d'un champignon ordinaire.</t>
  </si>
  <si>
    <t xml:space="preserve">- Hurlement. Lorsqu'une lumière vive ou une créature se trouve à 9 mètres ou moins du criard, il émet un hurlement audible à 90 mètres à la ronde. Le criard pousse son crie jusqu'à ce que ce qui l'a dérangé sorte de sa portée de vision aveugle et pendant les 1d4 tours qui suivent.</t>
  </si>
  <si>
    <t xml:space="preserve">Crocodile</t>
  </si>
  <si>
    <t xml:space="preserve">- Sens Perception passive 10
- Apnée. Le crocodile peut retenir son souffle durant 15 minutes.</t>
  </si>
  <si>
    <t xml:space="preserve">- Morsure. Attaque au corps à corps avec une arme : +4 au toucher, allonge 1,50 m, une créature. Touché : 7 (1d10 + 2) dégâts perforants, et la cible est agrippée (DD 12 pour s'échapper). Tant qu'elle est agrippée, la créature est entravée, et le crocodile ne peut pas mordre une autre cible.</t>
  </si>
  <si>
    <t xml:space="preserve">Crocodile géant</t>
  </si>
  <si>
    <t xml:space="preserve">85 (9d12+27)</t>
  </si>
  <si>
    <t xml:space="preserve">9 m, nage 15 m</t>
  </si>
  <si>
    <t xml:space="preserve">Discrétion+5</t>
  </si>
  <si>
    <t xml:space="preserve">- Sens Perception passive 10
- Apnée. Le crocodile peut retenir son souffle durant 30 minutes.</t>
  </si>
  <si>
    <t xml:space="preserve">- Attaques multiples. Le crocodile réalise deux attaques : une de morsure et une avec sa queue.
- Morsure. Attaque au corps à corps avec une arme : +8 au toucher, allonge 1,50 m, une cible. Touché : 21 (3d10 + 5) dégâts perforants, et la cible est agrippée (DD 16 pour s'échapper). Tant qu'elle est agrippée, la créature est entravée, et le crocodile ne peut pas mordre une autre cible.
- Queue. Attaque au corps à corps avec une arme : +8 au toucher, allonge 3 m, une cible qui n'est pas agrippée par le crocodile. Touché : 14 (2d8 + 5) dégâts contondants. Si la cible est une créature, elle doit réussir un jet de sauvegarde de Force DD 16 pour ne pas être jetée au sol.</t>
  </si>
  <si>
    <t xml:space="preserve">Croque-mitaine</t>
  </si>
  <si>
    <t xml:space="preserve">CN</t>
  </si>
  <si>
    <t xml:space="preserve">Perception +3
Escamotage +6
Discrétion +6</t>
  </si>
  <si>
    <t xml:space="preserve">- Résistances aux dégâts feu
- Sens vision dans le noir 18 m, Perception passive 13
- Huile de croque-mitaine. Le croque-mitaine sécrète une huile ininflammable de ses pores. Il choisit si l'huile est glissante ou collante et peut changer l'huile sur sa peau d'une consistance à une autre par une action bonus.
  - Huile glissante : lorsqu'il est enduit d'huile glissante, le croque-mitaine gagne un avantage aux jets de Dextérité (Acrobaties) effectués pour se défaire de liens, se faufiler dans des espaces étroits et ne plus être agrippé.
  - Huile collante : lorsqu'il est enduit d'huile collante, le croque-mitaine gagne un avantage aux jets de Force (Athlétisme) effectués pour agripper et pour tous les jets de caractéristique effectué pour maintenir une prise sur une autre créature, une surface ou un objet. Le croque-mitaine peut également escalader des surfaces difficiles et être au plafond la tête en bas sans avoir besoin d'effectuer un jet de caractéristique.
- Faille dimensionnelle. Par une action bonus, le croque-mitaine peut créer une faille invisible et immobile dans une ouverture ou un cadre qu'il peut voir à 1,50 mètre ou moins de lui, à condition que l'espace ne dépasse pas 3 mètres de n'importe quel côté. La faille dimensionnelle comble la distance entre cet espace et tout point à moins de 9 mètres de lui que le croque-mitaine peut voir ou spécifié par une distance et une direction (comme "9 mètres vers le haut"). Tant qu'il est à côté de la faille, le croque-mitaine peut voir à travers et est également considéré comme étant à côté de la destination, et tout ce que le croque-mitaine passe par la faille (y compris une partie de son corps) émerge à la destination. Seul le croque-mitaine peut utiliser la faille, et cela dure jusqu'à la fin du prochain tour du croque-mitaine.
- Odeur étrange. Le croque-mitaine a un avantage aux jest de Sagesse (Perception) basés sur l'odorat.</t>
  </si>
  <si>
    <t xml:space="preserve">- Coups. Attaque au corps à corps avec une arme : +1 au toucher, allonge 1,50 m, une cible. Touché : 2 (1d6 - 1) dégâts contondants.
- Flaque d'huile. Le croque-mitaine crée une flaque d'huile qui est soit glissante, soit collante (au choix du croque-mitaine). La flaque est profonde de 2,50 cm et recouvre le sol dans l'espace du croque-mitaine. La flaque est un terrain difficile pour toutes les créatures sauf pour les croque-mitaines et dure 1 heure. Si l'huile est glissante, toute créature qui pénètre dans la zone de la flaque ou y commence son tour doit réussir un jet de sauvegarde de Dextérité DD 11 ou tomber à terre. Si l'huile est collante, toute créature qui pénètre dans la zone de la flaque ou y commence son tour doit réussir un jet de sauvegarde de Force DD 11 ou être entravée. À son tour, une créature peut utiliser une action pour essayer de s'extirper de la flaque collante, mettant fin à l'effet, et se déplacer vers l'espace inoccupé le plus proche avec un jet de Force DD 11 réussi.</t>
  </si>
  <si>
    <t xml:space="preserve">Cube gélatineux</t>
  </si>
  <si>
    <t xml:space="preserve">Vase</t>
  </si>
  <si>
    <t xml:space="preserve">4,50 m</t>
  </si>
  <si>
    <t xml:space="preserve">- Immunités aux états assourdi, à terre, aveuglé, charmé, effrayé, épuisement
- Sens vision aveugle 18 m (aveugle au-delà de ce rayon), Perception passive 8
- Vase cubique. Le cube occupe intégralement son espace. Les autres créatures peuvent entrer dans cet espace, mais une créature le faisant est sujette à l'Engloutissement du cube et a un désavantage aux jets de sauvegarde. Les créatures à l'intérieur du cube sont visibles mais disposes d'un abri total. Une créature à 1,50 mètre du cube peut effectuer une action pour extraire une créature ou un objet du cube. Pour ce faire, elle doit réussir un jet de Force DD 12 et la créature accomplissant la tentative subit 10 (3d6) dégâts d'acide. Le cube ne peut contenir qu'une seule créature de taille G ou jusqu'à quatre créatures de taille M ou inférieur en même temps.
- Transparent. Y compris lorsque le cube est visible, il est nécessaire de réussir un jet de Sagesse (Perception) DD 15 pour repérer le cube s'il n'a ni bougé ni attaqué. Une créature qui tente d'entrer dans l'espace du cube sans le savoir est surprise par le cube.</t>
  </si>
  <si>
    <t xml:space="preserve">- Pseudopode. Attaque au corps à corps avec une arme : +4 au toucher, allonge 1,50 m, une cible. Touché : 10 (3d6) dégâts d'acide.
- Engloutissement. Le cube se déplace de sa vitesse ou moins. Ce faisant, il peut entrer dans l'espace d'une créature de taille G ou moins. Chaque fois que le cube pénètre dans l'espace d'une créature, celle-ci doit effectuer un jet de sauvegarde de Dextérité DD 12. En cas de réussite, la créature peut choisir d'être repoussée de 1,50 mètre en arrière ou sur le côté du cube. Une créature qui choisit de ne pas être repoussée subit les conséquences d'un jet de sauvegarde raté. Si le jet de sauvegarde échoue, le cube pénètre dans l'espace de la créature, et celle-ci subit 10 (3d6) dégâts d'acide et est engloutie. La créature engloutie ne peut pas respirer, est entravée, et subit 21 (6d6) dégâts d'acide au début de chacun des tours du cube. Lorsque le cube se déplace, la créature engloutie se déplace avec lui. Une créature engloutie peut tenter de se libérer en utilisant une action pour effectuer un jet de Force DD 12. En cas de réussite, la créature s'échappe et entre dans l'espace de son choix à 1,50 mètre du cube.</t>
  </si>
  <si>
    <t xml:space="preserve">Cuirassier astral</t>
  </si>
  <si>
    <t xml:space="preserve">Monstruosité (titan)</t>
  </si>
  <si>
    <t xml:space="preserve">Gig</t>
  </si>
  <si>
    <t xml:space="preserve">297 (17d20+119)</t>
  </si>
  <si>
    <t xml:space="preserve">4,50 m, vol 24 m (stationnaire)</t>
  </si>
  <si>
    <t xml:space="preserve">Perception+9
JS DEX+5
JS SAG+9</t>
  </si>
  <si>
    <t xml:space="preserve">- Résistances aux dégâts contondant, perforant et tranchant d'attaques non magiques
- Immunités aux états charmé, épuisement, effrayé, paralysé, pétrifié, empoisonné, à terre, étourdi
- Sens vision dans le noir 36 m, Perception passive 19
- Cône d'antimagie. L'œil ouvert du cuirassier astral crée une zone d'antimagie, comme un sort de champ antimagie, dans un cône de 45 mètres. Au début de chacun de ses tours, le cuirassier astral décide de l'orientation du cône. Le cône n'est pas activé si l'œil du cuirassier est fermé ou s'il est aveuglé.
- Entité astrale. Le cuirassier astral ne peut pas quitter le plan astral, ni être banni ou téléporté en dehors du plan astral.
- Donjon demi-planaire. Toute créature ou objet que le cuirassier astral englouti est transporté dans un demi-plan dans lequel on ne peut entrer qu'en utilisant un sort de souhait ou en utilisant la capacité Visite du Donjon de cette créature. Une créature ne peut quitter le demi-plan qu'en utilisant une magie de voyage planaire, comme le sort changement de plan par exemple. Le demi-plan ressemble à une caverne de pierre d'à peu près 300 mètres de diamètres et de 30 mètres de hauteur sous plafond. Tel un estomac, il contient les restes des anciens repas du cuirassier astral. Le cuirassier astral ne peut pas être blessé depuis l'intérieur du demi-plan. Si le cuirassier astral meurt, le demi-plan disparaît, et tout ce qu'il renfermait apparaît autour du cadavre de la créature. Le demi-plan est sinon indestructible.
- Résistance légendaire (3/jour). Si le cuirassier astral échoue à un jet de sauvegarde, il peut décider de transformer cet échec en réussite.
- Armes magiques. Les attaques avec une arme du cuirassier astral sont magiques.
- Rompre le cordon argenté. Si le cuirassier astral réalise un coup critique contre une créature voyageant dans le plan astral par l'intermédiaire du sort projection astrale, le cuirassier astral peut couper le cordon argenté de la cible plutôt que de lui infliger des dégâts.</t>
  </si>
  <si>
    <t xml:space="preserve">Attaques multiples. Le cuirassier astral effectue trois attaques : une de morsure et deux avec ses griffes.
- Morsure. Attaque au corps à corps avec une arme : +16 au toucher, allonge 3 m, une cible. Touché : 36 (5d10 + 9) dégâts perforants. Si la cible est une créature de taille TG ou inférieure et que ces dégâts la font tomber à 0 point de vie ou qu'elle est incapable d'agir, le cuirassier astral l'engloutit. Une cible engloutie, ainsi que tout ce qu'elle porte et transporte, apparaît dans un espace inoccupé sur le sol du Donjon demi-planaire du cuirassier planaire.
- Griffes. Attaque au corps à corps avec une arme : +16 au toucher, allonge 6 m, une cible. Touché : 19 (3d6 + 9) dégâts tranchants.</t>
  </si>
  <si>
    <t xml:space="preserve">Le cuirassier astral peut effectuer 3 actions légendaires, en choisissant parmi les options suivantes. Une seule action légendaire peut être utilisée à la fois, et seulement à la fin du tour d'une autre créature. Le cuirassier astral récupère les actions légendaires dépensées au début de son tour.
- Griffes. Le cuirassier astral effectue une attaque avec ses griffes.
- Visite du Donjon (coûte 2 actions). Une créature de taille TG ou inférieure que le cuirassier astral peut voir et qui se trouve à 18 mètres ou moins de lui doit effectuer un jet de sauvegarde de Charisme DD 19 ou être téléportée par magie sur un espace inoccupé du Donjon demi-planaire du cuirassier astral. À la fin du prochain tour de la cible, la cible réapparaît dans l'espace qu'elle a quitté précédemment, ou dans l'espace inoccupé le plus proche s'il est occupé.
- Projection psychique (coûte 3 actions). Chaque créature se trouvant dans un rayon de 18 mètres autour du cuirassier astral doit effectuer un jet de sauvegarde de Sagesse DD 19, subissant 15 (2d10 + 4) dégâts psychiques en cas d'échec, ou la moitié de ces dégâts en cas de réussite.</t>
  </si>
  <si>
    <t xml:space="preserve">Cultiste</t>
  </si>
  <si>
    <t xml:space="preserve">Non Bon</t>
  </si>
  <si>
    <t xml:space="preserve">Religion+2
Tromperie+2</t>
  </si>
  <si>
    <t xml:space="preserve">- Sens Perception passive 10
- Sombre dévotion. Le membre de secte est avantagé lors des jets de sauvegarde effectués pour ne pas être charmé ou terrorisé.</t>
  </si>
  <si>
    <t xml:space="preserve">- Cimeterre. Attaque d’arme au corps à corps : +3 pour toucher, allonge 1,50 m, une cible. Touché : 4 (1d6+1) dégâts tranchants.</t>
  </si>
  <si>
    <t xml:space="preserve">Cyclope</t>
  </si>
  <si>
    <t xml:space="preserve">Géant</t>
  </si>
  <si>
    <t xml:space="preserve">138 (12d12+60)</t>
  </si>
  <si>
    <t xml:space="preserve">géant</t>
  </si>
  <si>
    <t xml:space="preserve">- Sens Perception passive 8
- Faible perception du relief. Le cyclope a un désavantage à tous les jets d'attaque contre une cible située à plus de 9 mètres de lui.</t>
  </si>
  <si>
    <t xml:space="preserve">- Attaques multiples. Le cyclope effectue deux attaques avec la massue.
- Massue. Attaque au corps à corps avec une arme : +9 au toucher, allonge 3 m, une cible. Touché : 19 (3d8 + 6) dégâts contondants.
- Rocher. Attaque à distance avec une arme : +9 au toucher, portée 9/36 m, une cible. Touché : 28 (4d10 + 6) dégâts contondants.</t>
  </si>
  <si>
    <t xml:space="preserve">Dao</t>
  </si>
  <si>
    <t xml:space="preserve">187 (15d10+105)</t>
  </si>
  <si>
    <t xml:space="preserve">9 m, creusement 9 m, vol 9 m</t>
  </si>
  <si>
    <t xml:space="preserve">JS INT+5
JS SAG+5
JS CHA+6</t>
  </si>
  <si>
    <t xml:space="preserve">terreux</t>
  </si>
  <si>
    <t xml:space="preserve">- Immunités aux états pétrifié
- Sens vision dans le noir 36 m, Perception passive 11
- Disparition élémentaire. Si le dao meurt, son corps se désintègre en une poudre cristalline, ne laissant derrière lui que l'équipement qu'il portait ou transportait.
- Incantation innée. La caractéristique d'incantation innée du dao est le Charisme (jet de sauvegarde contre ses sorts DD 14, +6 au toucher pour les attaques avec un sort). Il peut lancer les sorts suivants de manière innée, sans avoir besoin de composantes matérielles :
  - À volonté : détection de la magie, détection du mal et du bien, façonnage de la pierre
  - 3/jour : don des langues, passe-muraille, terraformage
  - 1/jour chacun : assassin imaginaire, changement de plan, invocation d'élémentaire (élémentaire de la terre uniquement), forme gazeuse, invisibilité, mur de pierre
- Déplacement dans la terre. Le dao peut creuser à travers la terre et la pierre non magique et non travaillée. En faisant cela, il ne dérange pas les matériaux qu'il traverse.
- Pieds sûrs. Le dao a un avantage aux jets de Force ou de Dextérité réalisés pour contrer des effets qui le jetteraient à terre.</t>
  </si>
  <si>
    <t xml:space="preserve">- Attaques multiples. Le dao effectue deux attaques avec ses poings, ou deux attaques avec le maillet.
- Poing. Attaque au corps à corps avec une arme : +10 au toucher, allonge 1,50 m, une cible. Touché : 15 (2d8 + 6) dégâts contondants.
- Maillet. Attaque au corps à corps avec une arme : +10 au toucher, allonge 1,50 m, une cible. Touché : 20 (4d6 + 6) dégâts contondants. Si la cible est une créature de taille TG ou inférieure, elle doit réussir un jet de sauvegarde de Force DD 18 ou tomber à terre.</t>
  </si>
  <si>
    <t xml:space="preserve">Dargon d'émeraude, adulte</t>
  </si>
  <si>
    <t xml:space="preserve">Dragon (gemmes)</t>
  </si>
  <si>
    <t xml:space="preserve">207 (18d12+90)</t>
  </si>
  <si>
    <t xml:space="preserve">12 m, creusement 9 m, vol 24 m</t>
  </si>
  <si>
    <t xml:space="preserve">Arcanes +9
Tromperie +9
Perception +13
Discrétion +6
JS DEX+6
JS CON+10
JS SAG+8
JS CHA+9</t>
  </si>
  <si>
    <t xml:space="preserve">commun, draconique, télépathie 36 m</t>
  </si>
  <si>
    <t xml:space="preserve">- Résistances aux dégâts feu, psychique
- Sens vision aveugle 18 m, vision dans le noir 36 m, Perception passive 23
- Résistance légendaire (3/jour). Si le dragon échoue à un jet de sauvegarde, il peut décider de transformer cet échec en réussite.
- Perception décalée (1/jour). Le dragon peut lancer terrain hallucinatoire sans nécessiter aucune composante de sort et en utilisant l'Intelligence comme caractéristique d'incantation (jet de sauvegarde contre ses sorts DD 17).
- Fouisseur. Le dragon peut creuser à travers la roche en se déplaçant à la moitié de sa vitesse de creusement et laisser sur son passage un tunnel de 4,50 mètres de diamètre.</t>
  </si>
  <si>
    <t xml:space="preserve">Attaques multiples. Le dragon effectue trois attaques : une de morsure et deux avec ses griffes.
- Morsure. Attaque au corps à corps avec une arme : +11 au toucher, allonge 3 m, une cible. Touché : 17 (2d10 + 6) dégâts perforants + 7 (2d6) dégâts psychiques.
- Griffes. Attaque au corps à corps avec une arme : +11 au toucher, allonge 1,50 m, une cible. Touché : 10 (1d8 + 6) dégâts tranchants.
- Incantation (psioniques). Le dragon lance l'un des sorts suivants sans nécessiter aucune composante de sort et en utilisant l'Intelligence comme caractéristique d'incantation (jet de sauvegarde contre ses sorts DD 18) :
  - À volonté : main de mage (la main est invisible), illusion mineure
  - 1/jour chacun : détection des pensées, dissipation de la magie, invisibilité, image majeure
- Souffle désorientant (Recharge 5-6). Le dragon exhale une vague de dissonance psychique dans un cône de 18 mètres. Chaque créature dans cette zone doit effectuer un jet de sauvegarde d'Intelligence DD 18. En cas d'échec au jet de sauvegarde, la créature subit 42 (12d6) dégâts psychiques, et jusqu'à la fin de son prochain tour, lorsque la créature effectue un jet d'attaque ou de caractéristique, elle doit lancer un d6 et réduire le total du nombre obtenu. En cas de réussite, la créature ne subit que la moitié des dégâts et aucun effets supplémentaires.
ACTIONS BONUS
- Changement de forme. Le dragon se métamorphose magiquement en n'importe qu'elle créature de taille M ou P, tout en conservant ses statistiques (autre que la taille). Cette transformation prend fin si le dragon est réduit à 0 point de vie ou s'il utilise une action bonus pour y mettre fin.
- Foulée psychique. Le dragon se téléporte magiquement dans un espace inoccupé qu'il peut voir dans un rayon de 18 mètres autour de lui.</t>
  </si>
  <si>
    <t xml:space="preserve">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Griffes. Le dragon effectue une attaque avec ses griffes.
- Psioniques (coûte 2 actions). Le dragon utilise Foulée psychique ou Incantation.
- Braises d'émeraude (coûte 3 actions). Le dragon fait jaillir des flammes vertes dancantes autour d'une créature qu'il peut voir dans un rayon de 18 mètres autour de lui. La cible doit réussir un jet de sauvegarde de Dextérité DD 17 ou subir 31 (9d6) dégâts de feu.</t>
  </si>
  <si>
    <t xml:space="preserve">Dauphin</t>
  </si>
  <si>
    <t xml:space="preserve">11 (2d8+2</t>
  </si>
  <si>
    <t xml:space="preserve">0 m, nage 18 m</t>
  </si>
  <si>
    <t xml:space="preserve">- Sens vision aveugle 18 m, Perception passive 13
- Charge. Si le dauphin se déplace d'au moins
 9 mètres en ligne droite vers une cible, puis la touche lors d'une 
attaque de coup dans le même tour, la cible subit 3 (1d6) dégâts 
contondants supplémentaires.
- Apnée. Le dauphin peut retenir son souffle durant 20 minutes.</t>
  </si>
  <si>
    <t xml:space="preserve">- Coup. Attaque au corps à corps avec une arme : +4 au toucher, portée 1,50 m, une cible. Touché : 5 (1d6 + 2) dégâts contondants.</t>
  </si>
  <si>
    <t xml:space="preserve">Demi-dragon rouge, vétéran</t>
  </si>
  <si>
    <t xml:space="preserve">Humanoïde (humain)</t>
  </si>
  <si>
    <t xml:space="preserve">Athlétisme+5
Perception+5</t>
  </si>
  <si>
    <t xml:space="preserve">commun, draconique</t>
  </si>
  <si>
    <t xml:space="preserve">- Résistances aux dégâts feu
- Sens vision aveugle 3 m, vision dans le noir 18 m, Perception passive 12</t>
  </si>
  <si>
    <t xml:space="preserve">- Attaques multiples. Le vétéran effectue deux attaques à l'épée longue. S'il a dégainé son épée courte, il peut également effectuer une attaque avec cette dernière.
- Épée longue. Attaque au corps à corps avec une arme : +5 au toucher, allonge 1,50 m, une cible. Touché : 7 (1d8 + 3) dégâts tranchants, ou 8 (1d10 + 3) dégâts tranchants si utilisée à deux mains.
- Épée courte. Attaque au corps à corps avec une arme : +5 au toucher, allonge 1,50 m, une cible. Touché : 6 (1d6 + 3) dégâts perforants.
- Arbalète lourde. Attaque à distance avec une arme : +3 au toucher, portée 30/120 m, une cible. Touché : 6 (1d10 + 1) dégâts perforants.
- Souffle de feu (Recharge 5-6). Le vétéran exhale des flammes dans un cône de 4,50 mètres. Toutes les créatures dans la zone doivent effectuer un jet de sauvegarde de Dextérité DD 15, subissant 24 (7d6) dégâts de feu si le jet de sauvegarde est raté, ou la moitié de ces dégâts en cas de réussite.</t>
  </si>
  <si>
    <t xml:space="preserve">Demi-liche</t>
  </si>
  <si>
    <t xml:space="preserve">80 (32d4)</t>
  </si>
  <si>
    <t xml:space="preserve">0 m, 9 m (stationnaire)</t>
  </si>
  <si>
    <t xml:space="preserve">JS CON+6
JS INT+11
JS SAG+9
JS CHA+11</t>
  </si>
  <si>
    <t xml:space="preserve">- Résistances aux dégâts contondant, perforant et tranchant d'attaques magiques
- Immunités aux dégâts nécrotique, poison, psychique ; contondant, perforant et tranchant d'attaques non magiques
- Immunités aux états charmé, assourdi, épuisement, effrayé, paralysé, pétrifié, empoisonné, à terre, étourdi
- Sens vision véritable 36 m, Perception passive 13
- Esquive totale. Si la demi-liche est soumise à un effet qui lui permet d'effectuer un jet de sauvegarde pour ne subir que la moitié des dégâts, elle ne subit aucun dégât si elle réussit son jet de sauvegarde, et seulement la moitié des dégâts si elle échoue.
- Résistance légendaire (3/jour). Si la demi-liche échoue à un jet de sauvegarde, elle peut décider de transformer cet échec en réussite.
- Immunité au renvoi. La demi-liche est immunisée aux effets de renvoi des morts-vivants.</t>
  </si>
  <si>
    <t xml:space="preserve">- Hurlement (Recharge 5-6). La demi-liche émet un cri à glacer le sang. Chaque créature se trouvant à 9 mètres de la demi-liche et qui peut entendre le hurlement doit réussir un jet de sauvegarde de Constitution DD 15 ou tomber à 0 point de vie. En cas de jet de sauvegarde réussi, la créature est effrayée jusqu'à la fin de son prochain tour.
- Absorption de vie. La demi-liche cible jusqu'à trois créatures qu'elle peut voir dans un rayon de 3 mètres. Chaque cible doit réussir un jet de sauvegarde de Constitution DD 19 ou subir 21 (6d6) dégâts nécrotiques, et faire récupérer à la demi-liche un nombre de points de vie égal au total des dégâts infligés à toutes les cibles.</t>
  </si>
  <si>
    <t xml:space="preserve">La demi-liche peut effectuer 3 actions légendaires, en choisissant parmi les options suivantes. Une seule action légendaire peut être utilisée à la fois, et seulement à la fin du tour d'une autre créature. La demi-liche récupère les actions légendaires dépensées au début de son tour.
- Envolée. La demi-liche s'envole de la moitié de sa vitesse de déplacement.
- Nuage de poussière. La demi-liche fait tourbillonner par magie la poussière de ses restes. Chaque créature se trouvant à 3 mètres ou moins de la demi-liche, y compris derrière les angles des murs, doit réussir un jet de sauvegarde de Constitution DD 15 ou être aveuglé jusqu'à la fin du prochain tour de la demi-liche. Une créature qui réussit son jet de sauvegarde est immunisée contre cet effet jusqu'à la fin du prochain tour de la demi-liche.
- Absorption d'énergie (coûte 2 actions). Chaque créature se trouvant dans un rayon de 9 mètres de la demi-liche doit effectuer un jet de sauvegarde de Constitution DD 15. En cas d'échec, le maximum de points de vie de la créature est réduit magiquement de 10 (3d6). Si le maximum de points de vie de la créature est réduit à 0 par cet effet, la créature meurt. Le maximum de points de vie de la créature peut être récupéré grâce à un sort de restauration supérieure ou un effet magique similaire.
Infâme malédiction (coûte 3 actions). La demi-liche cible une créature qu'elle peut voir et se trouvant à 9 mètres. La cible doit réussir un jet de sauvegarde de Sagesse DD 15 ou être maudite par magie. Jusqu'à ce que la malédiction prenne fin, la cible a un désavantage aux jets d'attaque et de sauvegarde. La cible peut retenter son jet de sauvegarde à la fin de chacun de ses tours, mettant fin à la malédiction en cas de réussite.</t>
  </si>
  <si>
    <t xml:space="preserve">Demi-ogre</t>
  </si>
  <si>
    <t xml:space="preserve">commu, géant</t>
  </si>
  <si>
    <t xml:space="preserve">- Sens vision dans le noir 18 m, Perception passive 9</t>
  </si>
  <si>
    <t xml:space="preserve"> - Hache d'armes. Attaque au corps à corps avec une arme : +5 au toucher, allonge 1,50 m, une cible. Touché : 12 (2d8 + 3) dégâts tranchants, ou 14 (2d10 + 3) dégâts tranchants si utilisée à deux mains.
- Javeline. Attaque au corps à corps ou à distance avec une arme : +5 au toucher, allonge 1,50 m ou portée 9/36 m, une cible. Touché : 10 (2d6 + 3) dégâts perforants.</t>
  </si>
  <si>
    <t xml:space="preserve">Démogorgon</t>
  </si>
  <si>
    <t xml:space="preserve">406 (28d12+224)</t>
  </si>
  <si>
    <t xml:space="preserve">15 m, nage 15 m</t>
  </si>
  <si>
    <t xml:space="preserve">Intuition +11
Perception +19
JS DEX+10
JS CON+16
JS SAG+11
JS CHA+15</t>
  </si>
  <si>
    <t xml:space="preserve">- Résistances aux dégâts froid, feu, foudre
- Immunités aux dégâts poison ; contondant, perforant et tranchant non magiques
- Immunités aux états charmé, épuisement, effrayé, empoisonné
- Sens vision véritable 36 m, Perception passive 29
- Incantation innée. La caractéristique d'incantation de Démogorgon est le Charisme (jet de sauvegarde contre les sorts DD 23). Il peut lancer les sorts suivants de manière innée, sans avoir besoin de composantes matérielles :
  - À volonté : détection de la magie, image majeure
  - 3/jour chacun : dissipation de la magie, peur, télékinésie
  - 1/jour chacun : esprit faible, projection d'image
- Résistance légendaire (3/jour). Si Démogorgon échoue à un jet de sauvegarde, il peut décider de transformer cet échec en réussite.
- Résistance à la magie. Démogorgon a un avantage aux jets de sauvegarde contre les sorts et autres effets magiques.
- Armes magiques. Les attaques avec une arme de Démogorgon sont magiques.
- Deux têtes. Démogorgon a un avantage aux jets de sauvegarde pour ne pas être aveuglé, assourdi, étourdi ou inconscient.</t>
  </si>
  <si>
    <t xml:space="preserve">Attaques multiples. Démogorgon effectue deux attaques de tentacule.
- Tentacule. Attaque au corps à corps avec une arme : +17 au toucher, allonge 3 m, une cible. Touché : 28 (3d12 + 9) dégâts contondants. Si la cible est une créature, elle doit réussir un jet de sauvegarde de Constitution DD 23 ou son maximum de points de vie est réduit d'un montant égal aux dégâts subis. Cette réduction dure jusqu'à ce que la cible termine un repos long. La cible meurt si son maximum de points de vie est réduit à 0.
- Regard. Démogorgon tourne son regard magique vers une créature qu'il peut voir à 36 mètres ou moins de lui. Cette cible doit effectuer un jet de sauvegarde de Sagesse DD 23. À moins que la cible ne soit incapable d'agir, elle peut détourner les yeux pour éviter le regard et réussir automatiquement la sauvegarde. Dans ce cas, elle ne doit plus voir Démogorgon avant le début de son prochain tour. Si la cible le regarde entre-temps, elle doit immédiatement effectuer le jet de sauvegarde. En cas d'échec, la cible subit l'un des effets suivants, au choix de Démogorgon ou au hasard :
  1- Regard séduisant. La cible est étourdie jusqu'au début du prochain tour de Démogorgon ou jusqu'à ce que Démogorgon ne soit plus à portée de vue.
  2- Regard hypnotique. La cible est charmée par Demogorgon jusqu'au début du prochain tour de Démogorgon. Demogorgon choisit la manière dont la cible charmée utilise ses actions, ses réactions et ses mouvements. Comme ce regard oblige Démogorgon à concentrer ses deux têtes sur la cible, il ne peut pas utiliser son action légendaire Regard qui rend fou avant le début de son prochain tour.
  3- Regard dément. La cible subit l'effet du sort confusion sans effectuer de jet de sauvegarde. L'effet dure jusqu'au début du prochain tour de Démogorgon et il n'a pas besoin de se concentrer sur le sort.</t>
  </si>
  <si>
    <t xml:space="preserve"> Démogorgon peut effectuer 2 actions légendaires, en choisissant parmi les options suivantes. Une seule option d'action légendaire peut être utilisée à la fois, et seulement à la fin du tour d'une autre créature. Démogorgon récupère les actions légendaires dépensées au début de son tour.
- Queue. Attaque au corps à corps avec une arme : +17 au toucher, allonge 4,50 m, une cible. Touché : 20 (2d10 + 9) dégâts contondants plus 11 (2d10) dégâts nécrotiques.
- Regard qui rend fou. Démogorgon utilise son action de Regard, et doit choisir entre l'effet Regard séduisant ou Regard dément.</t>
  </si>
  <si>
    <t xml:space="preserve">Démon des ombres</t>
  </si>
  <si>
    <t xml:space="preserve">9 m, vol 9 m</t>
  </si>
  <si>
    <t xml:space="preserve">Discrétion+7
JS DEX+5
JS CHA+4</t>
  </si>
  <si>
    <t xml:space="preserve">- Vulnérabilités aux dégâts radiant
- Résistances aux dégâts acide, feu, nécrotique, tonnerre ; contondant, perforant et tranchant d'attaques non magiques
- Immunités aux dégâts froid, foudre, poison
- Immunités aux états épuisement, agrippé, paralysé, pétrifié, empoisonné, à terre, entravé
- Sens vision dans le noir 36 m, Perception passive 11
- Déplacement intangible. Le démon peut se déplacer au travers d'autres créatures et objets comme s'ils étaient des terrains difficiles. Le démon subit 5 (1d10) dégâts de force s'il termine son tour à l'intérieur d'un objet.
- Sensibilité à la lumière. S'il est exposé à une lumière vive, le démon a un désavantage aux jets d'attaque et aux jets de Sagesse (Perception) basés sur la vue.
- Discrétion dans les ombres. S'il se trouve dans des ténèbres ou est exposé à une lumière faible, le démon peut effectuer l'action Se cacher en utilisant une action bonus</t>
  </si>
  <si>
    <t xml:space="preserve">- Griffes. Attaque au corps à corps avec une arme : +5 au toucher, allonge 1,50 m, une créature. Touché : 10 (2d6 + 3) dégâts psychiques ou, si le démon a un avantage à son jet d'attaque, 17 (4d6 + 3) dégâts psychiques.</t>
  </si>
  <si>
    <t xml:space="preserve">Démon glouton</t>
  </si>
  <si>
    <t xml:space="preserve">abyssal (compris)</t>
  </si>
  <si>
    <t xml:space="preserve">- Résistances aux dégâts froid, feu, foudre
- Immunités aux dégâts poison
- Immunités aux états charmé, effrayé, empoisonné
- Sens vision dans le noir 18 m, Perception passive 9
- Déchaîné. Quand il réduit une créature à 0 point de vie avec une attaque au corps à corps durant son tour, le démon glouton peut utiliser une action bonus pour se déplacer jusqu'à la moitié de sa vitesse et faire une attaque de morsure.</t>
  </si>
  <si>
    <t xml:space="preserve">- Morsure. Attaque au corps à corps avec une arme : +4 au toucher, allonge 1,50 m, une cible. Touché : 11 (2d8 + 2) dégâts perforants.</t>
  </si>
  <si>
    <t xml:space="preserve">Destrier noir</t>
  </si>
  <si>
    <t xml:space="preserve">18 m, vol 27 m</t>
  </si>
  <si>
    <t xml:space="preserve">abyssal, commun, infernal (compris)</t>
  </si>
  <si>
    <t xml:space="preserve">- Immunités aux dégâts feu
- Sens Perception passive 11
- Résistance au feu partagée. Le destrier noir peut accorder la résistance au feu à son cavalier.
- llumination. Le destrier noir émet une lumière vive dans un rayon de 3 mètres et une lumière faible sur 3 mètres supplémentaire.</t>
  </si>
  <si>
    <t xml:space="preserve">- Sabots. Attaque au corps à corps avec une arme : +6 au toucher, allonge 1,50 m, une cible. Touché : 13 (2d8 + 4) dégâts contondants + 7 (2d6) dégâts de feu.
- Galop éthéré. Le destrier noir et jusqu'à trois créatures consentantes à 1,50 mètre de lui quittent magiquement le plan matériel pour le plan éthéré, ou l'inverse.</t>
  </si>
  <si>
    <t xml:space="preserve">Déva</t>
  </si>
  <si>
    <t xml:space="preserve">136 (16d8)</t>
  </si>
  <si>
    <t xml:space="preserve">Intuition+9
Perception+9
JS SAG+9
JS CHA+9</t>
  </si>
  <si>
    <t xml:space="preserve">- Résistances aux dégâts radiant ; contondant, perforant et tranchant d'attaques non magiques
- Immunités aux états charmé, effrayé, épuisement
- Sens vision dans le noir 36 m, Perception passive 19
- Armes angéliques. Les attaques avec une arme du déva sont magiques. Lorsque le déva touche avec n'importe quelle arme, l'arme inflige 4d8 dégâts radiants supplémentaires (inclus dans l'attaque ci-dessous).
- Incantation innée. La caractéristique d'incantation innée du déva est le Charisme (jet de sauvegarde contre ses sorts DD 17). Le déva peut lancer les sorts suivants de manière innée, qui nécessitent uniquement une composante verbale :
  - À volonté : détection du mal et du bien
  - 1/jour chacun : communion, rappel à la vie
Résistance à la magie. Le déva a un avantage aux jets de sauvegarde contre les sorts et autres effets magiques.</t>
  </si>
  <si>
    <t xml:space="preserve">- Attaques multiples. Le déva effectue deux attaques au corps à corps.
- Masse d'armes. Attaque au corps à corps avec une arme : +8 au toucher, allonge 1,50 m, une cible. Touché : 7 (1d6 + 4) dégâts contondants + 18 (4d8) dégâts radiants.
- Contact guérisseur (3/jour). Le déva touche une autre créature. La cible récupère par magie 20 (4d8 + 2) points de vie et est guérie de toutes malédictions, maladies, poisons, aveuglement ou assourdissement.
- Changement de forme. Le déva se métamorphose magiquement en un humanoïde ou une bête ayant un facteur de puissance égal ou inférieur au sien, ou bien retrouve sa forme véritable. Il retrouve sa forme originale s'il meurt. L'équipement qu'il porte ou transporte est absorbé ou porté par la nouvelle forme (au choix du déva). Dans sa nouvelle forme, le déva garde ses statistiques de jeu et sa capacité à parler, mais sa CA, son mode de déplacement, sa Force, sa Dextérité et ses sens spéciaux sont remplacés par ceux de la nouvelle forme, et il gagne les statistiques et capacités (hors capacités de classe, actions légendaires et les actions de repaire) que possède la nouvelle forme et qui lui font défaut.</t>
  </si>
  <si>
    <t xml:space="preserve">Devin</t>
  </si>
  <si>
    <t xml:space="preserve">67 (15d8)</t>
  </si>
  <si>
    <t xml:space="preserve">Arcanes+7
Histoire+7
JS INT+7
JS SAG+4</t>
  </si>
  <si>
    <t xml:space="preserve">- Sens Perception passive 11
- Incantation. Le devin est un lanceur de sorts de niveau 15. Sa caractéristique d'incantation est l'Intelligence (jet de sauvegarde contre ses sorts DD 15, +7 au toucher pour les attaques avec un sort). Il a préparé les sorts de magicien suivants :
  - Sorts mineurs (à volonté) : trait de feu, lumière, main de mage, message, coup au but
  - Niveau 1 (4 emplacements) : détection de la magie*, feuille morte, armure de mage
  - Niveau 2 (3 emplacements) : détection des pensées*, localisation d'objet*, rayon ardent
  - Niveau 3 (3 emplacements) : clairvoyance*, vol, boule de feu
  - Niveau 4 (3 emplacements) : oeil magique*, tempête de grêle, peau de pierre
  - Niveau 5 (2 emplacements) : lien télépathique de Rary*, scrutation*
  - Niveau 6 (1 emplacement) : suggestion de groupe, vision suprême*
  - Niveau 7 (1 emplacement) : boule de feu à retardement, boule de feu, téléportation
  - Niveau 8 (1 emplacement) : dédale
* sort de divination de niveau 1 ou supérieur
- Présage (Recharge après que le devin ait lancé un sort de divination de niveau 1 ou supérieur). Lorsque le devin ou une créature qu'il peut voir fait un jet d'attaque, de sauvegarde ou de caractéristique, le devin peut lancer un d20 et choisir d'utiliser ce jet à la place du jet d'attaque, de sauvegarde ou de caractéristique.</t>
  </si>
  <si>
    <t xml:space="preserve">- Bâton. Attaque au corps à corps avec une arme : +2 au toucher, allonge 1,50 m, une cible. Touché : 2 (1d6 -1) dégâts contondants, ou 3 (1d8 -1) dégâts contondants si utilisé avec les deux mains.</t>
  </si>
  <si>
    <t xml:space="preserve">Dévoreur d'âme</t>
  </si>
  <si>
    <t xml:space="preserve">178 (17d10+85)</t>
  </si>
  <si>
    <t xml:space="preserve">- Résistances aux dégâts froid, feu, foudre
- Immunités aux dégâts poison
- Immunités aux états empoisonné
- Sens vision dans le noir 36 m, Perception passive 10</t>
  </si>
  <si>
    <t xml:space="preserve">- Attaques multiples. Le dévoreur d'âme effectue deux attaques avec ses griffes et peut utiliser soit Emprisonnement de l'âme soit Déchirure des âmes.
- Griffes. Attaque au corps à corps avec une arme : +10 au toucher, allonge 1,50 m, une cible. Touché : 12 (2d6 + 5) dégâts tranchants + 21 (6d6) dégâts nécrotiques.
- Emprisonnement de l'âme. Le dévoreur d'âme choisit un humanoïde vivant avec 0 point de vie, qu'il peut voir et qui se trouve à 9 mètres ou moins de lui. Cette créature est téléportée dans la cage thoracique du dévoreur d'âme et y est emprisonnée. Une créature emprisonnée de la sorte a un désavantage aux jets de sauvegarde contre la mort. Si elle meurt alors qu'elle est emprisonnée, le dévoreur récupère 25 points de vie, son pouvoir de Déchirure des âmes est immédiatement rechargé, et il gagne une action supplémentaire lors de son prochain tour. De plus, au début de son prochain tour, le dévoreur régurgite la créature décédée en utilisant une action bonus, et la créature devient un mort-vivant. Si la victime possédait 2 dés de vie ou moins, elle devient un zombi. Si elle avait entre 3 à 5 dés de vie, elle devient une goule. Sinon, elle devient un nécrophage. Un dévoreur d'âme ne peut emprisonner qu'une seule créature à la fois.
- Déchirure des âmes (Recharge 6). Le dévoreur d'âme crée un vortex drainant les énergies vitales présentes dans un rayon de 6 mètres autour de lui. Chaque créature humanoïde présente dans cette zone doit effectuer un jet de sauvegarde de Constitution DD 18, subissant 44 (8d10) dégâts nécrotiques en cas d'échec au jet, ou la moitié de ces dégâts en cas de réussite. Augmentez les dégâts de 10 pour chaque humanoïde vivant avec 0 point de vie présent dans cette zone.</t>
  </si>
  <si>
    <t xml:space="preserve">Dévoreur d'intellect</t>
  </si>
  <si>
    <t xml:space="preserve">21 (6d4+6</t>
  </si>
  <si>
    <t xml:space="preserve">Discrétion+4
Perception+2</t>
  </si>
  <si>
    <t xml:space="preserve">profond (compris), télépathie 18 m</t>
  </si>
  <si>
    <t xml:space="preserve">- Résistances aux dégâts contondant, perforant et tranchant d'attaques non magiques
- Immunités aux états aveuglé
- Sens vision aveugle 18 m (aveugle au-delà de ce rayon), Perception passive 12
- Détection de la sentience. Le dévoreur d'intellect peut sentir la présence et localiser chaque créature ayant une Intelligence de 3 ou plus dans un rayon de 90 mètres, quelles que soient les barrières qui les séparent, à moins que la créature soit protégée par un sort d'esprit impénétrable.</t>
  </si>
  <si>
    <t xml:space="preserve">- Attaques multiples. Le dévoreur d'intellect effectue une attaque avec ses griffes et utilise Consommation de l'intellect.
- Griffes. Attaque au corps à corps avec une arme : +4 au toucher, allonge 1,50 m, une cible. Touché : 7 (2d4 + 2) dégâts tranchants.
- Consommation de l'intellect. Le dévoreur d'intellect cible une créature possédant un cerveau qu'il peut voir et qui se trouve dans un rayon de 3 mètres autour de lui. La cible doit réussir un jet de sauvegarde d'Intelligence DD 12 contre cette magie ou subir 11 (2d10) dégâts psychiques. De plus, en cas d'échec, lancez 3d6. Si le total est égal ou supérieur à la valeur d'Intelligence, cette valeur est réduite à 0. La cible est étourdie jusqu'à ce qu'elle regagne au moins un point d'Intelligence.
- Vol de corps. Le dévoreur d'intellect débute une opposition d'Intelligence contre un humanoïde incapable d'agir se trouvant à 1,50 mètre de lui et qui n'est pas protégé par une protection contre le Mal ou le Bien. S'il gagne l'opposition, le dévoreur d'intellect dévore par magie le cerveau de la cible, se téléporte à l'intérieur du crâne de la cible, et prend le contrôle de son corps. Une fois à l'intérieur d'une créature, le dévoreur d'intellect bénéficie d'un abri total contre les attaques et effets émanant de l'extérieur de son hôte. Le dévoreur d'intellect conserve ses valeurs d'Intelligence, de Sagesse et de Charisme, ainsi que sa compréhension du profond, sa télépathie, et ses traits. Pour le reste, il utilise les statistiques de la cible. Il connait tout ce que la créature savait, sorts et langages inclus. Si le corps de la cible meurt, le dévoreur d'intellect doit le quitter. Un sort de protection contre le mal et le bien lancé sur le corps oblige le dévoreur d'intellect à le quitter. Le dévoreur d'intellect est aussi forcé de sortir si la cible récupère son cerveau au moyen d'un souhait. En utilisant 1,50 mètre de mouvement, le dévoreur d'intellect peut volontairement quitter le corps, se téléportant sur le plus proche espace libre à 1,50 mètre de la cible. Le corps meurt ensuite, à moins que son cerveau lui soit restauré dans le prochain round.</t>
  </si>
  <si>
    <t xml:space="preserve">Diable à chaînes</t>
  </si>
  <si>
    <t xml:space="preserve">Fiélon (diable)</t>
  </si>
  <si>
    <t xml:space="preserve">85 (10d8+40)</t>
  </si>
  <si>
    <t xml:space="preserve">JS CON+7
JS SAG+4
JS CHA+5</t>
  </si>
  <si>
    <t xml:space="preserve">infernal, télépathie 36 m</t>
  </si>
  <si>
    <t xml:space="preserve">- Résistances aux dégâts froid ; contondant, perforant et tranchant d'attaques non magiques qui ne sont pas en argent
- Immunités aux dégâts feu, poison
- Immunités aux états empoisonné
- Sens vision dans le noir 36 m, Perception passive 11
- Vision de diable. Des ténèbres magiques ne gênent pas la vision dans le noir du diable.
- Résistance à la magie. Le diable a un avantage aux jets de sauvegarde contre les sorts et autres effets magiques.</t>
  </si>
  <si>
    <t xml:space="preserve">- Attaques multiples. Le diable effectue deux attaques avec ses chaînes.
- Chaine. Attaque au corps à corps avec une arme : +8 au toucher, allonge 3 m, une cible. Touché : 11 (2d6 + 4) dégâts tranchants. La cible se retrouve agrippée (évasion DD 14) si le diable n'a pas déjà agrippé une créature. Tant qu'elle est agrippée, la cible est entravée et subit 7 (2d6) dégâts perforants au début de chacun de ses tours.
- Animation des chaînes (Recharge après un repos court ou long). Le diable peut faire éclore des barbelées coupant sur 1 à 4 chaines qu'il voit et situées dans un rayon de 18 mètres autour de lui, les animant et les contrôlant, à condition qu'elles ne soient ni portées ni transportées par quelqu'un. Chaque chaine animée est un objet ayant une CA de 20, 20 pv, une résistance aux dégâts perforants et l'immunité aux dégâts psychiques et de tonnerre. Lorsque le diable utilise ses Attaques multiples durant son tour, il peut utiliser chaque chaîne animée pour faire une attaque supplémentaire. Une chaine animée peut agripper une créature de son choix, mais ne peut plus attaquer tant qu'elle agrippe. Une chaîne animée redevient inanimée si ses points de vie tombent à zéro ou si le diable est incapable d'agir ou meurt.</t>
  </si>
  <si>
    <t xml:space="preserve">- Masque déstabilisant. Quand une créature débute son tour à 9 mètres ou moins du diable et que celui-ci peut la voir, le diable peut donner l'illusion d'être un être décédé, qui était très aimé ou détesté par cette créature. Si la créature peut voir le diable, elle doit réussir un jet de sauvegarde de Sagesse DD 14 ou être effrayée jusqu'à la fin de son tour.</t>
  </si>
  <si>
    <t xml:space="preserve">Diable barbelé</t>
  </si>
  <si>
    <t xml:space="preserve">110 (13d8+52)</t>
  </si>
  <si>
    <t xml:space="preserve">Intuition+5
Perception+8
Tromperie+5
JS FOR+6
JS CON+7
JS SAG+5
JS CHA+5</t>
  </si>
  <si>
    <t xml:space="preserve">- Résistances aux dégâts froid ; contondant, perforant et tranchant d'attaques non magiques qui ne sont pas en argent
- Immunités aux dégâts feu, poison
- Immunités aux états empoisonné
- Sens vision dans le noir 36 m, Perception passive 18
- Peau barbelée. Au début de chacun de ses tours, le diable barbelé inflige 5 (1d10) dégâts perforants à toute créature qu'il agrippe.
- Vision de diable. Des ténèbres magiques ne gênent pas la vision dans le noir du diable.
- Résistance à la magie. Le diable a un avantage aux jets de sauvegarde contre les sorts et autres effets magiques.</t>
  </si>
  <si>
    <t xml:space="preserve">- Attaques multiples. Le diable effectue trois attaques : une avec sa queue et deux avec ses griffes. Sinon, il peut utiliser Jet de flammes deux fois.
- Griffes. Attaque au corps à corps avec une arme : +6 au toucher, allonge 1,50 m, une cible. Touché : 6 (1d6 + 3) dégâts perforants.
- Queue. Attaque au corps à corps avec une arme : +6 au toucher, allonge 1,50 m, une cible. Touché : 10 (2d6 + 3) dégâts perforants.
- Jet de flammes. Attaque à distance avec un sort : +5 au toucher, portée 45 m, une cible. Touché : 10 (3d6) dégâts de feu. Si la cible est un objet inflammable qui n'est ni porté ni tenu, elle prend feu.</t>
  </si>
  <si>
    <t xml:space="preserve">Diable barbu</t>
  </si>
  <si>
    <t xml:space="preserve">JS FOR+5
JS CON+4
JS SAG+2</t>
  </si>
  <si>
    <t xml:space="preserve">- Résistances aux dégâts froid ; contondant, perforant et tranchant d'attaques non magiques qui ne sont pas en argent
- Immunités aux dégâts feu, poison
- Immunités aux états empoisonné
- Sens vision dans le noir 36 m, Perception passive 10
- Vision de diable. Des ténèbres magiques ne gênent pas la vision dans le noir du diable.
- Résistance à la magie. Le diable a un avantage aux jets de sauvegarde contre les sorts et autres effets magiques.
- Inébranlable. Le diable ne peut pas être effrayé s'il peut voir une créature alliée dans un rayon de 9 mètres autour de lui.</t>
  </si>
  <si>
    <t xml:space="preserve">- Attaques multiples. Le diable effectue deux attaques : une avec sa barbe et une avec sa coutille.
Barbe. Attaque au corps à corps avec une arme : +5 au toucher, allonge 1,50 m, une créature. Touché : 6 (1d8 + 2) dégâts perforants, et la cible doit réussir un jet de sauvegarde de Constitution DD 12 ou être empoisonnée pour 1 minute. Tant qu'elle est empoisonnée de la sorte, la cible ne peut pas regagner de points de vie. La cible peut relancer le jet de sauvegarde à la fin de chacun de ses tours, mettant fin à l'effet qui l'affecte en cas de réussite.
- Coutille. Attaque au corps à corps avec une arme : +5 au toucher, allonge 3 m, une cible. Touché : 8 (1d10 + 3) dégâts tranchants. Si la cible n'est ni un mort-vivant, ni un artificiel, elle doit réussir un jet de sauvegarde de Constitution DD 12 ou perdre 5 (1d10) points de vie au début de chacun de ses tours à cause d'une blessure infernale. Chaque fois que le diable touche la créature blessée avec son attaque, les dégâts causés par la blessure augmentent de 5 (1d10). Toute créature peut utiliser une action pour contenir la blessure avec un jet réussi de Sagesse (Médecine) DD 12. La blessure se referme également si la cible reçoit des soins magiques.</t>
  </si>
  <si>
    <t xml:space="preserve">Diable cornu</t>
  </si>
  <si>
    <t xml:space="preserve">JS FOR+10
JS DEX+7
JS SAG+7
JS CHA+7</t>
  </si>
  <si>
    <t xml:space="preserve">- Résistances aux dégâts froid ; contondant, perforant et tranchant d'attaques non magiques qui ne sont pas en argent
- Immunités aux dégâts feu, poison
- Immunités aux états empoisonné
- Sens vision dans le noir 36 m, Perception passive 13
- Vision de diable. Des ténèbres magiques ne gênent pas la vision dans le noir du diable.
- Résistance à la magie. Le diable a un avantage aux jets de sauvegarde contre les sorts et autres effets magiques.</t>
  </si>
  <si>
    <t xml:space="preserve">- Attaques multiples. Le diable effectue trois attaques au corps à corps : deux avec sa fourche et une avec sa queue. Il peut utiliser son Jet de flammes à la place n'importe quelle attaque au corps à corps.
- Fourche. Attaque au corps à corps avec une arme : +10 au toucher, allonge 3 m, une cible. Touché : 15 (2d8 + 6) dégâts perforants.
- Queue. Attaque au corps à corps avec une arme : +10 au toucher, allonge 3 m, une cible. Touché : 10 (1d8 + 6) dégâts perforants. Si la cible n'est ni un mort-vivant, ni un artificiel, elle doit réussir un jet de sauvegarde de Constitution DD 17 ou perdre 10 (3d6) points de vie au début de chacun de ses tours suivants à cause de cette plaie infernale. Chaque fois que le diable frappe la créature blessée avec cette attaque, les dégâts infligés par la plaie augmentent de 10 (3d6). N'importe quelle créature peut utiliser une action pour endiguer l'hémorragie, à condition qu'elle réussisse un jet de Sagesse (Médecine) DD 12. La plaie se referme également si la cible reçoit des soins magiques.
- Jet de flammes. Attaque à distance avec un sort : +7 au toucher, portée 45 m, une cible. Touché : 14 (4d6) dégâts de feu. Si la cible est un objet inflammable qui n'est pas porté ni tenu, elle prend feu</t>
  </si>
  <si>
    <t xml:space="preserve">Diable épineux</t>
  </si>
  <si>
    <t xml:space="preserve">22 (5d6+5)</t>
  </si>
  <si>
    <t xml:space="preserve">- Résistances aux dégâts froid ; contondant, perforant et tranchant d'attaques non magiques qui ne sont pas en argent
- Immunités aux dégâts feu, poison
- Immunités aux états empoisonné
- Sens vision dans le noir 36 m, Perception passive 12
- Vision de diable. Des ténèbres magiques ne gênent pas la vision dans le noir du diable.
- Repli aérien. Le diable épineux ne provoque pas d'attaques d'opportunité lorsqu'il quitte l'allonge d'un ennemi en volant.
- Épines limitées. Le diable possède douze épines caudales. Les épines utilisées repoussent après que le diable ait effectué un repos long.
- Résistance à la magie. Le diable épineux a un avantage aux jets de sauvegarde contre les sorts et autres effets magiques.</t>
  </si>
  <si>
    <t xml:space="preserve">- Attaques multiples. Le diable effectue deux attaques : une de morsure et une avec la fourche, ou deux attaques d'épines caudales.
- Morsure. Attaque au corps à corps avec une arme : +2 au toucher, allonge 1,50 m, une cible. Touché : 5 (2d4) dégâts tranchants.
- Fourche. Attaque au corps à corps avec une arme : +2 au toucher, allonge 1,50 m, une cible. Touché : 3 (1d6) dégâts perforants.
- Épine caudale. Attaque à distance avec une arme : +4 au toucher, portée 6/24 m, une cible. Touché : 4 (1d4 + 2) dégâts perforants + 3 (1d6) dégâts de feu.</t>
  </si>
  <si>
    <t xml:space="preserve">Diable gelé</t>
  </si>
  <si>
    <t xml:space="preserve">180 (19d10+76)</t>
  </si>
  <si>
    <t xml:space="preserve">JS DEX+7
JS CON+9
JS SAG+7
JS CHA+9</t>
  </si>
  <si>
    <t xml:space="preserve">- Résistances aux dégâts contondant, perforant et tranchant d'attaques non magiques qui ne sont pas en argent
- Immunités aux dégâts froid, feu, poison
- Immunités aux états empoisonné
- Sens vision aveugle 18 m, vision dans le noir 36 m, Perception passive 12
- Vision de diable. Des ténèbres magiques ne gênent pas la vision dans le noir du diable.
- Résistance à la magie. Le diable a un avantage aux jets de sauvegarde contre les sorts et autres effets magiques.</t>
  </si>
  <si>
    <t xml:space="preserve">- Attaques multiples. Le diable effectue trois attaques : une de morsure, une avec ses griffes et une avec sa queue.
- Morsure. Attaque au corps à corps avec une arme : +10 au toucher, allonge 1,50 m, une cible. Touché : 12 (2d6 + 5) dégâts perforants + 10 (3d6) dégâts de froid.
- Griffes. Attaque au corps à corps avec une arme : +10 au toucher, allonge 1,50 m, une cible. Touché : 10 (2d4 + 5) dégâts tranchants + 10 (3d6) dégâts de froid.
- Queue. Attaque au corps à corps avec une arme : +10 au toucher, allonge 3 m, une cible. Touché : 12 (2d6 + 5) dégâts contondants + 10 (3d6) dégâts de froid.
- Mur de glace (Recharge 6). Le diable crée par magie un mur de glace opaque sur une surface solide qu'il peut voir dans un rayon de 18 mètres. Le mur fait 30 centimètres d'épaisseur, 9 mètres de long et 3 mètres de haut, ou bien prend la forme d'un dôme hémisphérique de 6 mètres de diamètre. Lorsque le mur apparaît, chaque créature se trouvant sur sa trajectoire est repoussée par le chemin le plus court. La créature choisit de quel côté du mur elle est repoussée, à moins qu'elle ne soit incapable d'agir. La créature effectue alors un jet de sauvegarde de Dextérité DD 17, subissant 35 (10d6) dégâts de froid en cas d'échec, ou la moitié de ces dégâts en cas de réussite. Le mur reste en place pendant 1 minute ou jusqu'à ce que le diable soit incapable d'agir ou meurt. Le mur peut être endommagé, une brèche peut donc y être percée ; chaque section de 3 mètres de côté a une CA de 5, 30 points de vie, est vulnérable aux dégâts de feu, et est immunisée aux dégâts d'acide, de froid, nécrotiques, de poison, et psychiques. Si une section est détruite, elle laisse derrière elle un voile d'air glacial à l'endroit que le mur occupait. Lorsqu'une créature traverse le voile d'air glacial au cours d'un tour, que ce soit volontairement ou non, la créature doit effectuer un jet de sauvegarde de Constitution DD 17, subissant 17 (5d6) dégâts de froid en cas d'échec, ou la moitié de ces dégâts en cas de réussite. Le voile d'air glacial se dissipe lorsque le reste du mur disparaît.</t>
  </si>
  <si>
    <t xml:space="preserve">Diable osseux</t>
  </si>
  <si>
    <t xml:space="preserve">142 (115d10+60)</t>
  </si>
  <si>
    <t xml:space="preserve">12 m, vol 12 m</t>
  </si>
  <si>
    <t xml:space="preserve">Intuition+6
Tromperie+7
JS INT+5
JS SAG+6
JS CHA+7</t>
  </si>
  <si>
    <t xml:space="preserve">- Résistances aux dégâts froid ; contondant, perforant et tranchant d'attaques non magiques qui ne sont pas en argent
- Immunités aux dégâts feu, poison
- Immunités aux états empoisonné
- Sens vision dans le noir 36 m, Perception passive 12
- Vision de diable. Des ténèbres magiques ne gênent pas la vision dans le noir du diable.
- Résistance à la magie. Le diable a un avantage aux jets de sauvegarde contre les sorts et autres effets magiques.ues.</t>
  </si>
  <si>
    <t xml:space="preserve">- Attaques multiples. Le diable effectue trois attaques : deux avec ses griffes et une avec son dard.
- Griffes. Attaque au corps à corps avec une arme : +8 au toucher, allonge 3 m, une cible. Touché : 8 (1d8 + 4) dégâts tranchants.
- Dard. Attaque au corps à corps avec une arme : +8 au toucher, allonge 3 m, une cible. Touché : 13 (2d8 + 4) dégâts perforants + 17 (5d6) dégâts de poison, et la cible doit réussir un jet de sauvegarde de Constitution DD 14 ou être empoisonnée pendant 1 minute. La cible peut relancer le jet de sauvegarde à la fin de chacun de ses tours, mettant fin à l'effet qui l'affecte en cas de réussite.</t>
  </si>
  <si>
    <t xml:space="preserve">Diablotin</t>
  </si>
  <si>
    <t xml:space="preserve">Fiélon (diable, métamorphe)</t>
  </si>
  <si>
    <t xml:space="preserve">10 (3d4+3)</t>
  </si>
  <si>
    <t xml:space="preserve">Discrétion+5
Intuition+3
Persuasion+4
Tromperie+4</t>
  </si>
  <si>
    <t xml:space="preserve">infernal, commun</t>
  </si>
  <si>
    <t xml:space="preserve">- Résistances aux dégâts froid ; contondant, perforant et tranchant d'attaques non magiques qui ne sont pas en argent
- Immunités aux dégâts feu, poison
- Immunités aux états empoisonné
- Sens vision dans le noir 36 m, Perception passive 11
- Métamorphe. Le diablotin peut utiliser son action pour se métamorphoser en une bête qui ressemble à un rat (vitesse 6 m), un corbeau (6 m, vol 18 m) ou une araignée (6 m, escalade 6 m), ou pour reprendre sa forme véritable. Mise à part sa vitesse (comme indiqué précédemment), ses statistiques sont les mêmes quelle que soit sa forme. L'équipement qu'il porte ou transporte ne se transforme pas. Il retrouve sa forme véritable s'il meurt.
- Vision de diable. Des ténèbres magiques ne gênent pas la vision dans le noir du diablotin.
- Résistance à la magie. Le diablotin a un avantage aux jets de sauvegarde contre les sorts et autres effets magiques.ues.</t>
  </si>
  <si>
    <t xml:space="preserve">- Dard (Morsure sous forme de bête). Attaque au corps à corps avec une arme : +5 au toucher, allonge 1,50 m, une cible. Touché : 5 (1d4 + 3) dégâts perforants, et la cible doit effectuer un jet de sauvegarde de Constitution DD 11, subissant 10 (3d6) dégâts de poison en cas d'échec, ou la moitié de ces dégâts en cas de réussite.
- Invisibilité. Le diablotin devient invisible par magie jusqu'à ce qu'il attaque ou que sa concentration se termine (comme s'il se concentrait sur un sort). Tout l'équipement que le diablotin porte ou transporte est également invisible.</t>
  </si>
  <si>
    <t xml:space="preserve">Diantrefosse</t>
  </si>
  <si>
    <t xml:space="preserve">300 (24d10+168)</t>
  </si>
  <si>
    <t xml:space="preserve">9 m,  vol 18 m</t>
  </si>
  <si>
    <t xml:space="preserve">JS DEX+8
JS CON+13
JS SAG+10</t>
  </si>
  <si>
    <t xml:space="preserve">- Résistances aux dégâts froid ; contondant, perforant et tranchant d'attaques non magiques qui ne sont pas en argent
- Immunités aux dégâts feu, poison
- Immunités aux états empoisonné
- Sens vision véritable 36 m, Perception passive 14
- Aura de peur. Toute créature hostile au diantrefosse qui commence son tour à 6 mètres ou moins de lui doit effectuer un jet de sauvegarde de Sagesse DD 21, à moins que le diantrefosse ne soit incapable d'agir. En cas d'échec, la créature est effrayée jusqu'au début de son prochain tour. Si le jet de sauvegarde d'une créature est une réussite, la créature est immunisée contre l'Aura de peur du diantrefosse pour les prochaines 24 heures.
- Résistance à la magie. Le diantrefosse a un avantage aux jets de sauvegarde contre les sorts et autres effets magiques.
- Armes magiques. Les attaques avec une arme du diantrefosse sont magiques.
- Incantation innée. La caractéristique d'incantation innée du diantrefosse est le Charisme (jet de sauvegarde contre ses sorts DD 21). Le diantrefosse peut lancer les sorts suivants de manière innée, sans avoir besoin de composantes matérielles :
- À volonté : détection de la magie, boule de feu
3/jour chacun : immobilisation de monstre, mur de feu</t>
  </si>
  <si>
    <t xml:space="preserve">- Attaques multiples. Le diantrefosse effectue quatre attaques : une de morsure, une avec ses griffes, une avec sa masse d'armes et une avec sa queue.
- Morsure. Attaque au corps à corps avec une arme : +14 au toucher, allonge 1,50 m, une cible. Touché : 22 (4d6 + 8) dégâts perforants. La cible doit effectuer un jet de sauvegarde de Constitution DD 21 ou être empoisonnée. Tant qu'elle est empoisonnée de la sorte, la cible ne peut pas récupérer de points de vie, et elle subit 21 (6d6) dégâts de poison au début de chacun de ses tours suivants. La cible empoisonnée peut retenter ce jet de sauvegarde à la fin de chacun de ses tours, mettant fin à l'effet qui l'affecte en cas de réussite.
- Griffes. Attaque au corps à corps avec une arme : +14 au toucher, allonge 3 m, une cible. Touché : 17 (2d8 + 8) dégâts tranchants.
- Masse d'armes. Attaque au corps à corps avec une arme : +14 au toucher, allonge 3 m, une cible. Touché : 15 (2d6 + 8) dégâts contondants + 21 (6d6) dégâts de feu.
- Queue. Attaque au corps à corps avec une arme : +14 au toucher, allonge 3 m, une cible. Touché : 24 (3d10 + 8) dégâts contondants</t>
  </si>
  <si>
    <t xml:space="preserve">Djinn</t>
  </si>
  <si>
    <t xml:space="preserve">CB</t>
  </si>
  <si>
    <t xml:space="preserve">161 (14d10+84)</t>
  </si>
  <si>
    <t xml:space="preserve">8 m, vol 27 m</t>
  </si>
  <si>
    <t xml:space="preserve">JS DEX+6
JS SAG+7
JS CHA+9</t>
  </si>
  <si>
    <t xml:space="preserve">aérien</t>
  </si>
  <si>
    <t xml:space="preserve">- Immunités aux dégâts foudre, tonnerre
- Sens vision dans le noir 36 m, Perception passive 13
- Disparition élémentaire. Si le djinn meurt, son corps se désintègre en une chaude brise, ne laissant derrière lui que l'équipement que le djinn portait ou transportait.
- Incantation innée. La caractéristique d'incantation innée du djinn est le Charisme (jet de sauvegarde contre ses sorts DD 17, +9 au toucher pour les attaques avec un sort). Il peut lancer les sorts suivants de manière innée, sans avoir besoin de composantes matérielles :
  - À volonté : détection du mal et du bien, détection de la magie, vague tonnante
  - 3/jour chacun : création de nourriture et d'eau (peut créer du vin à la place de l'eau), don des langues, marche sur le vent
  - 1/jour chacun : invocation d'élémentaire (élémentaire de l'air uniquement), création, forme gazeuse, invisibilité, image majeure, changement de plan</t>
  </si>
  <si>
    <t xml:space="preserve">- Attaques multiples. Le djinn effectue trois attaques avec le cimeterre.
- Cimeterre. Attaque au corps à corps avec une arme : +9 au toucher, allonge 1,50 m, une cible. Touché : 12 (2d6 + 5) dégâts tranchants + 3 (1d6) dégâts de foudre ou de tonnerre (au choix du djinn).
- Création de tourbillon. Le djinn crée magiquement un tourbillon de vent de 1,50 mètre de rayon et de 9 mètres de haut, en un point situé dans un rayon de 36 mètres autour du djinn et qu'il peut voir. Le tourbillon reste tant que le djinn maintient sa concentration (comme s'il se concentrait sur un sort). Toute créature, à l'exception du djinn, qui pénètre dans le tourbillon doit réussir un jet de sauvegarde de Force DD 18 ou être entravée par les vents. Le djinn peut déplacer le tourbillon jusqu'à 18 mètres en utilisant une action, et les créatures entravées par le tourbillon se déplacent avec lui. Le tourbillon se termine si le djinn le perd de vue. Une créature peut utiliser son action pour libérer une créature entravée par le tourbillon (elle peut se libérer elle-même), en réussissant un jet de Force DD 18. En cas de réussite, la créature n'est plus entravée et se déplace à l'endroit le plus proche à l'extérieur du tourbillon.</t>
  </si>
  <si>
    <t xml:space="preserve">Doppelganger</t>
  </si>
  <si>
    <t xml:space="preserve">Créature monstrueuse (métamorphe)</t>
  </si>
  <si>
    <t xml:space="preserve">Intuition +3
Tromperie +6</t>
  </si>
  <si>
    <t xml:space="preserve">- Sens vision dans le noir 18 m, Perception passive 11
- Immunité contre l’état charmé
- Attaque surprise. Si le doppelganger surprend une créature et
réussit une attaque contre elle lors du premier round de combat, l’attaque lui inflige 10 (3d6) dégâts supplémentaires.
Embuscade. Au premier round de combat, le doppelganger est
avantagé lors des jets d’attaques effectués contre les créatures
qu’il a surprises.
- Métamorphe. Le doppelganger peut utiliser son action pour se
métamorphoser en un humanoïde de taille Moyenne ou Petite qu’il a déjà vu ou pour reprendre sa véritable forme. Ses statistiques, à l’exception de sa taille, restent les mêmes, quelle que soit la forme adoptée. Ses objets équipés ou transportés ne sont pas transformés. Le doppelganger reprend sa forme véritable s’il meurt.</t>
  </si>
  <si>
    <t xml:space="preserve">- Attaques multiples. Le doppelganger effectue deux attaques au corps à corps.
- Coup. Attaque d’arme au corps à corps : +6 pour toucher, allonge 1,50 m, une cible. Touché : 7 (1d6+4) dégâts contondants.
- Lecture des pensées. Le doppelganger lit par magie les pensées superficielles d’une créature située à 18 mètres ou moins de lui. L’effet traverse les obstacles mais 90 centimètres de bois ou de terre, 60 centimètres de pierre, 5 centimètres de métal ou une fine couche de plomb suffisent à le bloquer. Tant que la créature est à portée, le doppelganger peut continuer à lire ses pensées si sa concentration n’est pas interrompue (comme s’il se concentrait sur un sort). Pendant qu’il lit les pensées de sa cible, il obtient un avantage lors des tests de Sagesse (Intuition) et de Charisme (Intimidation, Persuasion et Tromperie) effectués contre elle.</t>
  </si>
  <si>
    <t xml:space="preserve">Dracoliche bleue, adulte</t>
  </si>
  <si>
    <t xml:space="preserve">225 (18d12+108)</t>
  </si>
  <si>
    <t xml:space="preserve">Discrétion+6
Perception+14
JS Dex +6
JS Con +12
JS Sag +8
JS Cha +10</t>
  </si>
  <si>
    <t xml:space="preserve">- Résistances aux dégâts nécrotique
- Immunités aux dégâts foudre, poison
- Immunités aux états charmé, épuisement, effrayé, paralysé, empoisonné
- Sens vision aveugle 18 m, vision dans le noir 36 m, Perception passive 24
- Résistance légendaire (3/jour). Si la dracoliche échoue à un jet de sauvegarde, elle peut décider de transformer cet échec en réussite.
- Résistance à la magie. La dracoliche a un avantage aux jets de sauvegarde contre les sorts et autres effets magiques.</t>
  </si>
  <si>
    <t xml:space="preserve">- Attaques multiples. La dracoliche peut utiliser sa Présence terrifiante. Elle effectue ensuite trois attaques : deux avec ses griffes et une de morsure.
- Griffes. Attaque au corps à corps avec une arme : +13 au toucher, allonge 1,50 m, une cible. Touché : 14 (2d6 + 7) dégâts tranchants.
- Morsure. Attaque au corps à corps avec une arme : +13 au toucher, allonge 3 m, une cible. Touché : 18 (2d10 + 7) dégâts perforants + 5 (1d10) dégâts de foudre.
- Queue. Attaque au corps à corps avec une arme : +13 au toucher, allonge 4,50 m, une cible. Touché : 16 (2d8 + 7) dégâts contondants.
- Présence terrifiante. Chaque créature que la dracoliche choisit, se trouvant à 36 mètres ou moins d'elle et consciente de sa présence, doit réussir un jet de sauvegarde de Sagesse DD 18 ou être effrayée pendant 1 minute. Une créature peut retenter son jet de sauvegarde à la fin de chacun de ses tours, mettant fin à l'effet qui l'affecte si elle réussit. Si le jet de sauvegarde d'une créature est une réussite ou si l'effet prend fin pour elle, la créature est immunisée à la Présence terrifiante de la dracoliche pour les prochaines 24 heures.
- Souffle de foudre (Recharge 5-6). La dracoliche crache une tempête d'éclairs sur une ligne de 27 mètres de long et de 1,50 mètre de large. Chaque créature sur cette ligne doit effectuer un jet de sauvegarde de Dextérité DD 20, subissant 66 (12d10) dégâts de foudre en cas d'échec, ou la moitié de ces dégâts en cas de réussite.</t>
  </si>
  <si>
    <t xml:space="preserve">- La dracoliche peut effectuer 3 actions légendaires, en choisissant parmi les options suivantes. Une seule action légendaire peut être utilisée à la fois, et seulement à la fin du tour d'une autre créature. La dracoliche récupère les actions légendaires dépensées au début de son tour.
- Détection. La dracoliche effectue un jet de Sagesse (Perception).
- Attaque avec la queue. La dracoliche effectue une attaque avec sa queue.
- Attaque avec les ailes (coûte 2 actions). La dracoliche bat des ailes. Chaque créature située à 3 mètres ou moins de la dracoliche doit réussir un jet de sauvegarde de Dextérité DD 21 ou subir 14 (2d6 + 7) dégâts contondants et être jetée à terre. La dracoliche peut ensuite s'envoler de la moitié de sa vitesse de vol.</t>
  </si>
  <si>
    <t xml:space="preserve">Draconien, fantassin</t>
  </si>
  <si>
    <t xml:space="preserve">- Sens vision dans le noir 18 m, Perception passive 9
- Chute contrôlée. Lorsque le draconien tombe et n'est incapable d'agir, il soustrait jusqu'à 30 mètres de la chute pour le calcul des dégâts.
- Spasmes d'agonie. Lorsque le draconien est réduit à 0 point de vie, son corps se transforme en pierre et libère un gaz pétrifiant. Chaque créature à 1,50 mètre ou moins du draconien doit réussir un jet de sauvegarde de Constitution DD 11 ou être entravée et commencer à se transformer en pierre. La créature entravée doit répéter le jet de sauvegarde à la fin de son prochain tour. En cas de succès, l'effet prend fin, sinon la créature est pétrifiée pendant 1 minute. Après 1 minute, le corps du draconien tombe en poussière.</t>
  </si>
  <si>
    <t xml:space="preserve">Attaques multiples. Le draconien effectue deux attaques avec son épée courte.
- Épée courte. Attaque au corps à corps avec une arme : +3 au toucher, allonge 1,50 m, une cible. Touché : 4 (1d6 + 1) dégâts perforants.</t>
  </si>
  <si>
    <t xml:space="preserve">Draegloth</t>
  </si>
  <si>
    <t xml:space="preserve">123 (13d10+52)</t>
  </si>
  <si>
    <t xml:space="preserve">Perception+3
Discrétion+5</t>
  </si>
  <si>
    <t xml:space="preserve">abyssal, elfique, commun des profondeurs</t>
  </si>
  <si>
    <t xml:space="preserve">- Résistances aux dégâts froid, feu, foudre
- Immunités aux dégâts poison
- Immunités aux états empoisonné
- Sens vision dans le noir 36 m, Perception passive 13
- Ascendance féerique. Le draegloth a un avantage aux jets de sauvegarde pour ne pas être charmé, et la magie ne peut pas l'endormir.
- Incantation innée. La caractéristique d'incantation innée du draegloth est le Charisme (jet de sauvegarde contre ses sorts DD 11). Le draegloth peut lancer les sorts suivants de manière innée, sans avoir besoin de composantes matérielles :
  - À volonté : ténèbres
  - 1/jour chacun : confusion, lumières dansantes, lueurs féeriques</t>
  </si>
  <si>
    <t xml:space="preserve">- Attaques multiples. Le draegloth effectue trois attaques : une de morsure et deux avec ses griffes.
- Morsure. Attaque au corps à corps avec une arme : +8 au toucher, allonge 1,50 m, une créature. Touché : 16 (2d10 + 5) dégâts perforants.
- Griffes. Attaque au corps à corps avec une arme : +8 au toucher, allonge 3 m, une cible. Touché : 16 (2d10 + 5) dégâts tranchants.</t>
  </si>
  <si>
    <t xml:space="preserve">Dragon blanc, adulte</t>
  </si>
  <si>
    <t xml:space="preserve">Dragon (chromatique)</t>
  </si>
  <si>
    <t xml:space="preserve">200 (16d12+96)</t>
  </si>
  <si>
    <t xml:space="preserve">Discrétion+5
Perception+11
JS DEX+5
JS CON+11
JS SAG+6
JS CHA+6</t>
  </si>
  <si>
    <t xml:space="preserve">- Immunités aux dégâts froid
- Sens vision aveugle 18 m, vision dans le noir 36 m, Perception passive 21
- Marche sur la glace. Le dragon peut se déplacer sur les sols gelés ou escalader les surfaces glacées sans avoir besoin d'effectuer un jet de caractéristique. De plus, les terrains difficiles formés de glace ou de neige ne lui coûtent pas de mouvement supplémentaire.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</si>
  <si>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Griffes. Attaque au corps à corps avec une arme : +11 au toucher, allonge 1,50 m, une cible. Touché : 13 (2d6 + 6) dégâts tranchants.
- Morsure. Attaque au corps à corps avec une arme : +11 au toucher, allonge 3 m, une cible. Touché : 17 (2d10 + 6) dégâts perforants + 4 (1d8) dégâts de froid.
- Queue. Attaque au corps à corps avec une arme : +11 au toucher, allonge 4,50 m, une cible. Touché : 15 (2d8 + 6) dégâts contondants.
- Présence terrifiante. Chaque créature que le dragon choisit, se trouvant à 36 mètres ou moins du dragon et consciente de sa présence, doit réussir un jet de sauvegarde de Sagesse DD 14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froid (Recharge 5-6). Le dragon crache une tempête de glace dans un cône de 18 mètres. Chaque créature dans la zone d'effet doit effectuer un jet de sauvegarde de Constitution DD 19, subissant 54 (12d8) dégâts de froid en cas d'échec, ou la moitié de ces dégâts en cas de réussite.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</si>
  <si>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Détection. Le dragon effectue un jet de Sagesse (Perception).
- Attaque avec la queue. Le dragon effectue une attaque avec sa queue.
Attaque avec les ailes (coûte 2 actions). Le dragon bat des ailes. Chaque créature située à 3 mètres ou moins du dragon doit réussir un jet de sauvegarde de Dextérité DD 19 ou subir 13 (2d6 + 6) dégâts contondants et être jetée à terre. Le dragon peut ensuite s'envoler de la moitié de sa vitesse de vol.</t>
  </si>
  <si>
    <t xml:space="preserve">Dragon blanc, ancien</t>
  </si>
  <si>
    <t xml:space="preserve">333 (18d20+144)</t>
  </si>
  <si>
    <t xml:space="preserve">12 m, creusement 12 m, nage 12 m, vol 24 m</t>
  </si>
  <si>
    <t xml:space="preserve">Discrétion+6
Perception+13
JS DEX+6
JS CON+14
JS SAG+7
JS CHA+8</t>
  </si>
  <si>
    <t xml:space="preserve">- Immunités aux dégâts froid
- Sens vision aveugle 18 m, vision dans le noir 36 m, Perception passive 23
- Marche sur la glace. Le dragon peut se déplacer sur les sols gelés ou escalader les surfaces glacées sans avoir besoin d'effectuer un jet de caractéristique. De plus, les terrains difficiles formés de glace ou de neige ne lui coûtent pas de mouvement supplémentaire.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</si>
  <si>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+14 au toucher, allonge 4,50 m, une cible. Touché : 19 (2d10 + 8) dégâts perforants + 9 (2d8) dégâts de froid.
- Griffes. Attaque au corps à corps avec une arme : +14 au toucher, allonge 3 m, une cible. Touché : 15 (2d6 + 8) dégâts tranchants.
- Queue. Attaque au corps à corps avec une arme : +14 au toucher, allonge 6 m, une cible. Touché : 17 (2d8 + 8) dégâts contondants.
- Présence terrifiante. Chaque créature que le dragon choisit, se trouvant à 36 mètres ou moins du dragon et consciente de sa présence, doit réussir un jet de sauvegarde de Sagesse DD 16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froid (Recharge 5-6). Le dragon crache une tempête de glace dans un cône de 27 mètres. Chaque créature dans la zone d'effet doit effectuer un jet de sauvegarde de Constitution DD 22, subissant 72 (16d8) dégâts de froid en cas d'échec, ou la moitié de ces dégâts en cas de réussite.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</si>
  <si>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Détection. Le dragon effectue un jet de Sagesse (Perception).
- Attaque avec la queue. Le dragon effectue une attaque avec sa queue.
- Attaque avec les ailes (coûte 2 actions). Le dragon bat des ailes. Chaque créature située à 4,50 mètres ou moins du dragon doit réussir un jet de sauvegarde de Dextérité DD 22 ou subir 15 (2d6 + 8) dégâts contondants et être jetée à terre. Le dragon peut ensuite s'envoler de la moitié de sa vitesse de vol.</t>
  </si>
  <si>
    <t xml:space="preserve">Dragon blanc, dragonnet</t>
  </si>
  <si>
    <t xml:space="preserve">32 (5d8+10)</t>
  </si>
  <si>
    <t xml:space="preserve">9 m, creusement 4,50 m, nage 9 m, vol 18 m</t>
  </si>
  <si>
    <t xml:space="preserve">Discrétion+2
Perception+4
JS DEX+2
JS CON+4
JS SAG+2
JS CHA+2</t>
  </si>
  <si>
    <t xml:space="preserve">- Immunités aux dégâts froid
- Sens vision aveugle 3 m, vision dans le noir 18 m, Perception passive 14</t>
  </si>
  <si>
    <t xml:space="preserve">- Morsure. Attaque au corps à corps avec une arme : +4 au toucher, allonge 1,50 m, une cible. Touché : 7 (1d10 + 2) dégâts perforants + 2 (1d4) dégâts de froid.
- Souffle de froid (Recharge 5-6).  Le dragon crache une tempête de glace dans un cône de 4,50 mètres. 
Chaque créature dans la zone d'effet doit effectuer un jet de sauvegarde
 de Constitution DD 12, subissant 22 (5d8) dégâts de froid en cas 
d'échec, ou la moitié de ces dégâts en cas de réussite.</t>
  </si>
  <si>
    <t xml:space="preserve">Dragon blanc, jeune</t>
  </si>
  <si>
    <t xml:space="preserve">133 (14d10+56)</t>
  </si>
  <si>
    <t xml:space="preserve">12 m, creuseument 6 m, nage 12 m, vol 24 m</t>
  </si>
  <si>
    <t xml:space="preserve">Discrétion+3
Perception+6
JS DEX+3
JS CON+7
JS SAG+3
JS CHA+4</t>
  </si>
  <si>
    <t xml:space="preserve">- Immunités aux dégâts froid
- Sens vision aveugle 9 m, vision dans le noir 36 m, Perception passive 16
- Marche sur la glace. Le dragon peut se déplacer sur les sols gelés ou escalader les surfaces glacées sans avoir besoin d'effectuer un jet de caractéristique. De plus, les terrains difficiles formés de glace ou de neige ne lui coûtent pas de mouvement supplémentaire.</t>
  </si>
  <si>
    <t xml:space="preserve">- Attaques multiples. Le dragon effectue trois attaques : une de morsure et deux avec ses griffes.
- Morsure. Attaque au corps à corps avec une arme : +7 au toucher, allonge 3 m, une cible. Touché : 15 (2d10 + 4) dégâts perforants + 4 (1d8) dégâts de froid.
- Griffes. Attaque au corps à corps avec une arme : +7 au toucher, allonge 1,50 m, une cible. Touché : 11 (2d6 + 4) dégâts tranchants.
- Souffle de froid (Recharge 5-6). Le dragon crache une tempête de glace dans un cône de 9 mètres. Chaque créature dans la zone d'effet doit effectuer un jet de sauvegarde de Constitution DD 15, subissant 45 (10d8) dégâts de froid en cas d'échec, ou la moitié de ces dégâts en cas de réussite.</t>
  </si>
  <si>
    <t xml:space="preserve">Dragon bleu, adulte</t>
  </si>
  <si>
    <t xml:space="preserve">Discrétion+5
Perception+12
JS DEX+5
JS CON+11
JS SAG+7
JS CHA+9</t>
  </si>
  <si>
    <t xml:space="preserve">- Immunités aux dégâts foudre
- Sens vision aveugle 18 m, vision dans le noir 36 m, Perception passive 22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</si>
  <si>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Griffes. Attaque au corps à corps avec une arme : +12 au toucher, allonge 1,50 m, une cible. Touché : 14 (2d6 + 7) dégâts tranchants.
- Morsure. Attaque au corps à corps avec une arme : +12 au toucher, allonge 3 m, une cible. Touché : 18 (2d10 + 7) dégâts perforants + 5 (1d10) dégâts de foudre.
- Queue. Attaque au corps à corps avec une arme : +12 au toucher, allonge 4,50 m, une cible. Touché : 16 (2d8 + 7) dégâts contondants.
- Présence terrifiante. Chaque créature que le dragon choisit, se trouvant à 36 mètres ou moins du dragon et consciente de sa présence, doit réussir un jet de sauvegarde de Sagesse DD 17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foudre (Recharge 5-6). Le dragon crache une tempête d'éclairs sur une ligne de 27 mètres de long et de 1,50 mètre de large. Chaque créature sur cette ligne doit effectuer un jet de sauvegarde de Dextérité DD 19, subissant 66 (12d10) dégâts de foudre en cas d'échec, ou la moitié de ces dégâts en cas de réussite.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</si>
  <si>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Détection. Le dragon effectue un jet de Sagesse (Perception).
- Attaque avec la queue. Le dragon effectue une attaque avec sa queue.
- Attaque avec les ailes (coûte 2 actions). Le dragon bat des ailes. Chaque créature située à 3 mètres ou moins du dragon doit réussir un jet de sauvegarde de Dextérité DD 20 ou subir 14 (2d6 + 7) dégâts contondants et être jetée à terre. Le dragon peut ensuite s'envoler de la moitié de sa vitesse de vol.</t>
  </si>
  <si>
    <t xml:space="preserve">Dragon bleu, ancien</t>
  </si>
  <si>
    <t xml:space="preserve">481 (26d20+208)</t>
  </si>
  <si>
    <t xml:space="preserve">12 m, creusement 12 m, vol 24 m</t>
  </si>
  <si>
    <t xml:space="preserve">Discrétion+7
Perception+17
JS DEX+7
JS C0N+15
JS SAG+10
JS CHA+12</t>
  </si>
  <si>
    <t xml:space="preserve">- Immunités aux dégâts foudre
- Sens vision aveugle 18 m, vision dans le noir 36 m, Perception passive 27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</si>
  <si>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+16 au toucher, allonge 4,50 m, une cible. Touché : 20 (2d10 + 9) dégâts perforants + 11 (2d10) dégâts de foudre.
- Griffes. Attaque au corps à corps avec une arme : +16 au toucher, allonge 3 m, une cible. Touché : 16 (2d6 + 9) dégâts tranchants.
- Queue. Attaque au corps à corps avec une arme : +16 au toucher, allonge 6 m, une cible. Touché : 18 (2d8 + 9) dégâts contondants.
- Présence terrifiante. Chaque créature que le dragon choisit, se trouvant à 36 mètres ou moins du dragon et consciente de sa présence, doit réussir un jet de sauvegarde de Sagesse DD 20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foudre (Recharge 5-6). Le dragon crache une tempête d'éclairs sur une ligne de 36 mètres de long et de 3 mètres de large. Chaque créature sur cette ligne doit effectuer un jet de sauvegarde de Dextérité DD 23, subissant 88 (16d10) dégâts de foudre en cas d'échec, ou la moitié de ces dégâts en cas de réussite.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</si>
  <si>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Détection. Le dragon effectue un jet de Sagesse (Perception).
- Attaque avec la queue. Le dragon effectue une attaque avec sa queue.
- Attaque avec les ailes (coûte 2 actions). Le dragon bat des ailes. Chaque créature située à 4,50 mètres ou moins du dragon doit réussir un jet de sauvegarde de Dextérité DD 24 ou subir 16 (2d6 + 9) dégâts contondants et être jetée à terre. Le dragon peut ensuite s'envoler de la moitié de sa vitesse de vol.</t>
  </si>
  <si>
    <t xml:space="preserve">Dragon bleu, dragonnet</t>
  </si>
  <si>
    <t xml:space="preserve">9 m, creusement 4,50 m, vol 18 m</t>
  </si>
  <si>
    <t xml:space="preserve">Discrétion+2
Perception+4
JS DEX+2
JS CON+4
JS SAG+2
JS CHA+4</t>
  </si>
  <si>
    <t xml:space="preserve">- Immunités aux dégâts foudre
- Sens vision aveugle 3 m, vision dans le noir 18 m, Perception passive 14</t>
  </si>
  <si>
    <t xml:space="preserve">- Morsure. Attaque au corps à corps avec une arme : +5 au toucher, allonge 1,50 m, une cible. Touché : 8 (1d10 + 3) dégâts perforants + 3 (1d6) dégâts de foudre.
- Souffle de foudre (Recharge 5-6). Le dragon crache une tempête d'éclairs sur une ligne de 9 mètres de long et de 1,50 mètre de large. Chaque créature sur cette ligne doit effectuer un jet de sauvegarde de Dextérité DD 12, subissant 22 (4d10) dégâts de foudre en cas d'échec, ou la moitié de ces dégâts en cas de réussite.</t>
  </si>
  <si>
    <t xml:space="preserve">Dragon bleu, jeune</t>
  </si>
  <si>
    <t xml:space="preserve">152 (16d10+64)</t>
  </si>
  <si>
    <t xml:space="preserve">12 m, creusement 6 m, vol 24 m</t>
  </si>
  <si>
    <t xml:space="preserve">Discrétion+4
Perception+9
JS DEX+4
JS CON+8
JS SAG+5
JS CHA+7</t>
  </si>
  <si>
    <t xml:space="preserve">- Immunités aux dégâts foudre
- Sens vision aveugle 9 m, vision dans le noir 36 m, Perception passive 19</t>
  </si>
  <si>
    <t xml:space="preserve">- Attaques multiples. Le dragon effectue trois attaques : une de morsure et deux avec ses griffes.
- Morsure. Attaque au corps à corps avec une arme : +9 au toucher, allonge 3 m, une cible. Touché : 16 (2d10 + 5) dégâts perforants + 5 (1d10) dégâts de foudre.
- Griffes. Attaque au corps à corps avec une arme : +9 au toucher, allonge 1,50 m, une cible. Touché : 12 (2d6 + 5) dégâts tranchants.
- Souffle de foudre (Recharge 5-6). Le dragon crache une tempête d'éclairs sur une ligne de 18 mètres de long et de 1,50 mètre de large. Chaque créature sur cette ligne doit effectuer un jet de sauvegarde de Dextérité DD 16, subissant 55 (10d10) dégâts de foudre en cas d'échec, ou la moitié de ces dégâts en cas de réussite.</t>
  </si>
  <si>
    <t xml:space="preserve">Dragon d'agent, ancien</t>
  </si>
  <si>
    <t xml:space="preserve">Dragon (métallique)</t>
  </si>
  <si>
    <t xml:space="preserve">487 (25d20+225)</t>
  </si>
  <si>
    <t xml:space="preserve">Arcanes +11
Discrétion +7
Histoire +11
Perception +16
JS DEX+7
JS CON+16
JS SAG+9
JS CHA+13</t>
  </si>
  <si>
    <t xml:space="preserve">commun draconique</t>
  </si>
  <si>
    <t xml:space="preserve">- Immunités aux dégâts froid
- Sens vision aveugle 18 m, vision dans le noir 36 m, Perception passive 26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</si>
  <si>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+17 au toucher, allonge 4,50 m, une cible. Touché : 21 (2d10 + 10) dégâts perforants.
- Griffes. Attaque au corps à corps avec une arme : +17 au toucher, allonge 3 m, une cible. Touché : 17 (2d6 + 10) dégâts tranchants.
- Queue. Attaque au corps à corps avec une arme : +17 au toucher, allonge 6 m, une cible. Touché : 19 (2d8 + 10) dégâts contondants.
- Présence terrifiante. Chaque créature que le dragon choisit, se trouvant à 36 mètres ou moins de lui et consciente de sa présence, doit réussir un jet de sauvegarde de Sagesse DD 21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combat (Recharge 5-6). Le dragon utilise l'un des souffles de combat présentés ci-dessous.
  - Souffle de froid. Le dragon crache une tempête de glace dans un cône de 27 mètres. Chaque créature présente dans la zone doit effectuer un jet de sauvegarde de Constitution DD 24, subissant 67 (15d8) dégâts de froid en cas d'échec, ou la moitié de ces dégâts en cas de réussite.
  - Souffle paralysant. Le dragon exhale un gaz paralysant dans un cône de 27 mètres. Chaque créature présente dans la zone doit réussir un jet de sauvegarde de Constitution DD 24 ou être paralysée pendant 1 minute. Une créature peut retenter son jet de sauvegarde à la fin de chacun de ses tours, mettant fin à l'effet qui l'affecte en cas de réussite à ce nouveau jet de sauvegarde.
- Changement de forme. Le dragon se métamorphose magiquement en un humanoïde ou en une bête d'un FP inférieur ou égal au sien, ou bien retrouve sa forme véritable. Il retrouve également sa forme véritable lorsqu'il meurt. Tout l'équipement qu'il porte ou transporte est absorbé ou porté par sa nouvelle forme (au choix du dragon). Dans sa nouvelle forme, le dragon conserve son alignement, ses points de vie, ses dés de vie, sa capacité à parler, ses maîtrises, sa résistance légendaire, ses actions de repaire, ses valeurs de caractéristique d'Intelligence, de Sagesse et de Charisme, ainsi que cette action. Ses statistiques et ses capacités sont quant à elles remplacées par celles de sa nouvelle forme, à l'exception des compétences de classe ou des actions légendaires de cette forme.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</si>
  <si>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Détection. Le dragon effectue un jet de Sagesse (Perception).
- Attaque avec la queue. Le dragon effectue une attaque avec sa queue.
- Attaque avec les ailes (coûte 2 actions). Le dragon bat des ailes. Chaque créature située à 4,50 mètres ou moins du dragon doit réussir un jet de sauvegarde de Dextérité DD 25 ou subir 17 (2d6 + 10) dégâts contondants et être jetée à terre. Le dragon peut ensuite s'envoler de la moitié de sa vitesse de vol.</t>
  </si>
  <si>
    <t xml:space="preserve">Dragon d'airain, adulte</t>
  </si>
  <si>
    <t xml:space="preserve">172 (15d12+75)</t>
  </si>
  <si>
    <t xml:space="preserve">Discrétion+5
Histoire+7
Perception+11
Persuasion+8
JS DEX+5
JS CON+10
JS SAG+6
JS CHA+8</t>
  </si>
  <si>
    <t xml:space="preserve">- Immunités aux dégâts feu
- Sens vision aveugle 18 m, vision dans le noir 36 m, Perception passive 21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</si>
  <si>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+11 au toucher, allonge 3 m, une cible. Touché : 17 (2d10 + 6) dégâts perforants.
- Griffes. Attaque au corps à corps avec une arme : +11 au toucher, allonge 1,50 m, une cible. Touché : 13 (2d6 + 6) dégâts tranchants.
- Queue. Attaque au corps à corps avec une arme : +11 au toucher, allonge 4,50 m, une cible. Touché : 15 (2d8 + 6) dégâts contondants.
- Présence terrifiante. Chaque créature que le dragon choisit, se trouvant à 36 mètres ou moins de lui et consciente de sa présence, doit réussir un jet de sauvegarde de Sagesse DD 16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combat (Recharge 5-6). Le dragon utilise l'un des souffles de combat présentés ci-dessous.
  - Souffle de feu. Le dragon exhale des flammes sur une ligne de 18 mètres de long et de 1,50 mètre de large. Chaque créature présente dans la zone doit effectuer un jet de sauvegarde de Dextérité DD 18, subissant 45 (13d6) dégâts de feu en cas d'échec, ou la moitié de ces dégâts en cas de réussite.
  - Souffle de sommeil. Le dragon exhale un gaz soporifique dans un cône de 18 mètres. Chaque créature dans cette zone doit réussir un jet de sauvegarde de Constitution DD 18 ou tomber inconsciente pendant 10 minutes. Cet effet prend fin pour une créature si elle subit des dégâts ou si quelqu'un utilise son action pour la réveiller.</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</si>
  <si>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Détection. Le dragon effectue un jet de Sagesse (Perception).
- Attaque avec la queue. Le dragon effectue une attaque avec sa queue.
- Attaque avec les ailes (coûte 2 actions). Le dragon bat des ailes. Chaque créature située à 3 mètres ou moins du dragon doit réussir un jet de sauvegarde de Dextérité DD 19 ou subir 13 (2d6 + 6) dégâts contondants et être jetée à terre. Le dragon peut ensuite s'envoler de la moitié de sa vitesse de vol.</t>
  </si>
  <si>
    <t xml:space="preserve">Dragon d'airain, ancien</t>
  </si>
  <si>
    <t xml:space="preserve">12 m, creusement, 12 m, vol 24 m</t>
  </si>
  <si>
    <t xml:space="preserve">Discrétion+6
Histoire+9
Perception+14
Persuasion+10
JS DEX+6
JS CON+13
JS SAG+8
JS CHA+10</t>
  </si>
  <si>
    <t xml:space="preserve">- Immunités aux dégâts feu
- Sens vision aveugle 18 m, vision dans le noir 36 m, Perception passive 24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</si>
  <si>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+14 au toucher, allonge 4,50 m, une cible. Touché : 19 (2d10 + 8) dégâts perforants.
- Griffes. Attaque au corps à corps avec une arme : +14 au toucher, allonge 3 m, une cible. Touché : 15 (2d6 + 8) dégâts tranchants.
- Queue. Attaque au corps à corps avec une arme : +14 au toucher, allonge 6 m, une cible. Touché : 17 (2d8 + 8) dégâts contondants.
- Présence terrifiante. Chaque créature que le dragon choisit, se trouvant à 36 mètres ou moins de lui et consciente de sa présence, doit réussir un jet de sauvegarde de Sagesse DD 18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combat (Recharge 5-6). Le dragon utilise l'un des souffles de combat présentés ci-dessous.
  - Souffle de feu. Le dragon exhale des flammes sur une ligne de 27 mètres de long et de 3 mètres de large. Chaque créature présente dans la zone doit effectuer un jet de sauvegarde de Dextérité DD 21, subissant 56 (16d6) dégâts de feu en cas d'échec, ou la moitié de ces dégâts en cas de réussite.
  - Souffle de sommeil. Le dragon exhale un gaz soporifique dans un cône de 27 mètres. Chaque créature dans cette zone doit réussir un jet de sauvegarde de Constitution DD 21 ou tomber inconsciente pendant 10 minutes. Cet effet prend fin pour une créature si elle subit des dégâts ou si quelqu'un utilise son action pour la réveiller.
Changement de forme. Le dragon se métamorphose magiquement en un humanoïde ou en une bête d'un FP inférieur ou égal au sien, ou bien retrouve sa forme véritable. Il retrouve également sa forme véritable lorsqu'il meurt. Tout l'équipement qu'il porte ou transporte est absorbé ou porté par sa nouvelle forme (au choix du dragon). Dans sa nouvelle forme, le dragon conserve son alignement, ses points de vie, ses dés de vie, sa capacité à parler, ses maîtrises, sa résistance légendaire, ses actions de repaire, ses valeurs de caractéristique d'Intelligence, de Sagesse et de Charisme, ainsi que cette action. Ses statistiques et ses capacités sont quant à elles remplacées par celles de sa nouvelle forme, à l'exception des compétences de classe ou des actions légendaires de cette forme.</t>
  </si>
  <si>
    <t xml:space="preserve">Dragon d'airain, dragonnet</t>
  </si>
  <si>
    <t xml:space="preserve">Discrétion+2
Perception+4
JS DEX+2
JS CON+3
JS SAG+2
JS CHA+3</t>
  </si>
  <si>
    <t xml:space="preserve">- Immunités aux dégâts feu
- Sens vision aveugle 3 m, vision dans le noir 18 m, Perception passive 1</t>
  </si>
  <si>
    <t xml:space="preserve">- Morsure. Attaque au corps à corps avec une arme : +4 au toucher, allonge 1,50 m, une cible. Touché : 7 (1d10 + 2) dégâts perforants.
- Souffle de combat (Recharge 5-6). Le dragon utilise l'un des souffles de combat présentés ci-dessous.
  - Souffle de feu. Le dragon exhale des flammes sur une ligne de 6 mètres de long et de 1,50 mètre de large. Chaque créature présente dans la zone doit effectuer un jet de sauvegarde de Dextérité DD 11, subissant 14 (4d6) dégâts de feu en cas d'échec, ou la moitié de ces dégâts en cas de réussite.
  - Souffle de sommeil. Le dragon exhale un gaz soporifique dans un cône de 4,50 mètres. Chaque créature dans cette zone doit réussir un jet de sauvegarde de Constitution DD 11 ou tomber inconsciente pendant 1 minute. Cet effet prend fin pour une créature si elle subit des dégâts ou si quelqu'un utilise son action pour la réveiller.</t>
  </si>
  <si>
    <t xml:space="preserve">Dragon d'airain, jeune</t>
  </si>
  <si>
    <t xml:space="preserve">110 (13d10+39)</t>
  </si>
  <si>
    <t xml:space="preserve">Discrétion+3
Perception+6
Persuasion+5
JS DEX+3
JS CON+6
JS SAG+3
JS CHA+5</t>
  </si>
  <si>
    <t xml:space="preserve">- Immunités aux dégâts feu
- Sens vision aveugle 9 m, vision dans le noir 36 m, Perception passive 16</t>
  </si>
  <si>
    <t xml:space="preserve">- Attaques multiples. Le dragon effectue trois attaques : une de morsure et deux avec ses griffes.
- Morsure. Attaque au corps à corps avec une arme : +7 au toucher, allonge 3 m, une cible. Touché : 15 (2d10 + 4) dégâts perforants.
- Griffes. Attaque au corps à corps avec une arme : +7 au toucher, allonge 1,50 m, une cible. Touché : 11 (2d6 + 4) dégâts tranchants.
- Souffle de combat (Recharge 5-6). Le dragon utilise l'un des souffles de combat présentés ci-dessous.
  - Souffle de feu. Le dragon exhale des flammes sur une ligne de 12 mètres de long et de 1,50 mètre de large. Chaque créature présente dans la zone doit effectuer un jet de sauvegarde de Dextérité DD 14, subissant 42 (12d6) dégâts de feu en cas d'échec, ou la moitié de ces dégâts en cas de réussite.
  - Souffle de sommeil. Le dragon exhale un gaz soporifique dans un cône de 9 mètres. Chaque créature dans cette zone doit réussir un jet de sauvegarde de Constitution DD 14 ou tomber inconsciente pendant 5 minutes. Cet effet prend fin pour une créature si elle subit des dégâts ou si quelqu'un utilise son action pour la réveiller.</t>
  </si>
  <si>
    <t xml:space="preserve">Dragon d'améthyste, adulte</t>
  </si>
  <si>
    <t xml:space="preserve">229 (17D12+119)</t>
  </si>
  <si>
    <t xml:space="preserve">12 m, vol 24 m (stationnaire), nage 12 m</t>
  </si>
  <si>
    <t xml:space="preserve">Arcanes +15
Perception +13
Persuasion +10
Discrétion +7
JS DEX+7
JS CON+12
JS SAG+8
JS CHA+10</t>
  </si>
  <si>
    <t xml:space="preserve">- Résistances aux dégâts force, psychique
- Immunités aux états effrayé, à terre
- Sens vision aveugle 18 m, vision dans le noir 36 m, Perception passive 23
- Amphibien. Le dragon peut respirer aussi bien dans l'air que sous l'eau.
- Résistance légendaire (3/jour). Si le dragon échoue à un jet de sauvegarde, il peut décider de transformer cet échec en réussite.</t>
  </si>
  <si>
    <t xml:space="preserve">Attaques multiples. Le dragon effectue trois attaques : une de morsure et deux avec ses griffes.
- Morsure. Attaque au corps à corps avec une arme : +12 au toucher, allonge 3 m, une cible. Touché : 18 (2d10 + 7) dégâts perforants + 9 (2d8) dégâts de force.
- Griffes. Attaque au corps à corps avec une arme : +12 au toucher, allonge 3 m, une cible. Touché : 11 (1d8 + 7) dégâts tranchants.
- Incantation (psioniques). Le dragon lance l'un des sorts suivants sans nécessiter aucune composante de sort et en utilisant l'Intelligence comme caractéristique d'incantation (jet de sauvegarde contre ses sorts DD 18) :
  - 1/jour chacun : clignotement, contrôle de l'eau, dissipation de la magie, protection contre le mal et le bien, communication à distance
- Souffle singulier (Recharge 5-6). Le dragon crée une perle brillante de force gravitationnelle dans sa bouche, puis libère l'énergie dans un cône de 27 mètres. Chaque créature dans cette zone doit effectuer un jet de sauvegarde de Force DD 20. En cas d'échec, la créature subit 45 (10d8) dégâts de force et sa vitesse passe à 0 jusqu'au début du prochain tour du dragon. En cas de réussite, la créature ne subit que la moitié des dégâts et sa vitesse n'est pas réduite
ACTIONS BONUS
- Changement de forme. Le dragon se métamorphose magiquement en n'importe qu'elle créature de taille M ou P, tout en conservant ses statistiques (autre que la taille). Cette transformation prend fin si le dragon est réduit à 0 point de vie ou s'il utilise une action bonus pour y mettre fin.
- Foulée psychique. Le dragon se téléporte magiquement dans un espace inoccupé qu'il peut voir dans un rayon de 18 mètres autour de lui.</t>
  </si>
  <si>
    <t xml:space="preserve">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Griffes. Le dragon effectue une attaque avec ses griffes.
- Psioniques (coûte 2 actions). Le dragon utilise Foulée psychique ou Incantation.
- Cristal explosif (coûte 3 actions). Le dragon crache une améthyste qui explose à un point qu'il peut voir dans un rayon de 18 mètres autour de lui. Chaque créature dans une sphère de 6 mètres de rayon centrée sur ce point doit réussir un jet de sauvegarde de Dextérité DD 20 ou subir 13 (3d8) dégâts de force et tomber à terre.</t>
  </si>
  <si>
    <t xml:space="preserve">Dragon d'argent, adulte</t>
  </si>
  <si>
    <t xml:space="preserve">243 (18d12+126)</t>
  </si>
  <si>
    <t xml:space="preserve">Arcanes +8
Discrétion +5
Histoire +8
Perception +11
JS DEX+5
JS CON+12
JS SAG+6
JS CHA+10</t>
  </si>
  <si>
    <t xml:space="preserve">- Immunités aux dégâts froid
- Sens vision aveugle 18 m, vision dans le noir 36 m, Perception passive 21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</si>
  <si>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+13 au toucher, allonge 3 m, une cible. Touché : 19 (2d10 + 8) dégâts perforants.
- Griffes. Attaque au corps à corps avec une arme : +13 au toucher, allonge 1,50 m, une cible. Touché : 15 (2d6 + 8) dégâts tranchants.
- Queue. Attaque au corps à corps avec une arme : +13 au toucher, allonge 4,50 m, une cible. Touché : 17 (2d8 + 8) dégâts contondants.
- Présence terrifiante. Chaque créature que le dragon choisit, se trouvant à 36 mètres ou moins de lui et consciente de sa présence, doit réussir un jet de sauvegarde de Sagesse DD 18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combat (Recharge 5-6). Le dragon utilise l'un des souffles de combat présentés ci-dessous.
- Souffle de froid. Le dragon crache une tempête de glace dans un cône de 18 mètres. Chaque créature présente dans la zone doit effectuer un jet de sauvegarde de Constitution DD 20, subissant 58 (13d8) dégâts de froid en cas d'échec, ou la moitié de ces dégâts en cas de réussite.
Souffle paralysant. Le dragon exhale un gaz paralysant dans un cône de 18 mètres. Chaque créature présente dans la zone doit réussir un jet de sauvegarde de Constitution DD 20 ou être paralysée pendant 1 minute. Une créature peut retenter son jet de sauvegarde à la fin de chacun de ses tours, mettant fin à l'effet qui l'affecte en cas de réussite à ce nouveau jet de sauvegarde.
Changement de forme. Le dragon se métamorphose magiquement en un humanoïde ou en une bête d'un FP inférieur ou égal au sien, ou bien retrouve sa forme véritable. Il retrouve également sa forme véritable lorsqu'il meurt. Tout l'équipement qu'il porte ou transporte est absorbé ou porté par sa nouvelle forme (au choix du dragon). Dans sa nouvelle forme, le dragon conserve son alignement, ses points de vie, ses dés de vie, sa capacité à parler, ses maîtrises, sa résistance légendaire, ses actions de repaire, ses valeurs de caractéristique d'Intelligence, de Sagesse et de Charisme, ainsi que cette action. Ses statistiques et ses capacités sont quant à elles remplacées par celles de sa nouvelle forme, à l'exception des compétences de classe ou des actions légendaires de cette forme.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</si>
  <si>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Détection. Le dragon effectue un jet de Sagesse (Perception).
- Attaque avec la queue. Le dragon effectue une attaque avec sa queue.
- Attaque avec les ailes (coûte 2 actions). Le dragon bat des ailes. Chaque créature située à 3 mètres ou moins du dragon doit réussir un jet de sauvegarde de Dextérité DD 21 ou subir 15 (2d6 + 8) dégâts contondants et être jetée à terre. Le dragon peut ensuite s'envoler de la moitié de sa vitesse de vol.</t>
  </si>
  <si>
    <t xml:space="preserve">Dragon d'argent, dragonnet</t>
  </si>
  <si>
    <t xml:space="preserve">45 (6d8+18)</t>
  </si>
  <si>
    <t xml:space="preserve">Discrétion+2
Perception+4
JS DEX+2
JS CON+5
JS SAG+2
JS CHA+4</t>
  </si>
  <si>
    <t xml:space="preserve">- Morsure. Attaque au corps à corps avec une arme : +6 au toucher, allonge 1,50 m, une cible. Touché : 9 (1d10 + 4) dégâts perforants.
- Souffle de combat (Recharge 5-6). Le dragon utilise l'un des souffles de combat présentés ci-dessous.
  - Souffle de froid. Le dragon crache une tempête de glace dans un cône de 4,50 mètres. Chaque créature présente dans la zone doit effectuer un jet de sauvegarde de Constitution DD 13, subissant 18 (4d8) dégâts de froid en cas d'échec, ou la moitié de ces dégâts en cas de réussite.
  - Souffle paralysant. Le dragon exhale un gaz paralysant dans un cône de 4,50 mètres. Chaque créature présente dans la zone doit réussir un jet de sauvegarde de Constitution DD 13 ou être paralysée pendant 1 minute. Une créature peut retenter son jet de sauvegarde à la fin de chacun de ses tours, mettant fin à l'effet qui l'affecte en cas de réussite à ce nouveau jet de sauvegarde.</t>
  </si>
  <si>
    <t xml:space="preserve">Dragon d'argent, jeune</t>
  </si>
  <si>
    <t xml:space="preserve">168 (16d10+80</t>
  </si>
  <si>
    <t xml:space="preserve"> Arcanes +6
Discrétion +4
Histoire +6
Perception +8
JS DEX+4
JS CON+9
JS SAG+4
JS CHA+8</t>
  </si>
  <si>
    <t xml:space="preserve">- Immunités aux dégâts froid
- Sens vision aveugle 9 m, vision dans le noir 36 m, Perception passive 18</t>
  </si>
  <si>
    <t xml:space="preserve">- Attaques multiples. Le dragon effectue trois attaques : une de morsure et deux avec ses griffes.
- Morsure. Attaque au corps à corps avec une arme : +10 au toucher, allonge 3 m, une cible. Touché : 17 (2d10 + 6) dégâts perforants.
- Griffes. Attaque au corps à corps avec une arme : +10 au toucher, allonge 1,50 m, une cible. Touché : 13 (2d6 + 6) dégâts tranchants.
- Souffle de combat (Recharge 5-6). Le dragon utilise l'un des souffles de combat présentés ci-dessous.
  - Souffle de froid. Le dragon crache une tempête de glace dans un cône de 9 mètres. Chaque créature présente dans la zone doit effectuer un jet de sauvegarde de Constitution DD 17, subissant 54 (12d8) dégâts de froid en cas d'échec, ou la moitié de ces dégâts en cas de réussite.
  - Souffle paralysant. Le dragon exhale un gaz paralysant dans un cône de 9 mètres. Chaque créature présente dans la zone doit réussir un jet de sauvegarde de Constitution DD 17 ou être paralysée pendant 1 minute. Une créature peut retenter son jet de sauvegarde à la fin de chacun de ses tours, mettant fin à l'effet qui l'affecte en cas de réussite à ce nouveau jet de sauvegarde.</t>
  </si>
  <si>
    <t xml:space="preserve">Dragon de bronze ancien</t>
  </si>
  <si>
    <t xml:space="preserve">444 (24d20+192)</t>
  </si>
  <si>
    <t xml:space="preserve">12 m, nage 12 m, vol 24 m</t>
  </si>
  <si>
    <t xml:space="preserve">Discrétion+7
Intuition+10
Perception+17
JS DEX+7
JS CON+15
JS SAG+10
JS CHA+12</t>
  </si>
  <si>
    <t xml:space="preserve">- Immunités aux dégâts foudre
- Sens vision aveugle 18 m, vision dans le noir 36 m, Perception passive 27
- Amphibien. Le dragon peut respirer aussi bien dans l'air que sous l'eau.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</si>
  <si>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+16 au toucher, allonge 4,50 m, une cible. Touché : 20 (2d10 + 9) dégâts perforants.
- Griffes. Attaque au corps à corps avec une arme : +16 au toucher, allonge 3 m, une cible. Touché : 16 (2d6 + 9) dégâts tranchants.
- Queue. Attaque au corps à corps avec une arme : +16 au toucher, allonge 6 m, une cible. Touché : 18 (2d8 + 9) dégâts contondants.
- Présence terrifiante. Chaque créature que le dragon choisit, se trouvant à 36 mètres ou moins de lui et consciente de sa présence, doit réussir un jet de sauvegarde de Sagesse DD 20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combat (Recharge 5-6). Le dragon utilise l'un des souffles de combat présentés ci-dessous.
- Souffle de foudre. Le dragon crache une tempête d'éclairs sur une ligne de 36 mètres de long et de 3 mètres de large. Chaque créature sur cette ligne doit effectuer un jet de sauvegarde de Dextérité DD 23, subissant 88 (16d10) dégâts de foudre en cas d'échec, ou la moitié de ces dégâts en cas de réussite.
- Souffle répulsif. Le dragon crache une énergie répulsive dans un cône de 9 mètres. Chaque créature dans cette zone doit effectuer un jet de sauvegarde de Force DD 23. En cas d'échec, la créature est repoussée du dragon sur 18 mètres.
- Changement de forme. Le dragon se métamorphose magiquement en un humanoïde ou en une bête d'un FP inférieur ou égal au sien, ou bien retrouve sa forme véritable. Il retrouve également sa forme véritable lorsqu'il meurt. Tout l'équipement qu'il porte ou transporte est absorbé ou porté par sa nouvelle forme (au choix du dragon). Dans sa nouvelle forme, le dragon conserve son alignement, ses points de vie, ses dés de vie, sa capacité à parler, ses maîtrises, sa résistance légendaire, ses actions de repaire, ses valeurs de caractéristique d'Intelligence, de Sagesse et de Charisme, ainsi que cette action. Ses statistiques et ses capacités sont quant à elles remplacées par celles de sa nouvelle forme, à l'exception des compétences de classe ou des actions légendaires de cette forme.</t>
  </si>
  <si>
    <t xml:space="preserve">Dragon de bronze, adulte</t>
  </si>
  <si>
    <t xml:space="preserve">212 (17d12+102)</t>
  </si>
  <si>
    <t xml:space="preserve">Discrétion+5
Intuition+7
Perception+12
JS DEX+5
JS CON+11
JS SAG+7
JS CHA+9</t>
  </si>
  <si>
    <t xml:space="preserve">- Immunités aux dégâts foudre
- Sens vision aveugle 18 m, vision dans le noir 36 m, Perception passive 22
- Amphibien. Le dragon peut respirer aussi bien dans l'air que sous l'eau.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</si>
  <si>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Griffes. Attaque au corps à corps avec une arme : +12 au toucher, allonge 1,50 m, une cible. Touché : 14 (2d6 + 7) dégâts tranchants.
- Morsure. Attaque au corps à corps avec une arme : +12 au toucher, allonge 3 m, une cible. Touché : 18 (2d10 + 7) dégâts perforants.
- Queue. Attaque au corps à corps avec une arme : +12 au toucher, allonge 4,50 m, une cible. Touché : 16 (2d8 + 7) dégâts contondants.
- Présence terrifiante. Chaque créature que le dragon choisit, se trouvant à 36 mètres ou moins de lui et consciente de sa présence, doit réussir un jet de sauvegarde de Sagesse DD 17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combat (Recharge 5-6). Le dragon utilise l'un des souffles de combat présentés ci-dessous.
  - Souffle de foudre. Le dragon crache une tempête d'éclairs sur une ligne de 27 mètres de long et de 1,50 mètre de large. Chaque créature sur cette ligne doit effectuer un jet de sauvegarde de Dextérité DD 19, subissant 66 (12d10) dégâts de foudre en cas d'échec, ou la moitié de ces dégâts en cas de réussite.
  - Souffle répulsif. Le dragon crache une énergie répulsive dans un cône de 9 mètres. Chaque créature dans cette zone doit effectuer un jet de sauvegarde de Force DD 19. En cas d'échec, la créature est repoussée du dragon sur 18 mètres.
- Changement de forme. Le dragon se métamorphose magiquement en un humanoïde ou en une bête d'un FP inférieur ou égal au sien, ou bien retrouve sa forme véritable. Il retrouve également sa forme véritable lorsqu'il meurt. Tout l'équipement qu'il porte ou transporte est absorbé ou porté par sa nouvelle forme (au choix du dragon). Dans sa nouvelle forme, le dragon conserve son alignement, ses points de vie, ses dés de vie, sa capacité à parler, ses maîtrises, sa résistance légendaire, ses actions de repaire, ses valeurs de caractéristique d'Intelligence, de Sagesse et de Charisme, ainsi que cette action. Ses statistiques et ses capacités sont quant à elles remplacées par celles de sa nouvelle forme, à l'exception des compétences de classe ou des actions légendaires de cette forme.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</si>
  <si>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Détection. Le dragon effectue un jet de Sagesse (Perception).
-Attaque avec la queue. Le dragon effectue une attaque avec sa queue.
- Attaque avec les ailes (coûte 2 actions). Le dragon bat des ailes. Chaque créature située à 3 mètres ou moins du dragon doit réussir un jet de sauvegarde de Dextérité DD 20 ou subir 14 (2d6 + 7) dégâts contondants et être jetée à terre. Le dragon peut ensuite s'envoler de la moitié de sa vitesse de vol.</t>
  </si>
  <si>
    <t xml:space="preserve">Dragon de bronze, dragonnet</t>
  </si>
  <si>
    <t xml:space="preserve">9 m, nage 9 m, vol 18 m</t>
  </si>
  <si>
    <t xml:space="preserve">- Immunités aux dégâts foudre
- Sens vision aveugle 3 m, vision dans le noir 18 m, Perception passive 14
- Amphibien. Le dragon peut respirer aussi bien dans l'air que sous l'eau.</t>
  </si>
  <si>
    <t xml:space="preserve">- Morsure. Attaque au corps à corps avec une arme : +5 au toucher, allonge 1,50 m, une cible. Touché : 8 (1d10 + 3) dégâts perforants.
- Souffle de combat (Recharge 5-6). Le dragon utilise l'un des souffles de combat présentés ci-dessous.
  - Souffle de foudre. Le dragon crache une tempête d'éclairs sur une ligne de 12 mètres de long et de 1,50 mètre de large. Chaque créature sur cette ligne doit effectuer un jet de sauvegarde de Dextérité DD 12, subissant 16 (3d10) dégâts de foudre en cas d'échec, ou la moitié de ces dégâts en cas de réussite.
  - Souffle répulsif. Le dragon crache une énergie répulsive dans un cône de 9 mètres. Chaque créature dans cette zone doit effectuer un jet de sauvegarde de Force DD 12. En cas d'échec, la créature est repoussée du dragon sur 9 mètres.</t>
  </si>
  <si>
    <t xml:space="preserve">Dragon de bronze, jeune</t>
  </si>
  <si>
    <t xml:space="preserve">142 (15d10+60)</t>
  </si>
  <si>
    <t xml:space="preserve">Discrétion+3
Intuition+4
Perception+7
JS DEX+3
JS CON+7
JS SAG+4
JS  CHA+6</t>
  </si>
  <si>
    <t xml:space="preserve">- Immunités aux dégâts foudre
- Sens vision aveugle 9 m, vision dans le noir 36 m, Perception passive 17
- Amphibien. Le dragon peut respirer aussi bien dans l'air que sous l'eau.</t>
  </si>
  <si>
    <t xml:space="preserve">- Attaques multiples. Le dragon effectue trois attaques : une de morsure et deux avec ses griffes.
- Morsure. Attaque au corps à corps avec une arme : +8 au toucher, allonge 3 m, une cible. Touché : 16 (2d10 + 5) dégâts perforants.
- Griffes. Attaque au corps à corps avec une arme : +8 au toucher, allonge 1,50 m, une cible. Touché : 12 (2d6 + 5) dégâts tranchants.
- Souffle de combat (Recharge 5-6). Le dragon utilise l'un des souffles de combat présentés ci-dessous.
- Souffle de foudre. Le dragon crache une tempête d'éclairs sur une ligne de 18 mètres de long et de 1,50 mètre de large. Chaque créature sur cette ligne doit effectuer un jet de sauvegarde de Dextérité DD 15, subissant 55 (10d10) dégâts de foudre en cas d'échec, ou la moitié de ces dégâts en cas de réussite.
- Souffle répulsif. Le dragon crache une énergie répulsive dans un cône de 9 mètres. Chaque créature dans cette zone doit effectuer un jet de sauvegarde de Force DD 15. En cas d'échec, la créature est repoussée du dragon sur 12 mètres.</t>
  </si>
  <si>
    <t xml:space="preserve">Dragon de cristal, adulte</t>
  </si>
  <si>
    <t xml:space="preserve">172  (15d12+75)</t>
  </si>
  <si>
    <t xml:space="preserve">12 m, creusement 12 m, escalade 12 m, vol 24 m</t>
  </si>
  <si>
    <t xml:space="preserve">Perception +10
Discrétion +9
Survival +6
JS DEX+5
JS CON+9
JS SAG+6
JS CHA+8</t>
  </si>
  <si>
    <t xml:space="preserve">- Résistances aux dégâts froid, radiant
- Sens vision aveugle 18 m, vision dans le noir 36 m, Perception passive 20
- Résistance légendaire (3/jour). Si le dragon échoue à un jet de sauvegarde, il peut décider de transformer cet échec en réussite.</t>
  </si>
  <si>
    <t xml:space="preserve">Attaques multiples. Le dragon effectue trois attaques : une de morsure et deux avec ses griffes.
- Morsure. Attaque au corps à corps avec une arme : +9 au toucher, allonge 3 m, une cible. Touché : 16 (2d10 + 5) dégâts perforants + 4 (1d8) dégâts radiants.
- Griffes. Attaque au corps à corps avec une arme : +9 au toucher, allonge 1,50 m, une cible. Touché : 9 (1d8 + 5) dégâts tranchants.
- Incantation (psioniques). Le dragon lance l'un des sorts suivants sans nécessiter aucune composante de sort et en utilisant l'Intelligence comme caractéristique d'incantation (jet de sauvegarde contre ses sorts DD 16) :
  - À volonté : lumières dansantes, assistance
  - 1/jour chacun : injonction, divination, motif hypnotique, restauration partielle
- Souffle scintillant (Recharge 5-6). Le dragon exhale une explosion d'éclat brillant dans un cône de 18 mètres. Chaque créature dans cette zone doit effectuer un jet de sauvegarde de Constitution DD 17, subissant 40 (9d8) dégâts radiants en cas d'échec, ou la moitié de ces dégâts en cas de réussite. Le dragon gagne alors 15 points de vie temporaires en absorbant une partie de l'énergie rayonnante.
ACTIONS BONUS
- Changement de forme. Le dragon se métamorphose magiquement en n'importe qu'elle créature de taille M ou P, tout en conservant ses statistiques (autre que la taille). Cette transformation prend fin si le dragon est réduit à 0 point de vie ou s'il utilise une action bonus pour y mettre fin.
- Foulée psychique. Le dragon se téléporte magiquement dans un espace inoccupé qu'il peut voir dans un rayon de 18 mètres autour de lui.</t>
  </si>
  <si>
    <t xml:space="preserve">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Griffes. Le dragon effectue une attaque avec ses griffes.
- Psioniques (coûte 2 actions). Le dragon utilise Foulée psychique ou Incantation.
- Frappe stellaire (coûte 3 actions). Le dragon libère un rayon brûlant de lumière stellaire sur une créature qu'il peut voir dans un rayon de 18 mètres autour de lui. La cible doit réussir un jet de sauvegarde de Dextérité DD 17 ou subir 31 (9d6) dégâts radiants.</t>
  </si>
  <si>
    <t xml:space="preserve">Dragon de cuivre, adulte</t>
  </si>
  <si>
    <t xml:space="preserve">184 (16d12+80)</t>
  </si>
  <si>
    <t xml:space="preserve">12 m, escalade 12 m, vol 24 m</t>
  </si>
  <si>
    <t xml:space="preserve">Discrétion+6
Perception+12
Tromperie+8
JS DEX+6
JS CON+10
JS SAG+7
JS CHA+8</t>
  </si>
  <si>
    <t xml:space="preserve">- Immunités aux dégâts acide
- Sens vision aveugle 18 m, vision dans le noir 36 m, Perception passive 22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</si>
  <si>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+11 au toucher, allonge 3 m, une cible. Touché : 17 (2d10 + 6) dégâts perforants.
- Griffes. Attaque au corps à corps avec une arme : +11 au toucher, allonge 1,50 m, une cible. Touché : 13 (2d6 + 6) dégâts tranchants.
- Queue. Attaque au corps à corps avec une arme : +11 au toucher, allonge 4,50 m, une cible. Touché : 15 (2d8 + 6) dégâts contondants.
- Présence terrifiante. Chaque créature que le dragon choisit, se trouvant à 36 mètres ou moins de lui et consciente de sa présence, doit réussir un jet de sauvegarde de Sagesse DD 16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combat (Recharge 5-6). Le dragon utilise l'un des souffles de combat présentés ci-dessous.
  - Souffle d'acide. Le dragon crache un jet d'acide une ligne de 18 mètres de long et de 1,50 mètre de large. Chaque créature présente dans la zone doit effectuer un jet de sauvegarde de Dextérité DD 18, subissant 54 (12d8) dégâts d'acide en cas d'échec, ou la moitié de ces dégâts en cas de réussite.
  - Souffle de ralentissement. Le dragon exhale un gaz dans un cône de 18 mètres. Chaque créature dans cette zone doit effectuer un jet de sauvegarde de Constitution DD 18. En cas d'échec, la créature ne peut plus utiliser de réaction, sa vitesse est réduite de moitié, et elle ne peut plus faire qu'une seule attaque par tour. De plus, la créature ne peut utiliser qu'une action ou une action bonus, mais pas les deux, pendant son tour. Cet effet reste effectif pendant 1 minute. La créature peut retenter ce jet de sauvegarde à la fin de chacun de ses tours, mettant fin à l'effet qui l'affecte en cas de réussite à ce nouveau jet de sauvegarde.</t>
  </si>
  <si>
    <t xml:space="preserve">Dragon de cuivre, ancien</t>
  </si>
  <si>
    <t xml:space="preserve">350 (20d20+140)</t>
  </si>
  <si>
    <t xml:space="preserve">Discrétion+8
Perception+17
Tromperie+11
JS DEX+8
JS CON+14
JS SAG+10
JS CHA+11</t>
  </si>
  <si>
    <t xml:space="preserve">- Immunités aux dégâts acide
- Sens vision aveugle 18 m, vision dans le noir 36 m, Perception passive 27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</si>
  <si>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+15 au toucher, allonge 4,50 m, une cible. Touché : 19 (2d10 + 8) dégâts perforants.
- Griffes. Attaque au corps à corps avec une arme : +15 au toucher, allonge 3 m, une cible. Touché : 15 (2d6 + 8) dégâts tranchants.
- Queue. Attaque au corps à corps avec une arme : +15 au toucher, allonge 6 m, une cible. Touché : 17 (2d8 + 8) dégâts contondants.
- Présence terrifiante. Chaque créature que le dragon choisit, se trouvant à 36 mètres ou moins de lui et consciente de sa présence, doit réussir un jet de sauvegarde de Sagesse DD 19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combat (Recharge 5-6). Le dragon utilise l'un des souffles de combat présentés ci-dessous.
  - Souffle d'acide. Le dragon crache un jet d'acide une ligne de 27 mètres de long et de 3 mètres de large. Chaque créature présente dans la zone doit effectuer un jet de sauvegarde de Dextérité DD 22, subissant 63 (14d8) dégâts d'acide en cas d'échec, ou la moitié de ces dégâts en cas de réussite.
  - Souffle de ralentissement. Le dragon exhale un gaz dans un cône de 27 mètres. Chaque créature dans cette zone doit effectuer un jet de sauvegarde de Constitution DD 22. En cas d'échec, la créature ne peut plus utiliser de réaction, sa vitesse est réduite de moitié, et elle ne peut plus faire qu'une seule attaque par tour. De plus, la créature ne peut utiliser qu'une action ou une action bonus, mais pas les deux, pendant son tour. Cet effet reste effectif pendant 1 minute. La créature peut retenter ce jet de sauvegarde à la fin de chacun de ses tours, mettant fin à l'effet qui l'affecte en cas de réussite à ce nouveau jet de sauvegarde.
- Changement de forme. Le dragon se métamorphose magiquement en un humanoïde ou en une bête d'un FP inférieur ou égal au sien, ou bien retrouve sa forme véritable. Il retrouve également sa forme véritable lorsqu'il meurt. Tout l'équipement qu'il porte ou transporte est absorbé ou porté par sa nouvelle forme (au choix du dragon). Dans sa nouvelle forme, le dragon conserve son alignement, ses points de vie, ses dés de vie, sa capacité à parler, ses maîtrises, sa résistance légendaire, ses actions de repaire, ses valeurs de caractéristique d'Intelligence, de Sagesse et de Charisme, ainsi que cette action. Ses statistiques et ses capacités sont quant à elles remplacées par celles de sa nouvelle forme, à l'exception des compétences de classe ou des actions légendaires de cette forme.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</si>
  <si>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Détection. Le dragon effectue un jet de Sagesse (Perception).
- Attaque avec la queue. Le dragon effectue une attaque avec sa queue.
- Attaque avec les ailes (coûte 2 actions). Le dragon bat des ailes. Chaque créature située à 4,50 mètres ou moins du dragon doit réussir un jet de sauvegarde de Dextérité DD 23 ou subir 15 (2d6 + 8) dégâts contondants et être jetée à terre. Le dragon peut ensuite s'envoler de la moitié de sa vitesse de vol.</t>
  </si>
  <si>
    <t xml:space="preserve">Dragon de cuivre, dragonnet</t>
  </si>
  <si>
    <t xml:space="preserve">9 m, escalade 9 m, vol 18 m</t>
  </si>
  <si>
    <t xml:space="preserve">Discrétion+3
Perception+4
JS DEX+3
JS CON+3
JS SAG+2
JS CHA+3</t>
  </si>
  <si>
    <t xml:space="preserve">- Immunités aux dégâts acide
- Sens vision aveugle 3 m, vision dans le noir 18 m, Perception passive 14</t>
  </si>
  <si>
    <t xml:space="preserve">- Morsure. Attaque au corps à corps avec une arme : +4 au toucher, allonge 1,50 m, une cible. Touché : 7 (1d10 + 2) dégâts perforants.
- Souffle de combat (Recharge 5-6). Le dragon utilise l'un des souffles de combat présentés ci-dessous.
  - Souffle d'acide. Le dragon crache un jet d'acide une ligne de 6 mètres de long et de 1,50 mètre de large. Chaque créature présente dans la zone doit effectuer un jet de sauvegarde de Dextérité DD 11, subissant 18 (4d8) dégâts d'acide en cas d'échec, ou la moitié de ces dégâts en cas de réussite.
  - Souffle de ralentissement. Le dragon exhale un gaz dans un cône de 4,50 mètres. Chaque créature dans cette zone doit effectuer un jet de sauvegarde de Constitution DD 11. En cas d'échec, la créature ne peut plus utiliser de réaction, sa vitesse est réduite de moitié, et elle ne peut plus faire qu'une seule attaque par tour. De plus, la créature ne peut utiliser qu'une action ou une action bonus, mais pas les deux, pendant son tour. Cet effet reste effectif pendant 1 minute. La créature peut retenter ce jet de sauvegarde à la fin de chacun de ses tours, mettant fin à l'effet qui l'affecte en cas de réussite à ce nouveau jet de sauvegarde.</t>
  </si>
  <si>
    <t xml:space="preserve">Dragon de cuivre, jeune</t>
  </si>
  <si>
    <t xml:space="preserve">119 (14d10+42)</t>
  </si>
  <si>
    <t xml:space="preserve">Discrétion+4
Perception+7
Tromperie+5
JS DEX+4
JS CON+6
JS SAG+4
JS CHA+5</t>
  </si>
  <si>
    <t xml:space="preserve">- Immunités aux dégâts acide
- Sens vision aveugle 9 m, vision dans le noir 36 m, Perception passive 17</t>
  </si>
  <si>
    <t xml:space="preserve">- Attaques multiples. Le dragon effectue trois attaques : une de morsure et deux avec ses griffes.
- Morsure. Attaque au corps à corps avec une arme : +7 au toucher, allonge 3 m, une cible. Touché : 15 (2d10 + 4) dégâts perforants.
- Griffes. Attaque au corps à corps avec une arme : +7 au toucher, allonge 1,50 m, une cible. Touché : 11 (2d6 + 4) dégâts tranchants.
- Souffle de combat (Recharge 5-6). Le dragon utilise l'un des souffles de combat présentés ci-dessous.
  - Souffle d'acide. Le dragon crache un jet d'acide une ligne de 12 mètres de long et de 1,50 mètre de large. Chaque créature présente dans la zone doit effectuer un jet de sauvegarde de Dextérité DD 14, subissant 40 (9d8) dégâts d'acide en cas d'échec, ou la moitié de ces dégâts en cas de réussite.
  - Souffle de ralentissement. Le dragon exhale un gaz dans un cône de 9 mètres. Chaque créature dans cette zone doit effectuer un jet de sauvegarde de Constitution DD 14. En cas d'échec, la créature ne peut plus utiliser de réaction, sa vitesse est réduite de moitié, et elle ne peut plus faire qu'une seule attaque par tour. De plus, la créature ne peut utiliser qu'une action ou une action bonus, mais pas les deux, pendant son tour. Cet effet reste effectif pendant 1 minute. La créature peut retenter ce jet de sauvegarde à la fin de chacun de ses tours, mettant fin à l'effet qui l'affecte en cas de réussite à ce nouveau jet de sauvegarde.</t>
  </si>
  <si>
    <t xml:space="preserve">Dragon de saphir, adulte</t>
  </si>
  <si>
    <t xml:space="preserve">12 m, creusement 9 m, escalde 12 m, vol 24 m</t>
  </si>
  <si>
    <t xml:space="preserve">Histoire +9
Perception +13
Persuasion +14
Discrétion +7
JS DEX+7
JS CON+11
JS SAG+8
JS CHA+9</t>
  </si>
  <si>
    <t xml:space="preserve">- Résistances aux dégâts foudre, tonnerre
- Immunités aux états effrayé
- Sens vision aveugle 18 m, vision dans le noir 36 m, Perception passive 23
- Résistance légendaire (3/jour). Si le dragon échoue à un jet de sauvegarde, il peut décider de transformer cet échec en réussite.
- Pattes d'araignée. Le dragon peut escalader des surfaces difficiles et être au plafond la tête en bas sans avoir besoin d'effectuer un jet de caractéristique.
- Fouisseur. Le dragon peut creuser à travers la roche en se déplaçant à la moitié de sa vitesse de creusement et laisser sur son passage un tunnel de 3 mètres de diamètre.</t>
  </si>
  <si>
    <t xml:space="preserve">Attaques multiples. Le dragon effectue trois attaques : une de morsure et deux avec ses griffes.
- Morsure. Attaque au corps à corps avec une arme : +11 au toucher, allonge 3 m, une cible. Touché : 17 (2d10 + 6) dégâts perforants + 7 (2d6) dégâts de tonnerre.
- Griffes. Attaque au corps à corps avec une arme : +11 au toucher, allonge 1,50 m, une cible. Touché : 10 (1d8 + 6) dégâts tranchants.
- Incantation (psioniques). Le dragon lance l'un des sorts suivants sans nécessiter aucune composante de sort et en utilisant l'Intelligence comme caractéristique d'incantation (jet de sauvegarde contre ses sorts DD 17) :
  - 1/jour chacun : murmures dissonants, immobilisation de monstre, fusion dans la pierre, télékinésie
- Souffle débilitant (Recharge 5-6). Le dragon exhale une pulsation de son aigu et presque inaudible dans un cône de 18 mètres. Chaque créature dans cette zone doit effectuer un jet de sauvegarde de Constitution DD 19. En cas d'échec, la créature subit 44 (8d10) dégâts de tonnerre et est incapable d'agir jusqu'à la fin de son prochain tour. En cas de réussite, la créature ne subit que la moitié des dégâts et n'est pas incapable d'agir.
ACTIONS BONUS
- Changement de forme. Le dragon se métamorphose magiquement en n'importe qu'elle créature de taille M ou P, tout en conservant ses statistiques (autre que la taille). Cette transformation prend fin si le dragon est réduit à 0 point de vie ou s'il utilise une action bonus pour y mettre fin.
- Foulée psychique. Le dragon se téléporte magiquement dans un espace inoccupé qu'il peut voir dans un rayon de 18 mètres autour de lui.</t>
  </si>
  <si>
    <t xml:space="preserve">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Griffes. Le dragon effectue une attaque avec ses griffes.
- Psioniques (coûte 2 actions). Le dragon utilise Foulée psychique ou Incantation.
- Lancer télékinésique (coûte 3 actions). Le dragon choisit un objet de taille P ou plus petit qui n'est pas porté et qu'il peut voir dans un rayon de 18 mètres autour de lui, et le lance magiquement sur une créature qu'il peut voir à 18 mètres ou moins de l'objet. La cible doit réussir un jet de sauvegarde de Dextérité DD 17 ou subir 31 (9d6) dégâts contondants.</t>
  </si>
  <si>
    <t xml:space="preserve">Dragon de topaze, adulte</t>
  </si>
  <si>
    <t xml:space="preserve">210 (20d12+80)</t>
  </si>
  <si>
    <t xml:space="preserve">12 m, vol 24 m, nage 12 m</t>
  </si>
  <si>
    <t xml:space="preserve">- Intimidation +14
- Perception +13
- Discrétion +6
JS DEX+6
JS CON+9
HS SAG+8
JS CHA+9</t>
  </si>
  <si>
    <t xml:space="preserve">- Résistances aux dégâts froid, nécrotique
- Sens vision aveugle 18 m, vision dans le noir 36 m, Perception passive 23
- Amphibien. Le dragon peut respirer aussi bien dans l'air que sous l'eau.
- Fabrication (1/jour). Le dragon peut lancer fabrication sans nécessiter aucune composante de sort et en utilisant l'Intelligence comme caractéristique d'incantation.
- Résistance légendaire (3/jour). Si le dragon échoue à un jet de sauvegarde, il peut décider de transformer cet échec en réussite.</t>
  </si>
  <si>
    <t xml:space="preserve">- Attaques multiples. Le dragon effectue trois attaques : une de morsure et deux avec ses griffes.
  - Morsure. Attaque au corps à corps avec une arme : +9 au toucher, allonge 3 m, une cible. Touché : 15 (2d10 + 4) dégâts perforants + 3 (1d6) dégâts nécrotiques.
  - Griffes. Attaque au corps à corps avec une arme : +9 au toucher, allonge 1,50 m, une cible. Touché : 8 (1d8 + 4) dégâts tranchants.
- Incantation (psioniques). Le dragon lance l'un des sorts suivants sans nécessiter aucune composante de sort et en utilisant l'Intelligence comme caractéristique d'incantation (jet de sauvegarde contre ses sorts DD 17) :
  - 1/jour chacun : fléau, contrôle de l'eau, création ou destruction d'eau,
- Souffle desséchant (Recharge 5-6). Le dragon exhale une énergie nécrotique jaunâtre dans un cône de 18 mètres. Chaque créature dans cette zone doit effectuer un jet de sauvegarde de Constitution DD 17. En cas d'échec, la créature subit 35 (10d6) dégâts nécrotiques et est affaiblie jusqu'à la fin de son prochain tour. Une créature affaiblie a un désavantage aux jets de caractéristique basés sur la Force et aux jets de sauvegarde de Force, et les attaques avec une arme de la créature qui reposent sur la Force infligent la moitié des dégâts. En cas de réussite, la créature ne subit que la moitié des dégâts et n'est pas affaiblie.
ACTIONS BONUS
- Changement de forme. Le dragon se métamorphose magiquement en n'importe qu'elle créature de taille M ou P, tout en conservant ses statistiques (autre que la taille). Cette transformation prend fin si le dragon est réduit à 0 point de vie ou s'il utilise une action bonus pour y mettre fin.
- Foulée psychique. Le dragon se téléporte magiquement dans un espace inoccupé qu'il peut voir dans un rayon de 18 mètres autour de lui.</t>
  </si>
  <si>
    <t xml:space="preserve">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Griffes. Le dragon effectue une attaque avec ses griffes.
- Psioniques (coûte 2 actions). Le dragon utilise Foulée psychique ou Incantation.
- Réduction essentielle (coûte 3 actions). Le dragon cible une créature ou un objet non porté qu'il peut voir à 18 mètres ou moins de lui. La cible doit réussir un jet de sauvegarde de Constitution DD 17 ou subir 28 (8d6) dégâts nécrotiques. Si ces dégâts réduisent la cible à 0 point de vie, elle tombe en poussière.</t>
  </si>
  <si>
    <t xml:space="preserve">Dragon d'ombre rouge, jeune</t>
  </si>
  <si>
    <t xml:space="preserve">Dragon</t>
  </si>
  <si>
    <t xml:space="preserve">Discrétion+8
Perception+8
JS DEX+4
JS CON+9
JS SAG+4
JS CHA+8</t>
  </si>
  <si>
    <t xml:space="preserve">- Résistances aux dégâts nécrotique
- Immunités aux dégâts feu
- Sens vision aveugle 9 m, vision dans le noir 36 m, Perception passive 18
- Ombre vivante. Tant qu'il se trouve dans une zone de lumière faible ou de ténèbres, le dragon a une résistance à tous les dégâts, exception faite des dégâts de force, psychiques, ou radiants.
- Discrétion dans les ombres. Tant qu'il se trouve dans une zone de lumière faible ou de ténèbres, le dragon peut utiliser l'action Se cacher en dépensant une action bonus.
- Sensibilité au soleil. S'il est exposé à la lumière du soleil, le dragon a un désavantage aux jets d'attaque et aux jets de Sagesse (Perception) basés sur la vue.</t>
  </si>
  <si>
    <t xml:space="preserve">- Attaques multiples. Le dragon effectue trois attaques : une de morsure et deux avec ses griffes.
- Griffes. Attaque au corps à corps avec une arme : +10 au toucher, allonge 1,50 m, une cible. Touché : 13 (2d6 + 6) dégâts tranchants.
- Morsure. Attaque au corps à corps avec une arme : +10 au toucher, allonge 3 m, une cible. Touché : 17 (2d10 + 6) dégâts perforants + 3 (1d6) dégâts nécrotiques.
- Souffle d'ombres (Recharge 5-6). Le dragon exhale des flammes d'ombre dans un cône de 9 mètres. Toutes les créatures dans la zone doivent effectuer un jet de sauvegarde de Dextérité DD 18, subissant 56 (16d6) dégâts nécrotiques en cas d'échec, ou la moitié de ces dégâts en cas de réussite. Un humanoïde dont les points de vie tombent à 0 suite à ces dégâts meurt sur le champ, et une ombre morte-vivante surgit de son corps et agit immédiatement après le dragon dans l'ordre d'initiative. L'ombre est sous le contrôle du dragon.</t>
  </si>
  <si>
    <t xml:space="preserve">Dragon d'or, adulte</t>
  </si>
  <si>
    <t xml:space="preserve">256 (19d12+133)</t>
  </si>
  <si>
    <t xml:space="preserve">Discrétion +8
Intuition +8
Perception +14
Persuasion +13
JS DEX+8
JS CON+13
JS SAG+8
JS CHA+13</t>
  </si>
  <si>
    <t xml:space="preserve">- Immunités aux dégâts feu
- Sens vision aveugle 18 m, vision dans le noir 36 m, Perception passive 24
- Amphibien. Le dragon peut respirer aussi bien dans l'air que sous l'eau.
- Résistance légendaire (3/jour). Si le dragon échoue à un jet de sauvegarde, il peut décider de transformer cet échec en réussite.e.</t>
  </si>
  <si>
    <t xml:space="preserve">- Attaques multiples. Le dragon peut utiliser sa Présence terrifiante. Il effectue ensuite trois attaques : une de morsure et deux avec ses griffes.
- Morsure. Attaque au corps à corps avec une arme : +14 au toucher, allonge 3 m, une cible. Touché : 19 (2d10 + 8) dégâts perforants.
- Griffes. Attaque au corps à corps avec une arme : +14 au toucher, allonge 1,50 m, une cible. Touché : 15 (2d6 + 8) dégâts tranchants.
- Queue. Attaque au corps à corps avec une arme : +14 au toucher, allonge 4,50 m, une cible. Touché : 17 (2d8 + 8) dégâts contondants.
- Présence terrifiante. Chaque créature que le dragon choisit, se trouvant à 36 mètres ou moins de lui et consciente de sa présence, doit réussir un jet de sauvegarde de Sagesse DD 21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combat (Recharge 5-6). Le dragon utilise l'un des souffles de combat présentés ci-dessous.
  - Souffle de feu. Le dragon crache des flammes dans un cône de 18 mètres. Chaque créature présente dans la zone doit effectuer un jet de sauvegarde de Dextérité DD 21, subissant 66 (12d10) dégâts de feu en cas d'échec, ou la moitié de ces dégâts en cas de réussite.
  - Souffle affaiblissant. Le dragon exhale un gaz dans un cône de 18 mètres. Chaque créature présente dans la zone doit réussir un jet de sauvegarde de Force DD 21 ou avoir un désavantage aux jets d'attaque basés sur la Force, aux jets de Force et aux jets de sauvegarde de Force. L'effet dure 1 minute. Une créature peut retenter son jet de sauvegarde à la fin de chacun de ses tours, mettant fin à l'effet qui l'affecte en cas de réussite à ce nouveau jet de sauvegarde.
- Changement de forme. Le dragon se métamorphose magiquement en un humanoïde ou en une bête d'un FP inférieur ou égal au sien, ou bien retrouve sa forme véritable. Il retrouve également sa forme véritable lorsqu'il meurt. Tout l'équipement qu'il porte ou transporte est absorbé ou porté par sa nouvelle forme (au choix du dragon). Dans sa nouvelle forme, le dragon conserve son alignement, ses points de vie, ses dés de vie, sa capacité à parler, ses maîtrises, sa résistance légendaire, ses actions de repaire, ses valeurs de caractéristique d'Intelligence, de Sagesse et de Charisme, ainsi que cette action. Ses statistiques et ses capacités sont quant à elles remplacées par celles de sa nouvelle forme, à l'exception des compétences de classe ou des actions légendaires de cette forme.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</si>
  <si>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Détection. Le dragon effectue un jet de Sagesse (Perception).
- Attaque avec la queue. Le dragon effectue une attaque avec sa queue.
- Attaque avec les ailes (coûte 2 actions). Le dragon bat des ailes. Chaque créature située à 3 mètres ou moins du dragon doit réussir un jet de sauvegarde de Dextérité DD 22 ou subir 15 (2d6 + 8) dégâts contondants et être jetée à terre. Le dragon peut ensuite s'envoler de la moitié de sa vitesse de vol.</t>
  </si>
  <si>
    <t xml:space="preserve">Dragon d'or, ancien</t>
  </si>
  <si>
    <t xml:space="preserve">546 (28d20+252)</t>
  </si>
  <si>
    <t xml:space="preserve">Discrétion +9
Intuition +10
Perception +17
Persuasion +16
JS DEX+9
JS CON+16
JS SAG+10
JS CHA+16</t>
  </si>
  <si>
    <t xml:space="preserve">- Immunités aux dégâts feu
- Sens vision aveugle 18 m, vision dans le noir 36 m, Perception passive 27
- Amphibien. Le dragon peut respirer aussi bien dans l'air que sous l'eau.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</si>
  <si>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+17 au toucher, allonge 4,50 m, une cible. Touché : 21 (2d10 + 10) dégâts perforants.
- Griffes. Attaque au corps à corps avec une arme : +17 au toucher, allonge 3 m, une cible. Touché : 17 (2d6 + 10) dégâts tranchants.
- Queue. Attaque au corps à corps avec une arme : +17 au toucher, allonge 6 m, une cible. Touché : 19 (2d8 + 10) dégâts contondants.
- Présence terrifiante. Chaque créature que le dragon choisit, se trouvant à 36 mètres ou moins de lui et consciente de sa présence, doit réussir un jet de sauvegarde de Sagesse DD 24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de combat (Recharge 5-6). Le dragon utilise l'un des souffles de combat présentés ci-dessous.
  - Souffle de feu. Le dragon crache des flammes dans un cône de 27 mètres. Chaque créature présente dans la zone doit effectuer un jet de sauvegarde de Dextérité DD 24, subissant 71 (13d10) dégâts de feu en cas d'échec, ou la moitié de ces dégâts en cas de réussite.
  - Souffle affaiblissant. Le dragon exhale un gaz dans un cône de 27 mètres. Chaque créature présente dans la zone doit réussir un jet de sauvegarde de Force DD 24 ou avoir un désavantage aux jets d'attaque basés sur la Force, aux jets de Force et aux jets de sauvegarde de Force. L'effet dure 1 minute. Une créature peut retenter son jet de sauvegarde à la fin de chacun de ses tours, mettant fin à l'effet qui l'affecte en cas de réussite à ce nouveau jet de sauvegarde.
- Changement de forme. Le dragon se métamorphose magiquement en un humanoïde ou en une bête d'un FP inférieur ou égal au sien, ou bien retrouve sa forme véritable. Il retrouve également sa forme véritable lorsqu'il meurt. Tout l'équipement qu'il porte ou transporte est absorbé ou porté par sa nouvelle forme (au choix du dragon). Dans sa nouvelle forme, le dragon conserve son alignement, ses points de vie, ses dés de vie, sa capacité à parler, ses maîtrises, sa résistance légendaire, ses actions de repaire, ses valeurs de caractéristique d'Intelligence, de Sagesse et de Charisme, ainsi que cette action. Ses statistiques et ses capacités sont quant à elles remplacées par celles de sa nouvelle forme, à l'exception des compétences de classe ou des actions légendaires de cette forme.</t>
  </si>
  <si>
    <t xml:space="preserve">Dragon d'or, dragonnet</t>
  </si>
  <si>
    <t xml:space="preserve">60 (8d8+24)</t>
  </si>
  <si>
    <t xml:space="preserve">9 m, nage 9m, vol 18 m</t>
  </si>
  <si>
    <t xml:space="preserve">Discrétion+4
Perception+4
JS DEX+4
JS CON+5
JS SAG+2
JS CHA+5</t>
  </si>
  <si>
    <t xml:space="preserve">- Immunités aux dégâts feu
- Sens vision aveugle 3 m, vision dans le noir 18 m, Perception passive 14
- Amphibien. Le dragon peut respirer aussi bien dans l'air que sous l'eau.</t>
  </si>
  <si>
    <t xml:space="preserve">- Morsure. Attaque au corps à corps avec une arme : +6 au toucher, allonge 1,50 m, une cible. Touché : 9 (1d10 + 4) dégâts perforants.
- Souffle de combat (Recharge 5-6). Le dragon utilise l'un des souffles de combat présentés ci-dessous.
  - Souffle de feu. Le dragon crache des flammes dans un cône de 4,50 mètres. Chaque créature présente dans la zone doit effectuer un jet de sauvegarde de Dextérité DD 13, subissant 22 (4d10) dégâts de feu en cas d'échec, ou la moitié de ces dégâts en cas de réussite.
  - Souffle affaiblissant. Le dragon exhale un gaz dans un cône de 4,50 mètres. Chaque créature présente dans la zone doit réussir un jet de sauvegarde de Force DD 13 ou avoir un désavantage aux jets d'attaque basés sur la Force, aux jets de Force, et aux jets de sauvegarde de Force. L'effet dure 1 minute. Une créature peut retenter son jet de sauvegarde à la fin de chacun de ses tours, mettant fin à l'effet qui l'affecte en cas de réussite à ce nouveau jet de sauvegarde.</t>
  </si>
  <si>
    <t xml:space="preserve">Dragon d'or, jeune</t>
  </si>
  <si>
    <t xml:space="preserve">Discrétion+6
Intuition+5
Perception+9
Persuasion+9
JS DEX+6
JS CON+9
JS SAG+5
JS CHA+9</t>
  </si>
  <si>
    <t xml:space="preserve">- Immunités aux dégâts feu
- Sens vision aveugle 9 m, vision dans le noir 36 m, Perception passive 19
- Amphibien. Le dragon peut respirer aussi bien dans l'air que sous l'eau.</t>
  </si>
  <si>
    <t xml:space="preserve">- Attaques multiples. Le dragon effectue trois attaques : une de morsure et deux avec ses griffes.
- Morsure. Attaque au corps à corps avec une arme : +10 au toucher, allonge 3 m, une cible. Touché : 17 (2d10 + 6) dégâts perforants.
- Griffes. Attaque au corps à corps avec une arme : +10 au toucher, allonge 1,50 m, une cible. Touché : 13 (2d6 + 6) dégâts tranchants.
- Souffle de combat (Recharge 5-6). Le dragon utilise l'un des souffles de combat présentés ci-dessous.
  - Souffle de feu. Le dragon crache des flammes dans un cône de 9 mètres. Chaque créature présente dans la zone doit effectuer un jet de sauvegarde de Dextérité DD 17, subissant 55 (10d10) dégâts de feu en cas d'échec, ou la moitié de ces dégâts en cas de réussite.
  - Souffle affaiblissant. Le dragon exhale un gaz dans un cône de 9 mètres. Chaque créature présente dans la zone doit réussir un jet de sauvegarde de Force DD 17 ou avoir un désavantage aux jets d'attaque basés sur la Force, aux jets de Force et aux jets de sauvegarde de Force. L'effet dure 1 minute. Une créature peut retenter son jet de sauvegarde à la fin de chacun de ses tours, mettant fin à l'effet qui l'affecte en cas de réussite à ce nouveau jet de sauvegarde.</t>
  </si>
  <si>
    <t xml:space="preserve">Dragon féérique</t>
  </si>
  <si>
    <t xml:space="preserve">14 (4d4+4)</t>
  </si>
  <si>
    <t xml:space="preserve">Arcanes+4
Discrétion+7
Perception+3</t>
  </si>
  <si>
    <t xml:space="preserve">draconique, sylvestre</t>
  </si>
  <si>
    <t xml:space="preserve">- Sens vision dans le noir 18 m, Perception passive 13
- Invisibilité supérieure. En utilisant une action bonus, le dragon peut devenir invisible par magie jusqu'à ce que sa concentration s'arrête (comme s'il se concentrait sur un sort). Tout l'équipement que le dragon porte ou transporte est également invisible.
- Télépathie limitée. En utilisant la télépathie, le dragon peut magiquement communiquer avec d'autres dragons féeriques trouvant dans un rayon de 18 mètres autour de lui.
- Résistance à la magie. Le dragon a un avantage aux jets de sauvegarde contre les sorts et autres effets magiques.
- Incantation innée. La caractéristique d'incantation innée du dragon est le Charisme (jet de sauvegarde contre ses sorts DD 13). Il peut lancer un certain nombre de sorts de manière innée, sans avoir besoin de composantes matérielles. Au fur et à mesure que le dragon grandit et change de couleur, il gagne des sorts supplémentaires, comme indiqué ci-dessous.
  - Rouge (200 XP), 1/jour chacun : lumières dansantes, main de mage, illusion mineure
  - Orange (200 XP), 1/jour : couleurs dansantes
  - Jaune (200 XP), 1/jour : image miroir
  - Vert (450 XP), 1/jour : suggestion
  - Bleu (450 XP), 1/jour : image majeure
  - Indigo (450 XP), 1/jour : terrain hallucinatoire
  - Violet (450 XP), 1/jour : métamorphose</t>
  </si>
  <si>
    <t xml:space="preserve">- Morsure. Attaque au corps à corps avec une arme : +7 au toucher, allonge 1,50 m, une créature. Touché : 1 dégât perforant.
- Souffle d'euphorie (Recharge 5-6). Le dragon souffle une bouffée de gaz euphorisant sur une créature se trouvant à 1,50 mètre de lui. La cible doit réussir un jet de sauvegarde de Sagesse DD 11, sinon, pendant 1 minute, la cible ne peut plus utiliser de réaction et doit lancer 1d6 au début de chacun de ses tours pour déterminer comment elle va se comporter pendant ce tour :
- 1-4. La cible n'utilise aucune action ni action bonus et utilise tout son mouvement pour se déplacer dans une direction aléatoire.
- 5-6. La cible ne se déplace pas, et la seule chose qu'elle peut effectuer pendant son tour est un jet de sauvegarde de Sagesse DD 11, qui met fin à l'effet qui l'affecte en cas de réussite.</t>
  </si>
  <si>
    <t xml:space="preserve">Dragon noir, adulte</t>
  </si>
  <si>
    <t xml:space="preserve">195 (17d12+85)</t>
  </si>
  <si>
    <t xml:space="preserve">Discrétion+7
Perception+11
JS DEX+7
JS CON+10
JS SAG+6
JS CHA+8</t>
  </si>
  <si>
    <t xml:space="preserve">- Immunités aux dégâts acide
- Sens vision aveugle 18 m, vision dans le noir 36 m, Perception passive 21
- Amphibien. Le dragon peut respirer aussi bien dans l'air que sous l'eau.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</si>
  <si>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Griffes. Attaque au corps à corps avec une arme : +11 au toucher, allonge 1,50 m, une cible. Touché : 13 (2d6 + 6) dégâts tranchants.
- Morsure. Attaque au corps à corps avec une arme : +11 au toucher, allonge 3 m, une cible. Touché : 17 (2d10 + 6) dégâts perforants + 4 (1d8) dégâts d'acide.
- Queue. Attaque au corps à corps avec une arme : +11 au toucher, allonge 4,50 m, une cible. Touché : 15 (2d8 + 6) dégâts contondants.
- Présence terrifiante. Chaque créature que le dragon choisit, se trouvant à 36 mètres ou moins de lui et consciente de sa présence, doit réussir un jet de sauvegarde de Sagesse DD 16 ou être effrayée pendant 1 minute. Une créature peut retenter son jet de sauvegarde à la fin de chacun de ses tours, mettant fin à l'effet qui l'affecte si elle réussit. Si le jet de sauvegarde d'une créature est une réussite ou si l'effet prend fin pour elle, la créature est immunisée à la Présence terrifiante du dragon pour les prochaines 24 heures.
- Souffle d'acide (Recharge 5-6). Le dragon crache un jet d'acide sur une ligne de 18 mètres de long et de 1,50 mètre de large. Chaque créature sur cette ligne doit effectuer un jet de sauvegarde de Dextérité DD 18, subissant 54 (12d8) dégâts d'acide en cas d'échec, ou la moitié de ces dégâts en cas de réussite</t>
  </si>
  <si>
    <t xml:space="preserve">Dragon noir, ancien</t>
  </si>
  <si>
    <t xml:space="preserve">367 (21d20+147)</t>
  </si>
  <si>
    <t xml:space="preserve">Discrétion+9
Perception+16
JS DEX+9
JS CON+14
JS SAG+9
JS CHA+11</t>
  </si>
  <si>
    <t xml:space="preserve">- Immunités aux dégâts acide
- Sens vision aveugle 18 m, vision dans le noir 36 m, Perception passive 26
- Amphibien. Le dragon peut respirer aussi bien dans l'air que sous l'eau.
- Résistance légendaire (3/jour). Si le dragon échoue à un jet de sauvegarde, il peut décider de transformer cet échec en réussite.</t>
  </si>
  <si>
    <t xml:space="preserve">- Attaques multiples. Le dragon peut utiliser sa Présence terrifiante. Puis il effectue trois attaques : une de morsure et deux avec ses griffes.
- Morsure. Attaque au corps à corps avec une arme : +15 au toucher, allonge 4,50 m, une cible. Touché : 19 (2d10 + 8) dégâts perforants + 9 (2d8) dégâts d'acide.
- Griffes. Attaque au corps à corps avec une arme : +15 au toucher, allonge 3 m, une cible. Touché : 15 (2d6 + 8) dégâts tranchants.
- Queue. Attaque au corps à corps avec une arme : +15 au toucher, allonge 6 m, une cible. Touché : 17 (2d8 + 8) dégâts contondants.
- Présence terrifiante. Chaque créature que le dragon choisit, se trouvant à 36 mètres ou moins de lui et consciente de sa présence, doit réussir un jet de sauvegarde de Sagesse DD 19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d'acide (Recharge 5-6). Le dragon crache un jet d'acide sur une ligne de 27 mètres de long et de 3 mètres de large. Chaque créature sur cette ligne doit effectuer un jet de sauvegarde de Dextérité DD 22, subissant 67 (15d8) dégâts d'acide en cas d'échec, ou la moitié de ces dégâts en cas de réussite.</t>
  </si>
  <si>
    <t xml:space="preserve">Dragon noir, dragonnet</t>
  </si>
  <si>
    <t xml:space="preserve">Perception+4
Discrétion+4
JS DEX+4
JS CON+3
JS SAG+2
JS CHA+3</t>
  </si>
  <si>
    <t xml:space="preserve">- Sens vision aveugle 3 m, vision dans le noir 18 m, Perception passive 14
- Amphibien. Le dragon peut respirer aussi bien dans l'air que sous l'eau</t>
  </si>
  <si>
    <t xml:space="preserve">- Morsure. Attaque au corps à corps avec une arme : +4 au toucher, allonge 1,50 m, une cible. Touché : 7 (1d10 + 2) dégâts perforants + 2 (1d4) dégâts d'acide.
- Souffle d'acide (Recharge 5-6). Le dragon crache un jet d'acide sur une ligne de 4,50 mètres de long et de 1,50 mètre de large. Chaque créature sur cette ligne doit effectuer un jet de sauvegarde de Dextérité DD 11, subissant 22 (5d8) dégâts d'acide en cas d'échec, ou la moitié de ces dégâts en cas de réussite.</t>
  </si>
  <si>
    <t xml:space="preserve">Dragon noir, jeune</t>
  </si>
  <si>
    <t xml:space="preserve">127 (15d10+45)</t>
  </si>
  <si>
    <t xml:space="preserve">Discrétion+5
Percepetion+6
JS DEX+5
JS CON+6
JS SAG+3
JS CHA+5</t>
  </si>
  <si>
    <t xml:space="preserve">- Immunités aux dégâts acide
- Sens vision aveugle 9 m, vision dans le noir 36 m, Perception passive 16
- Amphibien. Le dragon peut respirer aussi bien dans l'air que sous l'eau.</t>
  </si>
  <si>
    <t xml:space="preserve">- Attaques multiples. Le dragon peut effectuer trois attaques : une de morsure et deux avec ses griffes.
- Morsure. Attaque au corps à corps avec une arme : +7 au toucher, allonge 3 m, une cible. Touché : 15 (2d10 + 4) dégâts perforants + 4 (1d8) dégâts d'acide.
- Griffes. Attaque au corps à corps avec une arme : +7 au toucher, allonge 1,50 m, une cible. Touché : 11 (2d6 + 4) dégâts tranchants.
- Souffle d'acide (Recharge 5-6). Le dragon crache un jet d'acide sur une ligne de 9 mètres de long et de 1,50 mètre de large. Chaque créature sur cette ligne doit effectuer un jet de sauvegarde de Dextérité DD 14, subissant 49 (11d8) dégâts d'acide en cas d'échec, ou la moitié de ces dégâts en cas de réussite.</t>
  </si>
  <si>
    <t xml:space="preserve">Dragon pierre de lune, adulte</t>
  </si>
  <si>
    <t xml:space="preserve">- Discrétion +
-  Perception +10
- Persuasion +11
JS INT+11
JS SAG+10
JS CHA+11</t>
  </si>
  <si>
    <t xml:space="preserve">commune, draconique, elfique, gnome, sylvestre</t>
  </si>
  <si>
    <t xml:space="preserve">- Immunités aux états charmé
- Sens vision aveugle 18 m, vision dans le noir 36 m, Perception passive 20
- Résistance légendaire (3/jour). Si le dragon échoue à un jet de sauvegarde, il peut décider de transformer cet échec en réussite.</t>
  </si>
  <si>
    <t xml:space="preserve">- Attaques multiples. Le dragon effectue trois attaques : une de morsure et deux avec ses griffes.
  - Morsure. Attaque au corps à corps avec une arme : +10 au toucher, allonge 3 m, une cible. Touché : 16 (2d10 + 5) dégâts perforants + 7 (2d6) dégâts radiants.
  - Griffes. Attaque au corps à corps avec une arme : +10 au toucher, allonge 1,50 m, une cible. Touché : 12 (2d6 + 5) dégâts tranchants.
- Queue. Attaque au corps à corps avec une arme : +10 au toucher, allonge 4,50 m, une cible. Touché : 9 (1d8 + 5) dégâts contondants. Si la cible est une créature, elle doit réussir un jet de sauvegarde de Force DD 18 ou tomber à terre.
- Souffle (Recharge 5-6). Le dragon utilise l'un des souffles suivants :
  - Souffle de rêve. Le dragon exhale de la brume dans un cône de 27 mètres. Chaque créature dans cette zone doit réussir un jet de sauvegarde de Constitution DD 18 ou tomber inconsciente pendant 10 minutes. Cet effet prend fin pour une créature si la créature subit des dégâts ou si quelqu'un utilise une action pour la réveiller.
  - Souffle de lune. Le dragon exhale un faisceau de clair de lune sur une ligne de 27 mètres de long et 3 mètres de large. Chaque créature dans cette zone doit effectuer un jet de sauvegarde de Dextérité DD 18, subissant 49 (9d10) dégâts radiants en cas d'échec, ou la moitié de ces dégâts en cas de réussite.
- Incantation. Le dragon lance l'un des sorts suivants sans nécessiter aucune composante de sort et en utilisant le Charisme comme caractéristique d'incantation (jet de sauvegarde contre ses sorts DD 19) :
  - À volonté : lueurs féeriques
  - 1/jour chacun : apaisement des émotions, invisibilité, retour à la vie</t>
  </si>
  <si>
    <t xml:space="preserve">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Queue. Le dragon effectue une attaque avec sa queue.
- Lancer un sort (coûte 2 actions). Le dragon utilise Incantation.</t>
  </si>
  <si>
    <t xml:space="preserve">Dragon rouge, adulte</t>
  </si>
  <si>
    <t xml:space="preserve">Discrétion+6
Perception+13
JS DEX+6
JS CON+13
JS SAG+7
JS CHA+11</t>
  </si>
  <si>
    <t xml:space="preserve">- Immunités aux dégâts feu
- Sens vision aveugle 18 m, vision dans le noir 36 m, Perception passive 23
- Résistance légendaire (3/jour). Si le dragon échoue à un jet de sauvegarde, il peut décider de transformer cet échec en réussite.</t>
  </si>
  <si>
    <t xml:space="preserve">- Attaques multiples. Le dragon peut utiliser sa Présence effrayante. Il effectue ensuite trois attaques : une de morsure et deux avec ses griffes.
- Griffes. Attaque au corps à corps avec une arme : +14 au toucher, allonge 1,50 m, une cible. Touché : 15 (2d6 + 8) dégâts tranchants.
- Morsure. Attaque au corps à corps avec une arme : +14 au toucher, allonge 3 m, une cible. Touché : 19 (2d10 + 8) dégâts perforants + 7 (2d6) de feu.
- Queue. Attaque au corps à corps avec une arme : +14 au toucher, allonge 4,50 m, une cible. Touché : 17 (2d8 + 8) dégâts contondants.
- Présence effrayante. Chaque créature choisit par le dragon, située à 36 mètres ou moins de lui et consciente de sa présence, doit réussir un jet de sauvegarde de Sagesse DD 19 ou être effrayée pendant 1 minute. Une créature peut retenter le jet de sauvegarde à la fin de chacun de ses tours, mettant fin l'effet qu'elle subit. Si le jet de sauvegarde d'une créature est réussi ou que l'effet qu'elle subit se termine, celle-ci devient immunisée à la Présence effrayante du dragon pendant les prochaines 24 heures.
- Souffle de feu (Recharge 5-6). Le dragon exhale des flammes dans un cône de 18 mètres. Toutes les créatures dans la zone doivent effectuer un jet de sauvegarde de Dextérité DD 21, subissant 63 (18d6) dégâts de feu en cas d'échec, ou la moitié de ces dégâts en cas de réussite.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</si>
  <si>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Attaque avec la queue. Le dragon effectue une attaque avec sa queue.
- Détection. Le dragon effectue un jet de Sagesse (Perception).
- Attaque Ailée (coûte 2 actions). Le dragon bat des ailes. Chaque créature située à 3 mètres ou moins de lui doit réussir un jet de sauvegarde de Dextérité DD 22 ou subir 15 (2d6 + 8) dégâts contondants et tomber à terre. Le dragon peut ensuite s'envoler et parcourir jusqu'à la moitié de son déplacement en vol.</t>
  </si>
  <si>
    <t xml:space="preserve">Dragon rouge, ancien</t>
  </si>
  <si>
    <t xml:space="preserve">546 (28d2°+252)</t>
  </si>
  <si>
    <t xml:space="preserve">Discrétion+7
Perception+16
JS DEX+7
JS CON+16
JS SAG+9
JS CHA+13</t>
  </si>
  <si>
    <t xml:space="preserve">- Immunités aux dégâts feu
- Sens vision aveugle 18 m, vision dans le noir 36 m, Perception passive 26
- Résistance légendaire (3/jour). Si le dragon échoue à un jet de sauvegarde, il peut décider de transformer cet échec en réussite.</t>
  </si>
  <si>
    <t xml:space="preserve">- Attaques multiples. Le dragon peut utiliser sa Présence effrayante. Il effectue ensuite trois attaques : une de morsure et deux avec ses griffes.
- Griffes. Attaque au corps à corps avec une arme : +17 au toucher, allonge 3 m, une cible. Touché : 17 (2d6 + 10) dégâts tranchants.
- Morsure. Attaque au corps à corps avec une arme : +17 au toucher, allonge 4,50 m, une cible. Touché : 21 (2d10 + 10) dégâts perforants + 14 (4d6) dégâts de feu.
- Queue. Attaque au corps à corps avec une arme : +17 au toucher, allonge 6 m, une cible. Touché : 19 (2d8 + 10) dégâts contondants.
- Présence effrayante. Chaque créature choisit par le dragon, dans un rayon de 36 mètres autour de lui et consciente de sa présence, doit réussir un jet de sauvegarde de Sagesse DD 21 ou être effrayée pendant 1 minute. Une créature peut retenter le jet de sauvegarde à la fin de chacun de ses tours, mettant fin à l'effet qui l'affecte en cas de réussite. Si le jet de sauvegarde d'une créature est réussi ou que l'effet qu'elle subit se termine, celle-ci devient immunisée à la Présence effrayante du dragon pendant les prochaines 24 heures.
- Souffle de feu (Recharge 5-6). Le dragon exhale des flammes dans un cône de 27 mètres. Toutes les créatures dans la zone doivent effectuer un jet de sauvegarde de Dextérité DD 24, subissant 91 (26d6) dégâts de feu en cas d'échec, ou la moitié de ces dégâts en cas de réussite.</t>
  </si>
  <si>
    <t xml:space="preserve">- Le dragon peut effectuer 3 actions légendaires, en choisissant parmi les options suivantes. Une seule action légendaire peut être utilisée à la fois, et seulement à la fin du tour d'une autre créature. Le dragon récupère les actions légendaires dépensées au début de son tour.
- Attaque avec la queue. Le dragon effectue une attaque avec sa queue.
- Détection. Le dragon effectue un jet de Sagesse (Perception).
- Attaque avec les ailes (coûte 2 actions). Le dragon bat des ailes. Chaque créature située dans un rayon de 4,50 mètres autour de lui doit réussir un jet de sauvegarde de Dextérité DD 25 ou subir 17 (2d6 + 10) dégâts contondants et être jetée à terre. Le dragon peut ensuite s'envoler et parcourir jusqu'à la moitié de son déplacement en vol.</t>
  </si>
  <si>
    <t xml:space="preserve">Dragon rouge, dragonnet</t>
  </si>
  <si>
    <t xml:space="preserve">- Immunités aux dégâts feu
- Sens vision aveugle 3 m, vision dans le noir 18 m, Perception passive 14</t>
  </si>
  <si>
    <t xml:space="preserve">- Morsure. Attaque au corps à corps avec une arme : +6 au toucher, allonge 1,50 m, une cible. Touché : 9 (1d10 + 4) dégâts perforants + 3 (1d6) dégâts de feu.
- Souffle de feu (Recharge 5-6). Le dragon exhale des flammes dans un cône de 4,50 mètres. Toutes les créatures dans la zone doivent effectuer un jet de sauvegarde de Dextérité DD 13, subissant 24 (7d6) dégâts de feu en cas d'échec, ou la moitié de ces dégâts en cas de réussite.</t>
  </si>
  <si>
    <t xml:space="preserve">Dragon rouge, jeune</t>
  </si>
  <si>
    <t xml:space="preserve">Discrétion+4
Perception+4
JS DEX+4
JS CON+9
JS SAG+4
JS CHA+8</t>
  </si>
  <si>
    <t xml:space="preserve">- Immunités aux dégâts feu
- Sens vision aveugle 3 m, vision dans le noir 18 m, Perception passive 18</t>
  </si>
  <si>
    <t xml:space="preserve">- Attaques multiples. Le dragon effectue trois attaques : une de morsure et deux avec ses griffes.
- Griffes. Attaque au corps à corps avec une arme : +10 au toucher, allonge 1,50 m, une cible. Touché : 13 (2d6 + 6) dégâts tranchants.
- Morsure. Attaque au corps à corps avec une arme : +10 au toucher, allonge 3 m, une cible. Touché : 17 (2d10 + 6) dégâts perforants + 3 (1d6) dégâts de feu.
- Souffle de feu (Recharge 5-6). Le dragon exhale des flammes dans un cône de 9 mètres. Toutes les créatures dans la zone doivent effectuer un jet de sauvegarde de Dextérité DD 17, subissant 56 (16d6) dégâts de feu en cas d'échec, ou la moitié de ces dégâts en cas de réussite.</t>
  </si>
  <si>
    <t xml:space="preserve">Dragon vert, adulte</t>
  </si>
  <si>
    <t xml:space="preserve">Discrétion +6
Intuition +7
Perception +12
Persuasion +8
Tromperie +8
JS DEX+6
JS CON+10
JS SAG+7
JS CHA+8</t>
  </si>
  <si>
    <t xml:space="preserve">- Immunités aux dégâts poison
- Immunités aux états empoisonné
- Sens vision aveugle 18 m, vision dans le noir 36 m, Perception passive 22
- Amphibien. Le dragon peut respirer aussi bien dans l'air que sous l'eau.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</si>
  <si>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+11 au toucher, allonge 3 m, une cible. Touché : 17 (2d10 + 6) dégâts perforants + 7 (2d6) dégâts de poison.
- Griffes. Attaque au corps à corps avec une arme : +11 au toucher, allonge 1,50 m, une cible. Touché : 13 (2d6 + 6) dégâts tranchants.
- Queue. Attaque au corps à corps avec une arme : +11 au toucher, allonge 4,50 m, une cible. Touché : 15 (2d8 + 6) dégâts contondants.
- Présence terrifiante. Chaque créature que le dragon choisit, se trouvant à 36 mètres ou moins du dragon et consciente de sa présence, doit réussir un jet de sauvegarde de Sagesse DD 16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empoisonné (Recharge 5-6). Le dragon exhale un nuage de gaz empoisonné dans un cône de 18 mètres. Chaque créature dans la zone doit effectuer un jet de sauvegarde de Constitution DD 18, subissant 56 (16d6) dégâts de poison en cas d'échec, ou la moitié de ces dégâts en cas de réussite.</t>
  </si>
  <si>
    <t xml:space="preserve">Dragon vert, ancien</t>
  </si>
  <si>
    <t xml:space="preserve">385 (22d20+154)</t>
  </si>
  <si>
    <t xml:space="preserve">Discrétion +8
Intuition +10
Perception +17
Persuasion +11
Tromperie +11
JS DEX+8
JS CON+14
JS SAG+10
JS CHA+11</t>
  </si>
  <si>
    <t xml:space="preserve">- Immunités aux dégâts poison
- Immunités aux états empoisonné
- Sens vision aveugle 18 m, vision dans le noir 36 m, Perception passive 27
- Amphibien. Le dragon peut respirer aussi bien dans l'air que sous l'eau.
- Résistance légendaire (3/jour). Si le dragon échoue à un jet de sauvegarde, il peut décider de transformer cet échec en réussite.</t>
  </si>
  <si>
    <t xml:space="preserve">- Attaques multiples. Le dragon peut utiliser sa Présence terrifiante. Il effectue ensuite trois attaques : une de morsure et deux avec ses griffes.
- Morsure. Attaque au corps à corps avec une arme : +15 au toucher, allonge 4,50 m, une cible. Touché : 19 (2d10 + 8) dégâts perforants + 10 (3d6) dégâts de poison.
- Griffes. Attaque au corps à corps avec une arme : +15 au toucher, allonge 3 m, une cible. Touché : 22 (4d6 + 8) dégâts tranchants.
- Queue. Attaque au corps à corps avec une arme : +15 au toucher, allonge 6 m, une cible. Touché : 17 (2d8 + 8) dégâts contondants.
- Présence terrifiante. Chaque créature que le dragon choisit, se trouvant à 36 mètres ou moins du dragon et consciente de sa présence, doit réussir un jet de sauvegarde de Sagesse DD 19 ou être effrayée pendant 1 minute. Une créature peut retenter son jet de sauvegarde à la fin de chacun de ses tours, mettant fin à l'effet qui l'affecte en cas de réussite. Si le jet de sauvegarde d'une créature est une réussite ou si l'effet prend fin pour elle, la créature est immunisée à la Présence terrifiante du dragon pour les prochaines 24 heures.
- Souffle empoisonné (Recharge 5-6). Le dragon exhale un nuage de gaz empoisonné dans un cône de 27 mètres. Chaque créature dans la zone doit effectuer un jet de sauvegarde de Constitution DD 22, subissant 77 (22d6) dégâts de poison en cas d'échec, ou la moitié de ces dégâts en cas de réussite</t>
  </si>
  <si>
    <t xml:space="preserve">Dragon vert, dragonnet</t>
  </si>
  <si>
    <t xml:space="preserve">38 (7d8+7)</t>
  </si>
  <si>
    <t xml:space="preserve">- Immunités aux dégâts poison
- Immunités aux états empoisonné
- Sens vision aveugle 3 m, vision dans le noir 18 m, Perception passive 14
- Amphibien. Le dragon peut respirer aussi bien dans l'air que sous l'eau.</t>
  </si>
  <si>
    <t xml:space="preserve">- Morsure. Attaque au corps à corps avec une arme : +4 au toucher, allonge 1,50 m, une cible. Touché : 7 (1d10 + 2) dégâts perforants + 3 (1d6) dégâts de poison.
- Souffle empoisonné (Recharge 5-6). Le dragon exhale un nuage de gaz empoisonné dans un cône de 4,50 mètres. Chaque créature dans la zone doit effectuer un jet de sauvegarde de Constitution DD 11, subissant 21 (6d6) dégâts de poison en cas d'échec, ou la moitié de ces dégâts en cas de réussite.</t>
  </si>
  <si>
    <t xml:space="preserve">Dragon Vert, jeune</t>
  </si>
  <si>
    <t xml:space="preserve">136 (16d10+48)</t>
  </si>
  <si>
    <t xml:space="preserve">12 m, nage 12 m, vol 18 m</t>
  </si>
  <si>
    <t xml:space="preserve">Discrétion +4
Perception +7
Tromperie +5
JS DEX+4
JS CON +6
JS SAG+4
JS CHA+5</t>
  </si>
  <si>
    <t xml:space="preserve">- Immunité contre les dégâts de poison
- Immunité contre l’état empoisonné
- Sens vision aveugle 9 m, vision dans le noir 36 m, Perception passive 17
- Amphibie. Le dragon peut respirer à l’air libre et sous l’eau.</t>
  </si>
  <si>
    <t xml:space="preserve">- Attaques multiples. Le dragon effectue trois attaques : une avec sa morsure et deux avec ses griffes.
- Griffe. Attaque d’arme au corps à corps : +7 pour toucher, allonge 1,50 m, une cible. Touché : 11 (2d6+4) dégâts tranchants.
- Morsure. Attaque d’arme au corps à corps : +7 pour toucher, allonge 3 m, une cible. Touché : 15 (2d10+4) dégâts perforants
plus 7 (2d6) dégâts de poison.
- Souffle empoisonné (Recharge 5–6). Le dragon souffle du gaz empoisonné sur un cône de 9 mètres. Les créatures dans ce cône doivent chacune effectuer un jet de sauvegarde de Constitution DD 16 ; elles subissent 42 (12d6) dégâts de poison en cas d’échec ou la moitié de ces dégâts seulement en cas de réussite.</t>
  </si>
  <si>
    <t xml:space="preserve">Dragon-tortue</t>
  </si>
  <si>
    <t xml:space="preserve">341 (22d20+110)</t>
  </si>
  <si>
    <t xml:space="preserve">JS DEX+6
JS CON+11
JS SAG+7</t>
  </si>
  <si>
    <t xml:space="preserve">aquatique, draconique</t>
  </si>
  <si>
    <t xml:space="preserve">- Résistances aux dégâts feu
- Sens vision dans le noir 36 m, Perception passive 11
- Amphibien. Le dragon-tortue peut respirer aussi bien dans l'air que sous l'eau.</t>
  </si>
  <si>
    <t xml:space="preserve">- Attaques multiples. Le dragon-tortue effectue trois attaques : une de morsure et deux avec ses griffes. Il peut effectuer une attaque avec sa queue à la place de ses deux attaques avec ses griffes.
- Griffes. Attaque au corps à corps avec une arme : +13 au toucher, allonge 3 m, une cible. Touché : 16 (2d8 + 7) dégâts tranchants.
- Morsure. Attaque au corps à corps avec une arme : +13 au toucher, allonge 4,50 m, une cible. Touché : 26 (3d12 + 7) dégâts perforants.
- Queue. Attaque au corps à corps avec une arme : +13 au toucher, allonge 4,50 m, une cible. Touché : 26 (3d12 + 7) dégâts contondants. Si la cible est une créature, elle doit réussir un jet de sauvegarde de Force DD 20 ou être repoussée de 3 mètres du dragon-tortue et jetée à terre.
- Souffle de vapeur (Recharge 5-6). Le dragon-tortue crache un souffle de la vapeur brûlante dans un cône de 18 mètres. Chaque créature présente dans cette zone doit effectuer un jet de sauvegarde de Constitution DD 18, subissant 52 (15d6) dégâts de feu en cas d'échec, ou la moitié de ces dégâts en cas de réussite. Être sous l'eau ne confère aucune résistance contre ces dégâts.</t>
  </si>
  <si>
    <t xml:space="preserve">Drake gardien</t>
  </si>
  <si>
    <t xml:space="preserve">52 (7d8+21)</t>
  </si>
  <si>
    <t xml:space="preserve">Perception+2</t>
  </si>
  <si>
    <t xml:space="preserve">- Sens vision dans le noir 18 m, Perception passive 12</t>
  </si>
  <si>
    <t xml:space="preserve">- Attaques multiples. Le drake gardien effectue deux attaques : une de morsure et une avec sa queue.
- Morsure. Attaque au corps à corps avec une arme : +5 au toucher, allonge 1,50 m, une cible. Touché : 7 (1d8 + 3) dégâts perforants.
- Queue. Attaque au corps à corps avec une arme : +5 au toucher, allonge 1,50 m, une cible. Touché : 6 (1d6 + 3) dégâts contondants.</t>
  </si>
  <si>
    <t xml:space="preserve">Dretch</t>
  </si>
  <si>
    <t xml:space="preserve">abyssal, télépathie 18 m (uniquement avec les créatures comprenant l'abyssal)</t>
  </si>
  <si>
    <t xml:space="preserve">- Résistances aux dégâts froid, feu, foudre
- Immunités aux dégâts poison
- Immunités aux états empoisonné
- Sens vision dans le noir 18 m, Perception passive 9</t>
  </si>
  <si>
    <t xml:space="preserve">- Attaques multiples. Le dretch effectue deux attaques : une de morsure et une avec ses griffes.
- Griffes. Attaque au corps à corps avec une arme : +2 au toucher, allonge 1,50 m, une cible. Touché : 5 (2d4) dégâts tranchants.
- Morsure. Attaque au corps à corps avec une arme : +2 au toucher, allonge 1,50 m, une cible. Touché : 3 (1d6) dégâts perforants.
- Nuage fétide (1/jour). Un immonde gaz verdâtre s'échappe du dretch dans un rayon de 3 mètres. Le gaz contourne les angles, et la zone est légèrement obscurcie. Il reste présent pendant une minute ou jusqu'à ce qu'un vent fort le disperse. Toute créature qui débute son tour dans cette zone doit réussir un jet de sauvegarde de Constitution DD 11 ou être empoisonnée jusqu'au début de son prochain tour. Tant qu'elle est empoisonnée de la sorte, la cible ne peut utiliser lors de son tour qu'une action ou qu'une action bonus, mais pas les deux, et elle ne peut pas utiliser de réaction.</t>
  </si>
  <si>
    <t xml:space="preserve">Drider</t>
  </si>
  <si>
    <t xml:space="preserve">Discrétion+9
Perception+5</t>
  </si>
  <si>
    <t xml:space="preserve">elfique, commun des profondeurs</t>
  </si>
  <si>
    <t xml:space="preserve">- Sens vision dans le noir 36 m, Perception passive 15
- Ascendance féerique. Le drider a un avantage aux jets de sauvegarde contre les effets de charme, et la magie ne peut pas l'endormir.
- Incantation innée. La caractéristique d'incantation innée du drider est la Sagesse (jet de sauvegarde contre ses sorts DD 13). Le drider peut lancer les sorts suivants de manière innée, sans avoir besoin de composantes matérielles :
  - À volonté : lumières dansantes
  - 1/jour chacun : ténèbres, lueurs féeriques
- Pattes d'araignée. Le drider peut escalader des surfaces difficiles et être au plafond la tête en bas sans avoir besoin d'effectuer un jet de caractéristique.
- Sensibilité au soleil. S'il est exposé à la lumière du soleil, le drider a un désavantage aux jets d'attaque et aux jets de Sagesse (Perception) basés sur la vue.
- Déplacement sur la toile. Le drider ignore les restrictions de mouvement causées par une toile d'araignée.</t>
  </si>
  <si>
    <t xml:space="preserve">- Attaques multiples. Le drider effectue trois attaques, soit avec son épée longue, soit avec son arc long. Il peut remplacer l'une de ses attaques par une attaque de morsure.
- Morsure. Attaque au corps à corps avec une arme : +6 au toucher, allonge 1,50 m, une créature. Touché : 2 (1d4) dégâts perforants + 9 (2d8) dégâts de poison.
- Épée longue. Attaque au corps à corps avec une arme : +6 au toucher, allonge 1,50 m, une cible. Touché : 7 (1d8 + 3) dégâts tranchants, ou 8 (1d10 + 3) dégâts tranchants si utilisée à deux mains.
- Arc long. Attaque à distance avec une arme : +6 au toucher, portée 45/180 m, une cible. Touché : 7 (1d8 + 3) dégâts perforants + 4 (1d8) dégâts de poison.</t>
  </si>
  <si>
    <t xml:space="preserve">Drow</t>
  </si>
  <si>
    <t xml:space="preserve">Humanoïde (elfe)</t>
  </si>
  <si>
    <t xml:space="preserve">- Sens vision dans le noir 36 m, Perception passive 12
- Ascendance féerique. Le drow a un avantage aux jets de sauvegarde contre les effets de charme, et la magie ne peut pas l'endormir.
- Incantation innée. La caractéristique d'incantation innée du drow est le Charisme (jet de sauvegarde contre ses sorts DD 11). Il peut lancer les sorts suivants de manière innée, sans avoir besoin de composantes matérielles :
  - À volonté : lumières dansantes
  - 1/jour chacun : ténèbres, lueurs féeriques
- Sensibilité au soleil. S'il est exposé à la lumière du soleil, le drow a un désavantage aux jets d'attaque et aux jets de Sagesse (Perception) basés sur la vue.</t>
  </si>
  <si>
    <t xml:space="preserve">- Épée courte. Attaque au corps à corps avec une arme : +4 au toucher, allonge 1,50 m, une cible. Touché : 5 (1d6 + 2) dégâts perforants.
- Arbalète de poing. Attaque à distance avec une arme : +4 au toucher, portée 9/36 m, une cible. Touché : 5 (1d6 + 2) dégâts perforants, et la cible doit réussir un jet de sauvegarde de Constitution DD 13 ou être empoisonnée pendant 1 heure. Si le jet de sauvegarde échoue de 5 ou plus, la cible est également inconsciente tant qu'elle est empoisonnée de la sorte. La cible se réveille si elle subit des dégâts ou si une autre créature utilise son action pour la secouer.</t>
  </si>
  <si>
    <t xml:space="preserve">Drow, capitaine de maison </t>
  </si>
  <si>
    <t xml:space="preserve">162 (25d8+50)</t>
  </si>
  <si>
    <t xml:space="preserve">Perception +6
Discrétion+8
JS DEX+8
JS SAG+6
JS CON+6</t>
  </si>
  <si>
    <t xml:space="preserve">- Sens vision dans le noir 36 m, Perception passive 16
- Ordre de bataille. En utilisant une action bonus, le drow cible un allié qu'il peut voir dans un rayon de 9 mètres autour de lui. Si la cible peut voir ou entendre le drow, elle peut utiliser sa réaction pour effectuer une attaque au corps à corps ou pour utiliser les actions Esquiver ou Se cacher.
- Ascendance féerique. Le drow a un avantage aux jets de sauvegarde contre les effets de charme, de plus il est immunisé au sommeil magique.
- Incantation innée. La caractéristique d'incantation innée du drow est le Charisme (jet de sauvegarde contre ses sorts DD 12). Il peut lancer les sorts suivants de manière innée, sans avoir besoin de composantes matérielles :
  - À volonté : lumières dansantes
  - 1/jour chacun : ténèbres, lueurs féeriques, lévitation (personnel uniquement)
- Sensibilité au soleil. S'il est exposé à la lumière du soleil, le drow a un désavantage aux jets d'attaque et aux jets de Sagesse (Perception) basés sur la vue.u</t>
  </si>
  <si>
    <t xml:space="preserve">- Attaques multiples. Le drow effectue trois attaques : deux avec son cimeterre et une avec son fouet ou son arbalète de poing.
- Cimeterre. Attaque au corps à corps avec une arme : +8 au toucher, allonge 1,50 m, une cible. Touché : 7 (1d6 + 4) dégâts tranchants + 14 (4d6) dégâts de poison.
- Fouet. Attaque au corps à corps avec une arme : +8 au toucher, allonge 3 m, une cible. Touché : 6 (1d4 + 4) dégâts tranchants. Si la cible est un allié, elle a un avantage aux jets d'attaque jusqu'à la fin de son prochain tour.
- Arbalète de poing. Attaque à distance avec une arme : +8 au toucher, portée 9/36 m, une cible. Touché : 7 (1d6 + 4) dégâts perforants, et la cible doit réussir un jet de sauvegarde de Constitution DD 13 ou être empoisonnée pendant 1 heure. Si le jet de sauvegarde échoue de 5 ou plus, la cible est également inconsciente tant qu'elle est empoisonnée de la sorte. La cible reprend conscience si elle subit des dégâts ou si une autre créature utilise une action pour la secouer.</t>
  </si>
  <si>
    <t xml:space="preserve">- Parade. Le drow ajoute 3 à sa CA contre une attaque au corps à corps qui le toucherait. Pour ce faire, il doit voir l'attaquant et avoir en main une arme de corps à corps.</t>
  </si>
  <si>
    <t xml:space="preserve">Drow, guerrier d'élite</t>
  </si>
  <si>
    <t xml:space="preserve">71 (11d8+22</t>
  </si>
  <si>
    <t xml:space="preserve">Discrétion+10
Perception+4
JS DEX+7
JS CON+5
JS SAG+4</t>
  </si>
  <si>
    <t xml:space="preserve">- Sens vision dans le noir 36 m, Perception passive 14
- Ascendance féerique. Le drow a un avantage aux jets de sauvegarde contre les effets de charme, de plus il est immunisé contre le sommeil magique.
- Incantation innée. La caractéristique d'incantation innée du drow est le Charisme (jet de sauvegarde contre ses sorts DD 12). Il peut lancer les sorts suivants de manière innée, sans avoir besoin de composantes matérielles :
  - À volonté : lumières dansantes
  - 1/jour chacun : ténèbres, lueurs féeriques, lévitation (personnel uniquement)
- Sensibilité au soleil. S'il est exposé à la lumière du soleil, le drow a un désavantage aux jets d'attaque et aux jets de Sagesse (Perception) basés sur la vue.s</t>
  </si>
  <si>
    <t xml:space="preserve">- Attaques multiples. Le drow effectue deux attaques d'épée courte.
- Épée courte. Attaque au corps à corps avec une arme : +7 au toucher, allonge 1,50 m, une cible. Touché : 7 (1d6 + 4) dégâts perforants + 10 (3d6) dégâts de poison.
- Arbalète de poing. Attaque à distance avec une arme : +7 au toucher, portée 9/36 m, une cible. Touché : 7 (1d6 + 4) dégâts perforants, et la cible doit réussir un jet de sauvegarde de Constitution DD 13 ou être empoisonnée pendant 1 heure. Si le jet de sauvegarde échoue de 5 ou plus, la cible est également inconsciente tant qu'elle est empoisonnée de la sorte. La cible se réveille si elle subit des dégâts ou si une autre créature utilise son action pour la secouer.</t>
  </si>
  <si>
    <t xml:space="preserve">- Parade. Le drow ajoute 3 à sa CA contre une attaque au corps à corps qui le toucherait. Pour cela, il doit voir l'attaquant et avoir en main une arme de corps à corps.</t>
  </si>
  <si>
    <t xml:space="preserve">Drow, inquisitrice</t>
  </si>
  <si>
    <t xml:space="preserve">- Discrétion +7
- Intuition +10
- Perception +10
- Religion +8
- JS CON +7
- JS SAG+10
- JS CHA+10</t>
  </si>
  <si>
    <t xml:space="preserve">- Immunités aux états effrayé
- Sens vision dans le noir 36 m, Perception passive 20
- Mensonge décelé. Le drow sait si une créature ment lorsqu'elle parle dans une langue que le drow connait.
- Ascendance féerique. Le drow a un avantage aux jets de sauvegarde contre les effets de charme, de plus il est immunisé au sommeil magique.
- Incantation innée. La caractéristique d'incantation innée du drow est le Charisme (jet de sauvegarde contre ses sorts DD 18). Il peut lancer les sorts suivants de manière innée, sans avoir besoin de composantes matérielles :
  - À volonté : lumières dansantes, détection de la magie
  - 1/jour chacun : clairvoyance, ténèbres, détection des pensées, dissipation de la magie, lueurs féeriques, lévitation (personnel uniquement), suggestion
- Résistance à la magie. Le drow a un avantage aux jets de sauvegarde contre les sorts et autres effets magiques.
- Incantation. Le drow est un lanceur de sorts de niveau 12. Sa caractéristique d'incantation est la Sagesse (jet de sauvegarde contre ses sorts DD 18, +10 au toucher pour les attaques avec un sort). Il a préparé les sorts de clerc suivants :
  - Sorts mineurs (à volonté) : assistance, message, bouffée de poison, résistance, thaumaturgie
  - Niveau 1 (4 emplacements) : soins, blessure, fléau
  - Niveau 2 (3 emplacements) : cécité/surdité, silence, arme spirituelle
  - Niveau 3 (3 emplacements) : malédiction, dissipation de la magie, cercle magique
  - Niveau 4 (3 emplacements) : bannissement, divination, liberté de mouvement
  - Niveau 5 (2 emplacements) : contagion, dissipation du mal et du bien, fléau d'insectes
  - Niveau 6 (1 emplacement) : vision suprême, contamination
- Sensibilité au soleil. S'il est exposé à la lumière du soleil, le drow a un désavantage aux jets d'attaque et aux jets de Sagesse (Perception) basés sur la vue.</t>
  </si>
  <si>
    <t xml:space="preserve">Attaques multiples. Le drow effectue trois attaques de lance mortelle.
- Lance d'arçon mortelle. Attaque au corps à corps avec une arme : +10 au toucher, allonge 1,50 m, une cible. Touché : 8 (1d6 + 5) dégâts perforants + 18 (4d8) dégâts nécrotiques. Le maximum de points de vie de la cible est réduit d'un montant égal aux dégâts nécrotiques subis. Cette réduction perdure jusqu'à ce que la cible finisse un repos long. La cible meurt si son maximum de points de vie tombe à 0.
VARIANTE : INVOCATION DE YOCHLOL
Certaines inquisitrices drows ont une action qui leur permet d'invoquer un démon.
- Invocation de démon (1/jour). Le drow tente d'invoquer par magie un yochlol, avec 50 % de chance de réussir. Si la tentative échoue, le drow subit 5 (1d10) dégâts psychiques. Sinon, le démon invoqué apparaît dans un espace inoccupé situé dans un rayon de 18 mètres autour de son invocateur, il est allié à son invocateur, et ne peut pas à son tour invoquer d'autres démons. Il reste pendant 10 minutes, jusqu'à ce que lui ou son invocateur meure, ou jusqu'à ce que son invocateur le renvoie en utilisant une action.</t>
  </si>
  <si>
    <t xml:space="preserve">Drow, mage</t>
  </si>
  <si>
    <t xml:space="preserve">45 (10d8)</t>
  </si>
  <si>
    <t xml:space="preserve">Arcanes+6
Discrétion+5
Perception+4
Tromperie+5</t>
  </si>
  <si>
    <t xml:space="preserve">- Sens vision dans le noir 36 m, Perception passive 14
- Ascendance féerique. Le drow a un avantage aux jets de sauvegarde contre les effets de charme, et la magie ne peut pas l'endormir.
- Incantation innée. La caractéristique d'incantation innée du drow est le Charisme (jet de sauvegarde contre ses sorts DD 12). Il peut lancer les sorts suivants de manière innée, sans avoir besoin de composantes matérielles :
  - À volonté : lumières dansantes
  - 1/jour chacun : ténèbres, lueurs féeriques, lévitation (personnel uniquement)
- Incantation. Le drow est un lanceur de sorts de niveau 10. Sa caractéristique d'incantation est l'Intelligence (jet de sauvegarde contre ses sorts DD 14, +6 au toucher pour les attaques avec un sort). Le drow a préparé les sorts de magicien suivants :
  - Sorts mineurs (à volonté) : main de mage, illusion mineure, bouffée de poison, rayon de givre
  - Niveau 1 (4 emplacements) : armure de mage, projectile magique, bouclier, trait ensorcelé
  - Niveau 2 (3 emplacements) : modification d'apparence, foulée brumeuse, toile d'araignée
  - Niveau 3 (3 emplacements) : vol, éclair
  - Niveau 4 (3 emplacements) : tentacules noirs d'Evard, invisibilité supérieure
  - Niveau 5 (2 emplacements) : brume mortelle
- Sensibilité au soleil. S'il est exposé à la lumière du soleil, le drow a un désavantage aux jets d'attaque et aux jets de Sagesse (Perception) basés sur la vue.</t>
  </si>
  <si>
    <t xml:space="preserve">- Bâton. Attaque au corps à corps avec une arme : +2 au toucher, allonge 1,50 m, une cible. Touché : 2 (1d6 - 1) dégâts contondants, ou 3 (1d8 - 1) dégâts contondants si utilisé à deux mains, plus 3 (1d6) dégâts de poison.
- Invocation de démon (1/jour). Le drow peut magiquement invoquer un quasit, ou tenter d'invoquer un démon d'ombre avec 50 % de chance de réussite. Le démon invoqué apparaît dans un espace inoccupé dans un rayon de 18 mètres autour de son invocateur, il agit comme un allié de l'invocateur, et ne peut pas invoquer à son tour des démons. Le démon reste présent 10 minutes, jusqu'à ce que lui ou son invocateur meure, ou jusqu'à ce que l'invocateur le renvoie en utilisant une action.</t>
  </si>
  <si>
    <t xml:space="preserve">Drow, prêtresse de Lolth</t>
  </si>
  <si>
    <t xml:space="preserve">71 (13d8+13)</t>
  </si>
  <si>
    <t xml:space="preserve">Discrétion+5
Intuition+6
Perception+6
Religion+4
JS CON+4
JS SAG+6
JS CHA+7</t>
  </si>
  <si>
    <t xml:space="preserve">- Ascendance féerique. Le drow a un avantage aux jets de sauvegarde contre les effets de charme, de plus il est immunisé contre le sommeil magique.
- Incantation innée. La caractéristique d'incantation innée du drow est le Charisme (jet de sauvegarde contre ses sorts DD 15). Il peut lancer les sorts suivants de manière innée, sans avoir besoin de composantes matérielles :
  - À volonté : lumières dansantes
  - 1/jour chacun : ténèbres, lueurs féeriques, lévitation (personnel uniquement)
- Incantation. Le drow est un lanceur de sorts de niveau 10. Sa caractéristique d'incantation est la Sagesse (jet de sauvegarde contre ses sorts DD 14, +6 au toucher pour les attaques avec un sort). Le drow a préparé les sorts de clerc suivants :
  - Sorts mineurs (à volonté) : assistance, thaumaturgie, bouffée de poison, stabilisation, résistance
  - Niveau 1 (4 emplacements) : amitié avec les animaux, soins, détection du poison et des maladies, rayon empoisonné
  - Niveau 2 (3 emplacements) : restauration partielle, protection contre le poison, toile d'araignée
  - Niveau 3 (3 emplacements) : invocation d'animaux (2 araignées géantes), dissipation de la magie
  - Niveau 4 (3 emplacements) : divination, liberté de mouvement
  - Niveau 5 (2 emplacements) : fléau d'insectes, soins de groupe
- Sensibilité au soleil. S'il est exposé à la lumière du soleil, le drow a un désavantage aux jets d'attaque et aux jets de Sagesse (Perception) basés sur la vue.</t>
  </si>
  <si>
    <t xml:space="preserve">- Attaques multiples. Le drow effectue deux attaques avec le fouet barbelé.
- Fouet barbelé. Attaque au corps à corps avec une arme : +5 au toucher, allonge 1,50 m, une cible. Touché : 5 (1d6 + 2) dégâts perforants + 17 (5d6) dégâts de poison.
- Invocation de démon (1/jour). Le drow peut magiquement invoquer un yochlol avec 30 % de chance de réussite. Si la tentative échoue, le drow subit 5 (1d10) dégâts psychiques. Sinon, le démon invoqué apparaît dans un espace inoccupé dans un rayon de 18 mètres autour de son invocateur, il agit comme un allié de l'invocateur, et ne peut pas invoquer à son tour d'autres démons. Le démon reste présent 10 minutes, jusqu'à ce que lui ou son invocateur meure, ou jusqu'à ce que l'invocateur le renvoie en utilisant une action.</t>
  </si>
  <si>
    <t xml:space="preserve">Druide</t>
  </si>
  <si>
    <t xml:space="preserve">27 (5d8+5)</t>
  </si>
  <si>
    <t xml:space="preserve">Médecine+4
Nature+3
Perception+4</t>
  </si>
  <si>
    <t xml:space="preserve">- Sens Perception passive 14
- Incantation. Le druide est un lanceur de sorts de niveau 4. Sa caractéristique d'incantation est la Sagesse (jet sauvegarde contre ses sorts DD 12, +4 au toucher pour les attaques avec un sort). Il a préparé les sorts de druide suivants :
  - Sorts mineurs (à volonté) : druidisme, flammes, gourdin magique
  - Niveau 1 (4 emplacements) : enchevêtrement, grande foulée, communication avec les animaux, vague tonnante
  - Niveau 2 (3 emplacements) : messager animal, peau d'écorce</t>
  </si>
  <si>
    <t xml:space="preserve">- Bâton. Attaque au corps à corps avec une arme : +2 au toucher (+4 au toucher avec gourdin magique), allonge 1,50 m, une cible. Touché : 3 (1d6) dégâts contondants, 4 (1d8) dégâts contondants si utilisé avec les deux mains, ou 6 (1d8 + 2) dégâts contondants avec gourdin magique.</t>
  </si>
  <si>
    <t xml:space="preserve">Dryade</t>
  </si>
  <si>
    <t xml:space="preserve">22 (5d8)</t>
  </si>
  <si>
    <t xml:space="preserve">- Incantation innée. La caractéristique d'incantation innée de la dryade est le Charisme (jet de sauvegarde contre ses sorts DD 14). La dryade peut lancer les sorts suivants de manière innée, sans avoir besoin de composantes matérielles :
À volonté : druidisme
3/jour chacun : enchevêtrement, baies nourricières
1/jour chacun : peau d'écorce, passage sans trace, gourdin magique
- Résistance à la magie. La dryade a un avantage aux jets de sauvegarde contre les sorts et autres effets magiques.
- Communication avec les animaux et avec les plantes. La dryade peut communiquer avec les bêtes et les plantes comme s'ils avaient une langue en commun.
- Passage par les arbres. Une fois pendant son tour, la dryade peut utiliser 3 mètres de son mouvement pour magiquement pénétrer à l'intérieur d'un arbre vivant se trouvant à portée et ressortir d'un arbre vivant se trouvant à 18 mètres maximum du premier arbre, apparaissant alors dans un espace inoccupé à 1,50 mètre du deuxième arbre. Chacun des arbres doit être de taille G ou supérieure.</t>
  </si>
  <si>
    <t xml:space="preserve">- Gourdin. Attaque au corps à corps avec une arme : +2 au toucher (+6 au toucher avec gourdin magique), allonge 1,50 m, une cible. Touché : 2 (1d4) dégâts contondants, ou 8 (1d8 + 4) dégâts contondants avec gourdin magique.
- Charme des fées. La dryade cible un humanoïde ou une bête qu'elle peut voir et se trouvant à 9 mètres maximum d'elle. Si la cible peut voir la dryade, elle doit réussir un jet de sauvegarde de Sagesse DD 14 ou être charmée par magie. La créature charmée considère la dryade comme une amie de confiance dont elle doit tenir compte et qu'elle doit protéger. Néanmoins la créature n'est pas sous le contrôle de la dryade, mais elle prend les requêtes et les actions de la dryade de la meilleure façon qui soit. Chaque fois que la dryade ou ses alliés font quelque chose de dangereux pour la cible, elle peut retenter son jet de sauvegarde, mettant fin à l'effet qui l'affecte en cas de réussite. Sinon, l'effet prend fin au bout de 24 heures ou jusqu'à ce que la dryade meure, jusqu'à ce qu'elle soit sur un plan d'existence différent de celui de la cible, ou mette fin à l'effet en utilisant son action bonus. Si le jet de sauvegarde de la cible est une réussite, la cible est immunisée au Charme des fées de la dryade pour les prochaines 24 heures. La dryade ne peut avoir sous son charme plus d'un humanoïde et plus de trois bêtes à la fois.</t>
  </si>
  <si>
    <t xml:space="preserve">Duergar</t>
  </si>
  <si>
    <t xml:space="preserve">Humanoïde (nain)</t>
  </si>
  <si>
    <t xml:space="preserve">26 (4d8+8)</t>
  </si>
  <si>
    <t xml:space="preserve">nain, commun des profondeurs</t>
  </si>
  <si>
    <t xml:space="preserve">- Résistances aux dégâts poison
- Sens vision dans le noir 36 m, Perception passive 10
- Résistance duergare. Le duergar a un avantage aux jets de sauvegarde contre le poison, les sorts et les illusions, ainsi qu'aux jets de sauvegarde pour ne pas être charmé ou paralysé.
- Sensibilité au soleil. S'il est exposé à la lumière du soleil, le duergar a un désavantage aux jets d'attaque et aux jets de Sagesse (Perception) basés sur la vue.</t>
  </si>
  <si>
    <t xml:space="preserve">- Agrandissement (Recharge après un repos court ou long). Pour 1 minute, le duergar augmente magiquement sa taille, ainsi que celle de tout ce qu'il porte ou transporte. Tant qu'il est agrandi, le duergar est de taille G, double les dés de dégâts de ses attaques avec une arme basées sur la Force (inclus dans les attaques ci-dessous), et effectue les jets de Force et les jets de sauvegarde de Force avec un avantage. Si le duergar n'a pas assez de place pour atteindre la taille G, il grandit jusqu'à atteindre la taille maximum possible dans l'espace qu'il occupe.
- Pic de guerre. Attaque au corps à corps avec une arme : +4 au toucher, allonge 1,50 m, une cible. Touché : 6 (1d8 + 2) dégâts perforants, ou 11 (2d8 + 2) dégâts perforants s'il est agrandi.
- Javeline. Attaque au corps à corps ou à distance avec une arme : +4 au toucher, allonge 1,50 m ou portée 9/36 m, une cible. Touché : 5 (1d6 + 2) dégâts perforants, ou 9 (2d6 + 2) dégâts perforants s'il est agrandi.
- Invisibilité (Recharge après un repos court ou long). Le duergar devient invisible par magie jusqu'à ce qu'il attaque, lance un sort, utilise son action Agrandissement, ou que sa concentration soit brisée, pendant 1 heure maximum (comme s'il se concentrait sur un sort). Tout l'équipement que le duergar porte ou transporte est également invisible.</t>
  </si>
  <si>
    <t xml:space="preserve">Duergar, despote</t>
  </si>
  <si>
    <t xml:space="preserve">JS CON+8
JS SAG+6</t>
  </si>
  <si>
    <t xml:space="preserve">- Immunités aux dégâts poison
- Immunités aux états charmé, épuisement, effrayé, paralysé, empoisonné
- Sens vision dans le noir 36 m, Perception passive 12
- Incantation innée (psionniques). La caractéristique d'incantation innée du duergar despote est l'Intelligence (jet de sauvegarde contre ses sorts DD 12). Il peut lancer les sorts suivants, sans avoir besoin de composantes matérielles :
- À volonté : main de mage, illusion mineure
- 1/jour chacun : contresort, foulée brumeuse, nuage nauséabond
- Résistance à la magie. Le duergar a un avantage aux jets de sauvegarde contre les sorts et autres effets magiques.
- Moteur psychique. Lorsque le duergar despote subit un coup critique ou est réduit à 0 point de vie, de l'énergie psychique jaillit de lui pour infliger 14 (4d6) dégâts psychiques à toute créature dans un rayon de à 1,50 mètre autour de lui.
- Sensibilité au soleil. S'il est exposé à la lumière du soleil, le duergar a un désavantage aux jets d'attaque et aux jets de Sagesse (Perception) basés sur la vue.</t>
  </si>
  <si>
    <t xml:space="preserve">- Attaques multiples. Le despote effectue deux attaques de Poing de fer et deux attaques de Piétinement. Il peut remplacer jusqu'à quatre de ces attaques par des utilisations de son Jet de flammes.
 - Poing de fer. Attaque au corps à corps avec une arme : +9 au toucher, allonge 1,50 m, une cible. Touché : 14 (2d8 + 5) dégâts contondants. Si la cible est une créature de taille G ou plus petite, elle doit réussir un jet de sauvegarde de Force DD 17 ou être lancée jusqu'à 9 mètres en ligne droite. La cible atterrit à terre puis subit 10 (3d6) dégâts contondants.
  - Piétinement. Attaque au corps à corps avec une arme : +9 au toucher, allonge 1,50 m, une cible. Touché : 9 (1d8 + 5) dégâts contondants, ou 18 (3d8 + 5) à une cible à terre.
- Jet de flammes. Le duergar crache des flammes sur une ligne de 30 mêtres de long et 1,50 mètre de large. Toute créature sur la ligne doit effectuer un jet de sauvegarde de Dextérité DD 16, subissant 18 (4d8) dégâts de feu en cas d'échec, ou la moitié de ces dégâts en cas de réussite.</t>
  </si>
  <si>
    <t xml:space="preserve">Duergar, garde de pierre</t>
  </si>
  <si>
    <t xml:space="preserve">- Résistances aux dégâts poison
- Sens vision dans le noir 36 m, Perception passive 10
- Résistance duergare. Le duergar a un avantage aux jets de sauvegarde contre le poison, les sorts, les illusions, ainsi qu'aux jets de sauvegarde pour ne pas être charmé ou paralysé.
- Formation de phalange. Le duergar a un avantage aux jets d'attaque et aux jets de sauvegarde de Dextérité tant qu'il se tient à 1,50 mètre ou moins d'un duergar allié portant un bouclier.
- Sensibilité au soleil. S'il est exposé à la lumière du soleil, le duergar a un désavantage aux jets d'attaque et aux jets de Sagesse (Perception) basés sur la vue.</t>
  </si>
  <si>
    <t xml:space="preserve">- Couteau du roi (épée courte). Attaque au corps à corps avec une arme : +6 au toucher, allonge 1,50 m, une créature. Touché : 7 (1d6 + 4) dégâts perforants, ou 11 (2d6 + 4) dégâts perforants si le duergar est agrandi.
- Javeline. Attaque au corps à corps ou à distance avec une arme : +6 au toucher, allonge 1,50 m ou portée 9/36 m, une créature. Touché : 7 (1d6 + 4) dégâts perforants, ou 11 (2d6 + 4) dégâts perforants si le duergar est agrandi.
- Agrandissement (Recharge après un repos court ou long). Pendant 1 minute, le duergar augmente par magie sa taille, ainsi que celle des objets qu'il porte et transporte. Tant que sa taille est augmentée, le duergar est de taille G, double les dés de dégâts qu'il lance lors d'attaques avec des armes basées sur la Force (bonus inclus ci-dessus), et effectue les jets de Force et les jets de sauvegarde de Force avec un avantage. Si le duergar n'a pas assez de place pour atteindre la taille G, il grandit jusqu'à atteindre la taille maximale possible dans l'espace disponible.
- Invisibilité (Recharge 4-6). Le duergar devient invisible par magie pendant 1 heure maximum ou jusqu'à ce qu'il attaque, lance un sort, utilise son action Agrandissement, ou que sa concentration soit brisée (comme s'il se concentrait sur un sort). Tout l'équipement que le duergar porte ou transporte est également invisible.</t>
  </si>
  <si>
    <t xml:space="preserve">Duergar, kavalrachni </t>
  </si>
  <si>
    <t xml:space="preserve">- Résistances aux dégâts poison
- Sens vision dans le noir 36 m, Perception passive 10
- Formation de cavalerie. Lorsque le duergar frappe une cible lors d'une attaque au corps à corps tout en étant monté sur une araignée de monte femelle, celle-ci peut effectuer une attaque au corp à corps contre la même cible en tant que réaction.
- Résistance duergare. Le duergar a un avantage aux jets de sauvegarde contre le poison, les sorts et les illusions, ainsi qu'aux jets de sauvegarde pour ne pas être charmé ou paralysé.
- Sensibilité au soleil. S'il est exposé à la lumière du soleil, le duergar a un désavantage aux jets d'attaque et aux jets de Sagesse (Perception) basés sur la vue.e.</t>
  </si>
  <si>
    <t xml:space="preserve">- Attaques multiples. Le duergar effectue deux attaques de pic de guerre.
  - Pic de guerre. Attaque au corps à corps avec une arme : +4 au toucher, allonge 1,50 m, une cible. Touché : 6 (1d8 + 2) dégâts perforants plus 5 (2d4) dégâts de poison.
- Arbalète lourde. Attaque à distance avec une arme : +2 au toucher, portée 30/120 m, une cible. Touché : 5 (1d10) dégâts perforants.
- Invisibilité partagée (Recharge après un repos court ou long). Le duergar devient invisible magiquement pendant 1 heure ou jusqu'à ce qu'il attaque, lance un sort ou que sa concentration soit interrompue (comme s'il se concentrait sur un sort). Tout l'équipement que le duergar porte ou transporte avec lui est également invisible. Si le duergar invisible est monté sur une araignéee de monte femelle, la monture est également invisible. L'invisibilité se termine immédiatement après que l'araignée de monte attaque.</t>
  </si>
  <si>
    <t xml:space="preserve">Duergar, mentaliste</t>
  </si>
  <si>
    <t xml:space="preserve">- Résistances aux dégâts poison
- Sens vision dans le noir 36 m, vision véritable 9 m, Perception passive 12
- Résistance duergare. Le duergar a un avantage aux jets de sauvegarde contre le poison, les sorts et les illusions, ainsi qu'aux jets de sauvegarde pour ne pas être charmé ou paralysé.
- Sensibilité au soleil. S'il est exposé à la lumière du soleil, le duergar a un désavantage aux jets d'attaque et aux jets de Sagesse (Perception) basés sur la vue.</t>
  </si>
  <si>
    <t xml:space="preserve">- Attaque multiple. Le duergar effectue deux attaques au corps à corps. Il peut remplacer l'une de ces attaques par une utilisation de Maîtrise de l'esprit.
  - Dague esprit-poison. Attaque au corps à corps avec une arme : +5 au toucher, allonge 1,50 m, une cible. Touché : 5 (1d4 + 3) dégâts perforants et 10 (3d6) dégâts psychiques, ou 1 dégâts perforants et 14 (4d6) dégâts psychiques en cas de Réduction.
- Invisibilité (Recharge 4-6). Le duergar devient invisible magiquement pendant 1 heure ou jusqu'à ce qu'il attaque, lance un sort, utilise Réduction ou que sa concentration soit interrompue (comme s'il se concentrait sur un sort). Tout l'équipement que le duergar porte ou transporte avec lui est également invisible.
- Maîtrise de l'esprit. Le duergar cible une créature qu'il peut voir à 18 mètres ou moins de lui. La cible doit réussir un jet de sauvegarde d'Intelligence DD 12, ou le duergar l'oblige à utiliser sa réaction, soit pour effectuer une attaque avec une arme contre une autre créature que le duergar peut voir, soit pour se déplacer jusqu'à 3 mètres dans une direction choisie par le duergar. Les créatures qui ne peuvent pas être charmées sont immunisées contre cet effet.
- Réduction (Recharge après un repos court ou long). Pendant 1 minute, la taille du duergar diminue magiquement, avec tout ce qu'il porte ou transporte. Une fois réduit, le duergar est minuscule, réduit les dégâts de son arme à l et effectue les jets d'attaques, de caractéristique et de sauvegarde avec un désavantage s'ils utilisent la Force. Il gagne un bonus de +5 à tous les jets de Dextérité (Discrétion) et un bonus de +5 à sa CA. Il peut également prendre une action bonus à chacun de ses tours pour effectuer l'action Se cacher.</t>
  </si>
  <si>
    <t xml:space="preserve">Duergar, seigneur de guerre</t>
  </si>
  <si>
    <t xml:space="preserve">- Résistances aux dégâts poison
- Sens vision dans le noir 36 m, Perception passive 11
- Résistance duergare. Le duergar a un avantage aux jets de sauvegarde contre le poison, les sorts, les illusions, ainsi qu'aux jets de sauvegarde pour ne pas être charmé ou paralysé.
- Sensibilité au soleil. S'il est exposé à la lumière du soleil, le duergar a un désavantage aux jets d'attaque et aux jets de Sagesse (Perception) basés sur la vue."</t>
  </si>
  <si>
    <t xml:space="preserve">- Attaques multiples. Le duergar effectue trois attaques de marteau ou de javeline et utilise Ordre d'attaquer ou Agrandissement.
  - Marteau lié à l'esprit. Attaque au corps à corps avec une arme : +7 au toucher, allonge 1,50 m, une cible. Touché : 9 (1d10 + 4) dégâts contondants, ou 15 (2d10 + 4) dégâts contondants si le duergar est agrandi, + 5 (1d10) dégâts psychiques.
  - Javeline. Attaque au corps à corps ou à distance avec une arme : +7 au toucher, allonge 1,50 m ou portée 9/36 m, une cible. Touché : 7 (1d6 + 4) dégâts perforants, ou 11 (2d6 + 4) dégâts perforants si le duergar est agrandi.
- Ordre d'attaquer. Jusqu'à trois alliés duergars se trouvant dans un rayon de 36 mètres autour de ce duergar et qui peuvent l'entendre peuvent utiliser leur réaction pour effectuer une attaque avec une arme.
- Agrandissement (Recharge après un repos court ou long). Pendant 1 minute, le duergar augmente par magie sa taille, ainsi que celle des objets qu'il porte et transporte. Tant que sa taille est augmentée, le duergar est de taille G, double les dés de dégâts qu'il lance lors d'attaques avec des armes basées sur la Force (bonus inclus ci-dessus), et effectue les jets de Force et les jets de sauvegarde de Force avec un avantage. Si le duergar n'a pas assez de place pour atteindre la taille G, il grandit jusqu'à atteindre la taille maximale possible dans l'espace disponible.
- Invisibilité (Recharge 4-6). Le duergar devient invisible par magie pendant 1 heure maximum ou jusqu'à ce qu'il attaque, lance un sort, utilise son action Agrandissement, ou que sa concentration soit brisée (comme s'il se concentrait sur un sort). Tout l'équipement que le duergar porte ou transporte est également invisible.</t>
  </si>
  <si>
    <t xml:space="preserve">Duodrone</t>
  </si>
  <si>
    <t xml:space="preserve">modron</t>
  </si>
  <si>
    <t xml:space="preserve">- Sens vision véritable 36 m, Perception passive 10
- Esprit axiomatique. Le duodrone ne peut être contraint à agir d'une manière contraire à sa nature ou aux instructions qu'il a reçues.
- Désintégration. Si le duodrone meurt, son corps se désintègre et tombe en poussière, ne derrière lui que ses armes et tout ce qu'il portait.</t>
  </si>
  <si>
    <t xml:space="preserve">- Attaques multiples. Le duodrone effectue deux attaques de coup ou deux attaques avec la javeline.
- Poing. Attaque au corps à corps avec une arme : +2 au toucher, allonge 1,50 m, une cible. Touché : 2 (1d4) dégâts contondants.
- Javeline. Attaque au corps à corps ou à distance avec une arme : +3 au toucher, allonge 1,50 m ou portée 9/36 m, une cible. Touché : 4 (1d6 + 1) dégâts perforants.</t>
  </si>
  <si>
    <t xml:space="preserve">Éclaireur</t>
  </si>
  <si>
    <t xml:space="preserve">Discrétion+6
Nature+4
Perception+5
Survie+5</t>
  </si>
  <si>
    <t xml:space="preserve">- Sens Perception passive 15
- Ouïe et vue aiguisées. L'éclaireur a un avantage aux jets de Sagesse (Perception) basés sur l'ouïe ou la vue.</t>
  </si>
  <si>
    <t xml:space="preserve">- Attaques multiples. L'éclaireur effectue deux attaques au corps à corps ou deux attaques à distance.
- Épée courte. Attaque au corps à corps avec une arme : +4 au toucher, allonge 1,50 m, une cible. Touché : 5 (1d6 + 2) dégâts perforants.
- Arc long. Attaque à distance avec une arme : +4 au toucher, portée 45/180 m, une cible. Touché : 6 (1d8 + 2) dégâts perforants.</t>
  </si>
  <si>
    <t xml:space="preserve">Éfrit</t>
  </si>
  <si>
    <t xml:space="preserve">200 (16d10+122)</t>
  </si>
  <si>
    <t xml:space="preserve">JS INT+7
JS SAG+6
JS CHA+7</t>
  </si>
  <si>
    <t xml:space="preserve">igné</t>
  </si>
  <si>
    <t xml:space="preserve">- Immunités aux dégâts feu
- Sens vision dans le noir 36 m, Perception passive 12
- Disparition élémentaire. Si l'éfrit meurt, son corps se désintègre dans un flash de feu et un nuage de fumée, ne laissant derrière lui que l'équipement qu'il portait ou transportait.
- Incantation innée. La caractéristique d'incantation innée de l'éfrit est le Charisme (jet de sauvegarde contre ses sorts DD 15, +7 au toucher pour les attaques avec un sort). Il peut lancer les sorts suivants de manière innée, sans avoir besoin de composantes matérielles :
  - À volonté : détection de la magie
  - 3/jour chacun : agrandissement/rapetissement, don des langues
  - 1/jour chacun : changement de plan, invocation d'élémentaire (élémentaire du feu uniquement), forme gazeuse, image majeure, invisibilité, mur de feu</t>
  </si>
  <si>
    <t xml:space="preserve">- Attaques multiples. L'éfrit effectue deux attaques avec le cimeterre, ou utilise son Jet de flammes deux fois.
- Cimeterre. Attaque au corps à corps avec une arme : +10 au toucher, allonge 1,50 m, une cible. Touché : 13 (2d6 + 6) dégâts tranchants + 7 (2d6) dégâts de feu.
- Jet de flammes. Attaque à distance avec un sort : +7 au toucher, portée 36 m, une cible. Touché : 17 (5d6) dégâts de feu.</t>
  </si>
  <si>
    <t xml:space="preserve">Eidolon</t>
  </si>
  <si>
    <t xml:space="preserve">63 (18d8-18)</t>
  </si>
  <si>
    <t xml:space="preserve">0 m, vol 12 m (stationnaire)</t>
  </si>
  <si>
    <t xml:space="preserve">Perception+8
SAG+8</t>
  </si>
  <si>
    <t xml:space="preserve">les langues connues de son vivant</t>
  </si>
  <si>
    <t xml:space="preserve">- Résistances aux dégâts acide, feu, foudre, tonnerre ; contondant, perforant et tranchant d'attaques non magiques
- Immunités aux dégâts froid, nécrotique, poison
- Immunités aux états charmé, épuisement, effrayé, agrippé, paralysé, pétrifié, empoisonné, à terre, entravé
- Sens vision dans le noir 18 m, Perception passive 18
- Déplacement intangible. L'eidolon peut se déplacer à travers d'autres créatures ou des objets comme s'il traversait un terrain difficile. Il subit 5 (1d10) dégâts de force s'il termine son tour à l'intérieur d'un objet.
- Animation sacrée (Recharge 5-6). Lorsque l'eidolon se déplace dans l'espace occupé par une statue sacrée, l'eidolon peut disparaître, et alors la statue devient une créature sous le contrôle de l'eidolon. L'eidolon utilise les statistiques de la statue sacrée à la place des siennes.
- Résistance au renvoi. L'eidolon a un avantage aux jets de sauvegarde pour résister aux effets de renvoi des morts-vivants.</t>
  </si>
  <si>
    <t xml:space="preserve">- Divine épouvante. Chaque créature se trouvant dans un rayon de 18 mètres autour de l'eidolon et qui peut le voir doit réussir un jet de sauvegarde de Sagesse DD 15 ou être effrayée par lui pendant 1 minute. Tant qu'elle est effrayée de la sorte, la créature doit utiliser l'action Foncer et s'éloigner de l'eidolon par le chemin le plus sûr au début de chacun de ses tours, à moins qu'elle n'ait nulle part où aller, auquel cas la créature est étourdie jusqu'à ce qu'elle puisse de nouveau se déplacer. Une cible effrayée peut retenter le jet de sauvegarde à la fin de chacun de ses tours, mettant fin à l'effet qui l'affecte en cas de réussite. Si le jet de sauvegarde d'une créature est une réussite, ou si l'effet prend fin pour elle, la cible devient immunisée contre la Divine épouvante de tous les eidolons pour les 24 prochaines heures.</t>
  </si>
  <si>
    <t xml:space="preserve">Élan</t>
  </si>
  <si>
    <t xml:space="preserve">- Sens Perception passive 10
- Charge. Si l'élan se déplace d'au moins 6 mètres en ligne droite vers une cible, puis la touche lors d'une attaque avec un coup de tête dans le même tour, la cible subit 7 (2d6) dégâts supplémentaires. Si la cible est une créature, elle doit réussir un jet de sauvegarde de Force DD 13 ou tomber à terre.</t>
  </si>
  <si>
    <t xml:space="preserve">- Coup de tête. Attaque au corps à corps avec une arme : +5 au toucher, allonge 1,50 m, une cible. Touché : 6 (1d6 + 3) dégâts contondants.
- Sabots. Attaque au corps à corps avec une arme : +5 au toucher, allonge 1,50 m, une créature au sol. Touché : 8 (2d4 + 3) dégâts contondants.</t>
  </si>
  <si>
    <t xml:space="preserve">Élan géant</t>
  </si>
  <si>
    <t xml:space="preserve">42 (5d12+10)</t>
  </si>
  <si>
    <t xml:space="preserve">- Sens Perception passive 14
- Charge. Si l'élan se déplace d'au moins 6 mètres en ligne droite vers une cible, puis la touche lors d'une attaque avec un coup de tête dans le même tour, la cible subit 7 (2d6) dégâts supplémentaires. Si la cible est une créature, elle doit réussir un jet de sauvegarde de Force DD 14 ou tomber à terre.</t>
  </si>
  <si>
    <t xml:space="preserve">- Coup de tête. Attaque au corps à corps avec une arme : +6 au toucher, allonge 3 m, une cible. Touché : 11 (2d6 + 4) dégâts contondants.
- Sabots. Attaque au corps à corps avec une arme : +6 au toucher, allonge 1,50 m, une créature au sol. Touché : 22 (4d8 + 4) dégâts contondants.</t>
  </si>
  <si>
    <t xml:space="preserve">Élémentaire de feu</t>
  </si>
  <si>
    <t xml:space="preserve">102 (12d10+36)</t>
  </si>
  <si>
    <t xml:space="preserve">- Résistances aux dégâts contondant, perforant et tranchant d'attaques non magiques
- Immunités aux dégâts feu, poison
- Immunités aux états à terre, empoisonné, agrippé, entravé, épuisement, inconscient, paralysé, pétrifié
- Sens vision dans le noir 18 m, Perception passive 10
- Forme de feu. L'élémentaire peut se déplacer au travers d'espaces larges de 2,50 cm sans être considéré comme passant dans un espace étroit. Une créature qui touche l'élémentaire ou qui réussit à le frapper avec une attaque au corps à corps en se trouvant à 1,50 mètre ou moins de lui subit 5 (1d10) dégâts de feu. De plus, l'élémentaire peut pénétrer dans l'espace d'une créature hostile et y rester. La première fois qu'il pénètre dans l'espace d'une créature lors d'un tour, celle-ci subit 5 (1d10) dégâts de feu et s'enflamme, jusqu'à ce que quelqu'un utilise une action pour étouffer le feu. Une créature enflammée subit 5 (1d10) dégâts de feu au début de chacun de ses tours.
- Illumination. L'élémentaire émet une lumière vive dans un rayon de 9 mètres et une lumière faible sur 9 mètres supplémentaires.
- Susceptibilité à l'eau. Pour chaque 1,50 mètre parcouru dans de l'eau, ou pour chaque quantité de 4 litres d'eau jetée sur l'élémentaire, celui-ci subit 1 point de dégâts de froid.</t>
  </si>
  <si>
    <t xml:space="preserve">- Attaques multiples. L'élémentaire effectue deux attaques de contact.
- Contact. Attaque au corps à corps avec une arme : +6 au toucher, allonge 1,50 m, une cible. Touché : 10 (2d6 + 3) dégâts de feu. Si la cible est une créature ou un objet inflammable, il prend feu. Jusqu'à ce que quelqu'un utilise une action pour étouffer le feu, la cible subit 5 (1d10) dégâts de feu au début de chacun de ses tours.</t>
  </si>
  <si>
    <t xml:space="preserve">Élémentaire de la terre</t>
  </si>
  <si>
    <t xml:space="preserve">126 (12d10+60)</t>
  </si>
  <si>
    <t xml:space="preserve">9 m, creusement 9 m</t>
  </si>
  <si>
    <t xml:space="preserve">- Vulnérabilités aux dégâts tonnerre
- Résistances aux dégâts contondant, perforant et tranchant d'attaques non magiques
- Immunités aux dégâts poison
- Immunités aux états épuisement, paralysé, pétrifié, empoisonné, inconscient
- Sens vision dans le noir 18 m, perception des vibrations 18 m, Perception passive 10
- Déplacement dans la terre. L'élémentaire peut creuser à travers la terre et la pierre non magique et non travaillée. Au cours de ce mouvement, il ne dérange pas les matériaux à travers lesquels il passe.
- Monstre de siège. L'élémentaire inflige le double des dégâts aux objets et structures qu'il attaque</t>
  </si>
  <si>
    <t xml:space="preserve">- Attaques multiples. L'élémentaire effectue deux attaques de coup.
- Coup. Attaque au corps à corps avec une arme : +8 au toucher, allonge 3 m, une cible. Touché : 14 (2d8 + 5) dégâts contondants.</t>
  </si>
  <si>
    <t xml:space="preserve">Élémentaire de l'air</t>
  </si>
  <si>
    <t xml:space="preserve">0 m, vol 27 m (stationnaire)</t>
  </si>
  <si>
    <t xml:space="preserve">- Résistances aux dégâts foudre, tonnerre ; contondant, perforant et tranchant d'attaques non magiques
- Immunités aux dégâts poison
- Immunités aux états à terre, empoisonné, agrippé, entravé, épuisement, inconscient, paralysé, pétrifié
- Sens vision dans le noir 18 m, Perception passive 10
- Forme d'air. L'élémentaire peut pénétrer dans l'espace d'une créature hostile et y rester. Il peut se déplacer au travers d'espaces larges de 2,50 cm sans être considéré comme passant dans un espace étroit.</t>
  </si>
  <si>
    <t xml:space="preserve">- Attaques multiples. L'élémentaire effectue deux attaques de coup.
- Coup. Attaque au corps à corps avec une arme : +8 au toucher, allonge 1,50 m, une cible. Touché : 14 (2d8 + 5) dégâts contondants.
- Cyclone (Recharge 4-6). Chaque créature se trouvant dans l'espace de l'élémentaire doit effectuer un jet de sauvegarde de Force DD 13. En cas d'échec, la cible subit 15 (3d8 + 2) dégâts contondants, est projetée à 6 mètres de l'élémentaire dans une direction aléatoire, et se retrouve à terre. Si la cible frappe dans un obstacle, tel un mur, elle subit 3 (1d6) dégâts contondants pour chaque tranche de 3 mètres de distance qu'elle a parcourue. Si la cible est projetée vers une autre créature, celle-ci doit réussir un jet de sauvegarde de Dextérité DD 13 ou subir les mêmes dégâts et se retrouver à terre. Si le jet de sauvegarde est réussi, la cible subit la moitié des dégâts contondants et ne se retrouve ni projetée, ni à terre.</t>
  </si>
  <si>
    <t xml:space="preserve">Élémentaire de l'eau</t>
  </si>
  <si>
    <t xml:space="preserve">9 m, nage 27 m</t>
  </si>
  <si>
    <t xml:space="preserve">aquatique</t>
  </si>
  <si>
    <t xml:space="preserve">- Résistances aux dégâts acide ; contondant, perforant et tranchant d'attaques non magiques
- Immunités aux dégâts poison
- Immunités aux états épuisement, agrippé, paralysé, pétrifié, empoisonné, à terre, entravé, inconscient
- Sens vision dans le noir 18 m, Perception passive 10
- Forme d'eau. L'élémentaire peut entrer dans l'espace d'une créature hostile et y rester. Il peut se déplacer à travers un espace aussi étroit que 2,50 cm de large sans être compressé.
- Congelé. Si l'élémentaire subit des dégâts de froid, il gèle partiellement ; sa vitesse est réduite de 6 mètres jusqu'à la fin de son prochain tour.</t>
  </si>
  <si>
    <t xml:space="preserve">- Attaques multiples. L'élémentaire effectue deux attaques de coup.
- Coup. Attaque au corps à corps avec une arme : +7 au toucher, allonge 1,50 m, une cible. Touché : 13 (2d8 + 4) dégâts contondants.
- Submersion (Recharge 4-6). Chaque créature dans l'espace de l'élémentaire doit faire un jet de sauvegarde de Force DD 15. En cas d'échec, une cible subit 13 (2d8 + 4) dégâts contondants. Si elle est de taille G ou plus petite, elle est également agrippée (évasion DD 14). Tant qu'elle est agrippée, la cible est entravée et incapable de respirer à moins qu'elle puisse respirer sous l'eau. Si le jet de sauvegarde est réussi, la cible est poussée hors de l'espace de l'élémentaire. L'élémentaire peut agripper une créature de taille G ou jusqu'à deux créatures de taille M ou plus petites à la fois. Au début de chaque tour de l'élémentaire, chaque cible agrippée par l'élémentaire prend 13 (2d8 + 4) dégâts contondants. Une créature dans un rayon de 1,50 mètre autour de l'élémentaire peut lui retirer une créature ou un objet en prenant une action pour faire un jet de Force DD 14 et en le réussissant.</t>
  </si>
  <si>
    <t xml:space="preserve">Éléphant</t>
  </si>
  <si>
    <t xml:space="preserve">76 (8d12+24)</t>
  </si>
  <si>
    <t xml:space="preserve">- Sens Perception passive 10
- Charge écrasante. Si l'éléphant se déplace d'au moins 6 mètres en ligne droite vers une créature, puis la touche lors d'une attaque avec ses défenses dans le même tour, la cible doit réussir un jet de sauvegarde de Force DD 12 pour ne pas être jetée à terre. Si la cible est à terre, l'éléphant peut réaliser une attaque de piétinement contre celle-ci par une action bonus.</t>
  </si>
  <si>
    <t xml:space="preserve">- Défenses. Attaque au corps à corps avec une arme : +8 au toucher, allonge 1,50 m, une cible. Touché : 19 (3d8 + 6) dégâts perforants.
- Piétinement. Attaque au corps à corps avec une arme : +8 au toucher, allonge 1,50 m, une créature à terre. Touché : 22 (3d10 + 6) dégâts contondants.</t>
  </si>
  <si>
    <t xml:space="preserve">Empyréen</t>
  </si>
  <si>
    <t xml:space="preserve">Céleste (titan)</t>
  </si>
  <si>
    <t xml:space="preserve">CB ou NM</t>
  </si>
  <si>
    <t xml:space="preserve">313 (19d12+190</t>
  </si>
  <si>
    <t xml:space="preserve">15 m, nage 15 m, vol 15 m</t>
  </si>
  <si>
    <t xml:space="preserve">Intuition+13
Persuasion+15
JS FOR+17
JS INT+12
JS SAG+13
JS CHA+15</t>
  </si>
  <si>
    <t xml:space="preserve">toutes</t>
  </si>
  <si>
    <t xml:space="preserve">- Immunités aux dégâts contondant, perforant, ou tranchant d'attaques non magiques
- Sens vision véritable 36 m, Perception passive 16
- Incantation innée. La caractéristique d'incantation innée de l'empyréen est le Charisme (jet de sauvegarde contre ses sorts DD 23, +15 au toucher pour les attaques avec un sort). Il peut lancer les sorts suivants de manière innée, sans avoir besoin des composantes matérielles :
  - À volonté : restauration supérieure, passage sans trace, respiration aquatique, marche sur l'eau
  - 1/jour chacun : communion, dissipation du mal et du bien, tremblement de terre, tempête de feu, changement de plan (personnel uniquement)
- Résistance légendaire (3/jour). Si l'empyréen échoue à un jet de sauvegarde, il peut décider de transformer cet échec en réussite.
- Résistance à la magie. L'empyréen a un avantage aux jets de sauvegarde contre les sorts et autres effets magiques.
- Armes magiques. Les attaques avec une arme de l'empyréen sont magiques.</t>
  </si>
  <si>
    <t xml:space="preserve">- Maillet. Attaque au corps à corps avec une arme : +17 au toucher, allonge 3 m, une cible. Touché : 31 (6d6 +10) dégâts contondants. Si la cible est une créature, elle doit réussir un jet de sauvegarde de Constitution DD 15 ou être étourdie jusqu'à la fin du prochain tour de l'empyréen.
- Foudre. Attaque à distance avec un sort : +15 au toucher, portée 180 m, une cible. Touché : 24 (7d6) dégâts de l'un des types suivants (au choix de l'empyréen): acide, froid, feu, force, foudre, radiant, ou tonnerre.</t>
  </si>
  <si>
    <t xml:space="preserve">- L'empyréen peut effectuer 3 actions légendaires, en choisissant parmi les options suivantes. Une seule action légendaire peut être utilisée à la fois, et seulement à la fin du tour d'une autre créature. L'empyréen récupère les actions légendaires dépensées au début de son tour.
- Attaque. L'empyréen effectue une attaque.
- Soutien. L'empyréen soutient toutes les créatures non-hostiles dans un rayon de 36 mètres autour de lui jusqu'à la fin de son prochain tour. Les créatures soutenues ne peuvent pas être charmées ou effrayées, de plus elles gagnent un avantage à leurs jets de caractéristique et de sauvegarde, jusqu'à la fin du prochain tour de l'empyréen.
- Secousse (coûte 2 actions). L'empyréen frappe le sol avec son maillet, déclenchant un tremblement de terre. Toutes les autres créatures sur le sol dans un rayon de 18 mètres autour de l'empyréen doivent réussir un jet de sauvegarde de Force DD 25 ou être jetées à terre.</t>
  </si>
  <si>
    <t xml:space="preserve">Enchanteur</t>
  </si>
  <si>
    <t xml:space="preserve">40 (9d8)</t>
  </si>
  <si>
    <t xml:space="preserve">Arcanes+6
Histoire+6
JS INT+6
JS SAG+4</t>
  </si>
  <si>
    <t xml:space="preserve">- Sens Perception passive 11
- Incantation. L'enchanteur est un lanceur de sorts de niveau 9. Sa caractéristique d'incantation est l'Intelligence (jet de sauvegarde contre ses sorts DD 14, +6 au toucher pour les attaques avec un sort). Il a préparé les sorts de magicien suivants :
  - Sorts mineurs (à volonté) : amis, main de mage, réparation, message
  - Niveau 1 (4 emplacements) : charme-personne*, armure de mage, projectile magique
  - Niveau 2 (3 emplacements) : immobilisation de personne*, invisibilité, suggestion*
  - Niveau 3 (3 emplacements) : boule de feu, hâte, don des langues
  - Niveau 4 (3 emplacements) : domination de bête*, peau de pierre
  - Niveau 5 (2 emplacements) : immobilisation de monstre
* sort d'enchantement de niveau 1 ou supérieur</t>
  </si>
  <si>
    <t xml:space="preserve">- Charme instinctif (Recharge après que l'enchanteur ait lancé un sort d'enchantement de niveau 1 ou supérieur). L'enchanteur tente de détourner par magie une attaque faite contre lui, à condition que l'attaquant se trouve à 9 mètres ou moins de lui et qu'il puisse le voir. L'enchanteur doit décider de le faire avant que l'attaque touche ou rate. L'attaquant doit effectuer un jet de sauvegarde de Sagesse DD Sagesse. En cas d'échec, l'attaquant cible la créature la plus proche de lui, autre que l'enchanteur et lui-même. Si plusieurs créatures sont à égale distance, l'attaquant choisit celle qu'il cible.</t>
  </si>
  <si>
    <t xml:space="preserve">Enlaceur</t>
  </si>
  <si>
    <t xml:space="preserve">3 m, escalade 3 m</t>
  </si>
  <si>
    <t xml:space="preserve">Discrétion+5
Perception+6</t>
  </si>
  <si>
    <t xml:space="preserve">- Sens vision dans le noir 18 m, Perception passive 16
- Apparence trompeuse. Tant que l'enlaceur reste immobile, il ne peut être distingué d'une formation naturelle de caverne, comme une stalagmite.
- Filaments agrippants. L'enlaceur peut avoir jusqu'à 6 filaments à la fois. Chaque filament peut être attaqué (CA 20 ; 10 points de vie ; immunité au poison et aux dégâts psychiques). Détruire un filament n'inflige aucun dégât à l'enlaceur, qui peut faire sortir un filament de remplacement à son prochain tour. Un filament peut également être rompu si une créature utilise son action pour effectuer un jet de Force DD 15 contre elle.
- Pattes d'araignée. L'enlaceur peut escalader des surfaces difficiles et être au plafond la tête en bas sans avoir besoin d'effectuer un jet de caractéristique.</t>
  </si>
  <si>
    <t xml:space="preserve">- Attaques multiples. L'enlaceur effectue quatre attaques avec ses filaments, utilise Embobiner, et effectue une attaque de morsure.
- Morsure. Attaque au corps à corps avec une arme : +7 au toucher, allonge 1,50 m, une cible. Touché : 22 (4d8 + 4) dégâts perforants.
- Filament. Attaque au corps à corps avec une arme : +7 au toucher, allonge 15 m, une créature. Touché : La cible est agrippée (évasion DD 15). Tant qu'elle est agrippée, la cible est entravée et a un désavantage aux jets de Force et aux jets de sauvegarde de Force, et l'enlaceur ne peut plus utiliser le même filament sur une autre cible.
- Embobiner. L'enlaceur tire à lui sur 7,50 mètres chaque créature qu'il a agrippée.</t>
  </si>
  <si>
    <t xml:space="preserve">Épaulard</t>
  </si>
  <si>
    <t xml:space="preserve">90 (12 d12+12)</t>
  </si>
  <si>
    <t xml:space="preserve">- Sens vision aveugle 36 m, Perception passive 13
- Écholocalisation. L'épaulard ne peut pas utiliser sa vision aveugle s'il est assourdi.
- Apnée. L'épaulard peut retenir son souffle durant 30 minutes.
- Ouïe aiguisée. L'épaulard a un avantage aux jets de Sagesse (Perception) basés sur l'ouïe.</t>
  </si>
  <si>
    <t xml:space="preserve">- Morsure. Attaque au corps à corps avec une arme : +6 au toucher, allonge 1,50 m, une cible. Touché : 21 (5d6 + 4) dégâts perforants.</t>
  </si>
  <si>
    <t xml:space="preserve">Épée volante</t>
  </si>
  <si>
    <t xml:space="preserve">17 (5d6)</t>
  </si>
  <si>
    <t xml:space="preserve">0 m, vol 15 m (stationnaire)</t>
  </si>
  <si>
    <t xml:space="preserve">JS DEX+4</t>
  </si>
  <si>
    <t xml:space="preserve">- Immunités aux dégâts poison, psychique
- Immunités aux états assourdi, aveuglé, charmé, effrayé, empoisonné, paralysé, pétrifié
- Sens vision aveugle 18 m (aveugle au-delà de ce rayon), Perception passive 7
- Apparence trompeuse. Tant que l'épée reste immobile et qu'elle ne vole pas, elle ne peut être distinguée d'une épée normale.
- Sensibilité à l'antimagie. L'épée est incapable d'agir lorsqu'elle se situe dans un champ antimagie. Si elle est ciblée par une dissipation de la magie, l'épée doit réussir un jet de sauvegarde de Constitution contre le DD de sort du lanceur ou tomber inconsciente pendant 1 minute.</t>
  </si>
  <si>
    <t xml:space="preserve">- Épée longue. Attaque au corps à corps avec une arme : +3 au toucher, allonge 1,50 m, une cible. Touché : 5 (1d8 + 1) dégâts tranchants.</t>
  </si>
  <si>
    <t xml:space="preserve">Épineux</t>
  </si>
  <si>
    <t xml:space="preserve">Perception+4
Discrétion+3</t>
  </si>
  <si>
    <t xml:space="preserve">- Résistances aux dégâts foudre, perforant
- Sens vision dans le noir 18 m, Perception passive 14
- Camouflage dans la végétation. L'épineux a un avantage aux jets de Dextérité (Discrétion) effectués sur n'importe quel terrain comportant une importante vie végétale.
- Régénération. L'épineux récupère 5 points de vie au début de son tour. Si l'épineux subit des dégâts de froid, de feu ou nécrotiques, ce trait ne fonctionne pas au début de son prochain tour. L'épineux ne meurt que s'il débute son tour avec 0 point de vie et qu'il ne se régénère pas.
- Corps épineux. Au début de son tour, l'épineux inflige 2 (1d4) dégâts perforants à toute créature qui l'agrippe.</t>
  </si>
  <si>
    <t xml:space="preserve">- Morsure. Attaque au corps à corps avec une arme : +3 au toucher, allonge 1,50 m, une cible. Touché : 8 (2d6 + 1) dégâts perforants.</t>
  </si>
  <si>
    <t xml:space="preserve">Épouvantail</t>
  </si>
  <si>
    <t xml:space="preserve">comprend les langues de son créateur</t>
  </si>
  <si>
    <t xml:space="preserve">- Vulnérabilités aux dégâts feu
- Résistances aux dégâts contondant, perforant et tranchant d'attaques non magiques
- Immunités aux dégâts poison
- Immunités aux états charmé, épuisement, effrayé, paralysé, empoisonné, inconscient
- Sens vision dans le noir 18 m, Perception passive 10
- Apparence trompeuse. Tant que l'épouvantail reste immobile, il ne peut pas être distingué d'un épouvantail ordinaire et inanimé.</t>
  </si>
  <si>
    <t xml:space="preserve">- Attaques multiples. L'épouvantail effectue deux attaques avec ses griffes.
- Griffes. Attaque au corps à corps avec une arme : +3 au toucher, allonge 1,50 m, une cible. Touché : 6 (2d4 + 1) dégâts tranchants. Si la cible est une créature, elle doit réussir un jet de sauvegarde de Sagesse DD 11 ou être effrayée jusqu'à la fin du prochain tour de l'épouvantail.
- Regard terrifiant. L'épouvantail cible une créature qu'il peut voir et située à 9 mètres ou moins de lui. Si la cible peut voir l'épouvantail, elle doit réussir un jet de sauvegarde de Sagesse DD 11 ou être effrayée par magie jusqu'à la fin du prochain tour de l'épouvantail. La cible effrayée est également paralysée.</t>
  </si>
  <si>
    <t xml:space="preserve">Érinye</t>
  </si>
  <si>
    <t xml:space="preserve">JS DEX+7
JS CON+8
JS SA+6
JS CHA+8</t>
  </si>
  <si>
    <t xml:space="preserve">- Résistances aux dégâts froid ; contondant, perforant et tranchant d'attaques non magiques qui ne sont pas en argent
- Immunités aux dégâts feu, poison
- Immunités aux états empoisonné
- Sens vision véritable 36 m, Perception passive 12
- Armes infernales. Les attaques avec une arme de l'érinye sont magiques et infligent 13 (3d8) dégâts de poison supplémentaires si elles touchent (inclus dans les attaques ci-dessous).
- Résistance à la magie. L'érinye a un avantage aux jets de sauvegarde contre les sorts et autres effets magiques.</t>
  </si>
  <si>
    <t xml:space="preserve">- Attaques multiples. L'érinye effectue trois attaques.
- Épée longue. Attaque au corps à corps avec une arme : +8 au toucher, allonge 1,50 m, une cible. Touché : 8 (1d8 + 4) dégâts tranchants, ou 9 (1d10 + 4) dégâts tranchants si utilisée à deux mains, plus 13 (3d8) dégâts de poison.
- Arc long. Attaque à distance avec une arme : +7 au toucher, portée 45/180 m, une cible. Touché : 7 (1d8 + 3) dégâts perforants + 13 (3d8) dégâts de poison, et la cible doit réussir un jet de sauvegarde de Constitution DD 14 ou être empoisonnée. Le poison reste jusqu'à ce qu'il soit supprimé à l'aide d'un sort de restauration partielle ou toute autre magie similaire.</t>
  </si>
  <si>
    <t xml:space="preserve">- Parade. L'érinye ajoute 4 à sa CA contre une attaque au corps à corps qui le toucherait. Pour ce faire, il doit voir l'attaquant et avoir en main une arme de corps à corps.</t>
  </si>
  <si>
    <t xml:space="preserve">Espion</t>
  </si>
  <si>
    <t xml:space="preserve">27 (6d8)</t>
  </si>
  <si>
    <t xml:space="preserve">Discrétion +4
Escamotage +4
Intuition +4
Investigation +5
Perception +6
Persuasion +5
Tromperie +5</t>
  </si>
  <si>
    <t xml:space="preserve">- Sens Perception passive 16
- Ruse. À chacun de ses tours, l'espion peut utiliser une action bonus pour Se désengager, Se cacher ou Foncer.
- Attaque sournoise (1/tour). L'espion inflige 7 (2d6) dégâts supplémentaires à une créature qu'il touche avec une arme s'il a un avantage au jet d'attaque, ou si la cible est à 1,50 mètre ou moins d'un allié de l'espion qui n'est pas incapable d'agir et que l'espion n'a pas un désavantage au jet d'attaque..</t>
  </si>
  <si>
    <t xml:space="preserve">- Attaques multiples. L'espion effectue deux attaques au corps à corps.
- Épée courte. Attaque au corps à corps avec une arme : +4 au toucher, allonge 1,50 m, une cible. Touché : 5 (1d6 + 2) dégâts perforants.
- Arbalète de poing. Attaque à distance avec une arme : +4 au toucher, portée 9/36 m, une cible. Touché : 5 (1d6 + 2) dégâts perforants.</t>
  </si>
  <si>
    <t xml:space="preserve">Esprit dans le miroir </t>
  </si>
  <si>
    <t xml:space="preserve">12 m (si libéré du miroir)</t>
  </si>
  <si>
    <t xml:space="preserve">- Immunité aux dégâts psychique, poison
- Immunité à l'état épuisement
- Sens perception passive 10
- Incantation innée : La caractéristique d'incantation innée de l'esprit dans le miroir est le charisme (jet de sauvegarde contre ses sorts DC 12). L'esprit dans le miroir peut lancer les sorts suivants de manière innée, sans avoir besoin d'aucune composante :
  - 3/jour : invisibilité, pas brumeux
  - 1/jour : contre-sort</t>
  </si>
  <si>
    <t xml:space="preserve">- Griffes : attaque de corps à corps, +2 pour toucher, portée 1,5 m, dégats 3 (1d6) tranchant
- Changement de plan : Si une créature regarde dans le miroir, l'esprit peut tenter de s'échapper. La créature ciblée doit réussir un jet de Charisme (DC12). En cas d'échec, l'esprit commence à changer de place avec la créature. Une fois que le procédé a démarrer, la créature doit faire un autre jet de sauvegarde de Charisme (DC 12). En cas d'échec, les places de l'esprit dans le miroir et de la créature sont inversées. La créature essayera immédiatement de fuir, ne se battant qu'en cas de nécessité et utilisant tous ses sorts pour s'éloigner. Si la cible réussi son jet de sauvegarde, elle parvint à voir l'esprit dans le miroir. Une fois qu'une nouvelle créature est coincée dans le miroir, les seuls moyen de s'échapper sont de renvoyer la malédiction ou de piéger une autre créature. Le DC Charisme de la créature est alors 8+bonus de maitrise+CHAR</t>
  </si>
  <si>
    <t xml:space="preserve">Esprit follet</t>
  </si>
  <si>
    <t xml:space="preserve">3 m, vol 12 m</t>
  </si>
  <si>
    <t xml:space="preserve">Discrétion+8
Perception+3</t>
  </si>
  <si>
    <t xml:space="preserve">commun, elfique, sylvestre</t>
  </si>
  <si>
    <t xml:space="preserve">- Sens Perception passive 13</t>
  </si>
  <si>
    <t xml:space="preserve">- Épée longue. Attaque au corps à corps avec une arme : +2 au toucher, allonge 1,50 m, une cible. Touché : 1 dégât tranchant.
- Arc court. Attaque à distance avec une arme : +6 au toucher, portée 12/48 m, une cible. Touché : 1 dégât perforant, et la cible doit réussir un jet de sauvegarde de Constitution DD 10 ou être empoisonnée pendant 1 minute. Si le jet de sauvegarde échoue de 5 ou plus, la cible empoisonnée tombe inconsciente pour la durée de l'empoisonnement, ou jusqu'à ce qu'elle subisse des dégâts, ou jusqu'à ce qu'une autre créature utilise son action pour la secouer et la réveiller.
- Perception du for intérieur. L'esprit follet touche une créature et en apprend magiquement l'état émotionnel. Si la cible échoue à un jet de sauvegarde de Charisme DD 10, alors l'esprit follet connaît également l'alignement de la créature. Les célestes, les fiélons, et les morts-vivants échouent automatiquement leur jet de sauvegarde.
- Invisibilité. L'esprit follet devient invisible par magie jusqu'à ce qu'il attaque, lance un sort, ou que sa concentration se termine (comme s'il se concentrait sur un sort). Tout l'équipement que l'esprit follet porte ou transporte est également invisible.</t>
  </si>
  <si>
    <t xml:space="preserve">Ettercap</t>
  </si>
  <si>
    <t xml:space="preserve">Discrétion +4
Perception+3
Survie+3</t>
  </si>
  <si>
    <t xml:space="preserve">- Sens vision dans le noir 18 m, Perception passive 13
- Pattes d'araignée. L'ettercap peut escalader des surfaces difficiles et être au plafond la tête en bas sans avoir besoin d'effectuer un jet de caractéristique.
- Sens de la toile. Lorsqu'il est en contact avec une toile, l'ettercap connait l'emplacement exact de toutes les créatures qui sont en contact avec cette toile.
- Déplacement sur la toile. L'ettercap ignore les restrictions de mouvement causées par une toile d'araignée.</t>
  </si>
  <si>
    <t xml:space="preserve">- Attaques multiples. L'ettercap effectue deux attaques : une de morsure et une avec ses griffes.
- Griffes. Attaque au corps à corps avec une arme : +4 au toucher, allonge 1,50 m, une cible. Touché : 7 (2d4 + 2) dégâts tranchants.
- Morsure. Attaque au corps à corps avec une arme : +4 au toucher, allonge 1,50 m, une créature. Touché : 6 (1d8 + 2) dégâts perforants + 4 (1d8) dégâts de poison. La cible doit réussir un jet de sauvegarde de Constitution DD 11 ou être empoisonnée pendant 1 minute. La créature peut recommencer ce jet de sauvegarde à la fin de chacun de ses tours, mettant fin à l'effet qui l'affecte en cas de réussite.
- Toile d'araignée (Recharge 5-6). Attaque à distance avec une arme : +4 au toucher, portée 9/18 m, une créature de taille G ou inférieure. Touché : la créature est entravée par la toile. Par une action, la créature entravée peut effectuer un jet de Force DD 11, s'échappant de la toile en cas de réussite. L'effet se termine si la toile est détruite. La toile a une CA de 10, 5 points de vie, est vulnérable aux dégâts de feu et immunisée contre les dégâts contondants, de poison et psychiques.</t>
  </si>
  <si>
    <t xml:space="preserve">Ettin</t>
  </si>
  <si>
    <t xml:space="preserve">85 (10d10+30)</t>
  </si>
  <si>
    <t xml:space="preserve">géant, orc</t>
  </si>
  <si>
    <t xml:space="preserve">- Sens vision dans le noir 18 m, Perception passive 14
- Bicéphale. L'ettin a un avantage aux jets de Sagesse (Perception), ainsi qu'aux jets de sauvegarde réalisés pour ne pas être assourdi, aveuglé, charmé, effrayé, étourdi ou inconscient.
- Alerte. Quand une des têtes de l'ettin dort, l'autre reste éveillée.</t>
  </si>
  <si>
    <t xml:space="preserve">- Attaques multiples. L'ettin effectue deux attaques : une avec sa hache d'armes et une avec sa morgenstern.
- Hache d'armes. Attaque au corps à corps avec une arme : +7 au toucher, allonge 1,50 m, une cible. Touché : 14 (2d8 + 5) dégâts tranchants.
- Morgenstern. Attaque au corps à corps avec une arme : +7 au toucher, allonge 1,50 m, une cible. Touché : 14 (2d8 + 5) dégâts perforants.</t>
  </si>
  <si>
    <t xml:space="preserve">Évocateur</t>
  </si>
  <si>
    <t xml:space="preserve">Arcanes+7
Histoire+7
JS INT+7
JS SAG+5</t>
  </si>
  <si>
    <t xml:space="preserve">- Sens Perception passive 11
- Incantation. L'évocateur est un lanceur de sorts de niveau 12. Sa caractéristique d'incantation est l'Intelligence (jet de sauvegarde contre ses sorts DD 15, +7 au toucher pour les attaques avec un sort). Il a préparé les sorts de magicien suivants :
  - Sorts mineurs (à volonté) : trait de feu*, lumière*, prestidigitation, rayon de givre*
  - Niveau 1 (4 emplacements) : mains brûlantes*, armure de mage, projectile magique*
  - Niveau 2 (3 emplacements) : image miroir, foulée brumeuse, fracassement*
  - Niveau 3 (3 emplacements) : contresort, boule de feu*, éclair*
  - Niveau 4 (3 emplacements) : tempête de grêle*, peau de pierre
  - Niveau 5 (2 emplacements) : main de Bigby*, cône de froid*
  - Niveau 6 (1 emplacement) : chaîne d'éclairs*, mur de glace*
* sort d'évocation
- Façonneur de sorts. Quand l'évocateur jette un sort d'évocation qui force d'autres créatures qu'il voit à effectuer un jet de sauvegarde [E], il peut choisir un nombre de créatures égal à 1 + le niveau du sort. Ces créatures réussissent automatiquement leurs jets de sauvegarde contre le sort. Si une sauvegarde réussie signifie qu'une créature ne subit que la moitié des dégâts du sort, elle ne subit aucun dégât.</t>
  </si>
  <si>
    <t xml:space="preserve">Expert en arts martiaux</t>
  </si>
  <si>
    <t xml:space="preserve">60 (11d8+11)</t>
  </si>
  <si>
    <t xml:space="preserve">Acrobaties+5
Discrétion+5
Intuition+5</t>
  </si>
  <si>
    <t xml:space="preserve">- Sens Perception passive 13
- Défense sans armure. Si l'adepte ne porte pas d'armure et n'est pas équipé d'un bouclier, sa CA prend en compte son modificateur de Sagesse.</t>
  </si>
  <si>
    <t xml:space="preserve">- Attaques multiples. L'adepte effectue trois attaques à mains nues ou trois attaques de fléchette.
- Attaque à mains nues. Attaque au corps à corps avec une arme : +5 au toucher, allonge 1,50 m, une cible. Touché : 7 (1d8 + 3) dégâts contondants. Si la cible est une créature, l'adepte peut choisir l'un des effets supplémentaires suivants :
  • La cible doit réussir un jet de sauvegarde de Force DD 13 ou faire tomber un objet qu'elle tient (choisi par l'adepte).
  • La cible doit réussir un jet de sauvegarde de Dextérité DD 13 ou être jetée à terre.
  • La cible doit réussir un jet de sauvegarde de Constitution DD 13 ou être étourdie jusqu'à la fin du prochain tour de l'adepte.
- Fléchette. Attaque à distance avec une arme : +5 au toucher, portée 6/18 m, une cible. Touché : 5 (1d4 + 3) dégâts perforants.</t>
  </si>
  <si>
    <t xml:space="preserve">- Parade de projectiles. Lorsqu'il est touché par une attaque à distance avec une arme, l'adepte dévie le projectile qui le frappe. Les dégâts qu'il subit de l'attaque sont réduits de 1d10 + 3. Si les dégâts sont réduits à 0, l'adepte attrape le projectile s'il est suffisamment petit pour pouvoir tenir dans une main et que l'adepte a une main de libre.</t>
  </si>
  <si>
    <t xml:space="preserve">Acrobaties+5
DIscrétion+5
Intuition+5</t>
  </si>
  <si>
    <t xml:space="preserve">- Attaques multiples. L'adepte effectue trois attaques à mains nues ou trois attaques de fléchette.
  - Attaque à mains nues. Attaque au corps à corps avec une arme : +5 au toucher, allonge 1,50 m, une cible. Touché : 7 (1d8 + 3) dégâts contondants. Une fois par tour, l'adepte peut infliger l'un des effets supplémentaires suivants (choisir ou lancez un d4) :
   - 1-2. La cible doit réussir un jet de sauvegarde de Dextérité DD 13 ou être jetée à terre.
   - 3-4. La cible doit réussir un jet de sauvegarde de Force DD 13 ou être repoussée de 3 mètres de l'adepte.
  - Fléchette. Attaque à distance avec une arme : +5 au toucher, portée 6/18 m, une cible. Touché : 5 (1d4 + 3) dégâts perforants.</t>
  </si>
  <si>
    <t xml:space="preserve">Fanatique</t>
  </si>
  <si>
    <t xml:space="preserve">Persuasion+4
Religion+2
Tromperie+4</t>
  </si>
  <si>
    <t xml:space="preserve">- Sens Perception passive 11
- Sombre dévotion. Le fanatique a un avantage aux jets de sauvegarde pour ne pas être charmé ou effrayé.
- Incantation. Le fanatique est un lanceur de sorts de niveau 4. Sa caractéristique d'incantation est la Sagesse (jet de sauvegarde contre ses sorts DD 11, +3 au toucher pour les attaques avec un sort). Le fanatique a préparé les sorts de clerc suivants :
  - Sorts mineurs (à volonté) : flamme sacrée, lumière, thaumaturgie
  - Niveau 1 (4 emplacements) : blessure, bouclier de la foi, injonction
  - Niveau 2 (3 emplacements) : arme spirituelle, immobilisation de personne</t>
  </si>
  <si>
    <t xml:space="preserve">- Attaques multiples. Le fanatique effectue deux attaques au corps à corps.
-  Dague. Attaque au corps à corps ou à distance avec une arme : +4 au toucher, allonge 1,50 m ou portée 6/18 m, une créature. Touché : 4 (1d4 + 2) dégâts perforants.</t>
  </si>
  <si>
    <t xml:space="preserve">Fantôme</t>
  </si>
  <si>
    <t xml:space="preserve">- Résistances aux dégâts acide, foudre, feu, tonnerre ; contondant, perforant et tranchant d'attaques non magiques
- Immunités aux dégâts froid, nécrotique, poison
- Immunités aux états à terre, charmé, empoisonné, agrippé, entravé, épuisement, paralysé, pétrifié, effrayé
- Sens vision dans le noir 18 m, Perception passive 11
- Déplacement intangible. Le fantôme peut se déplacer à travers d'autres créatures ou des objets comme s'il traversait un terrain difficile. Il subit 5 (1d10) dégâts de force s'il termine son tour à l'intérieur d'un objet.
- Vision éthérée. Le fantôme peut voir à 18 mètres dans le plan éthéré lorsqu'il se trouve sur le plan matériel et inversement.</t>
  </si>
  <si>
    <t xml:space="preserve">- Contact flétrissant. Attaque au corps à corps avec une arme : +5 au toucher, allonge 1,50 m, une cible. Touché : 17 (4d6 + 3) dégâts nécrotiques.
- Forme éthérée. Le fantôme pénètre dans le plan éthéré à partir du plan matériel, ou inversement. Il est visible sur le plan matériel lorsqu'il se trouve à la Frontière éthérée, et inversement, bien qu'il ne puisse affecter ou être affecté par aucune chose venant de l'autre plan.
- Visage effroyable. Chaque créature non morte-vivante à 18 mètres du fantôme et pouvant le voir doit réussir un jet de sauvegarde de Sagesse DD 13 ou devenir effrayée pendant 1 minute. Si le jet est raté de 5 points ou plus, la cible vieillit aussi de 1d4 x 10 ans. Une créature effrayée peut retenter le jet de sauvegarde à la fin de chacun de ses tours, mettant fin à l'état effrayé en cas de réussite. Si le jet de sauvegarde de la cible est réussi ou que l'effet qu'elle subit se termine, celle-ci devient immunisée au Visage effroyable du fantôme pendant les prochaines 24 heures. L'effet de vieillissement peut être annulé par un sort de restauration supérieure, mais seulement si le sort est lancé dans les 24 heures.
- Possession (Recharge 6). Un humanoïde que le fantôme peut voir et se trouvant à 1,50 mètre de lui doit réussir un jet de sauvegarde de Charisme DD 13 ou être possédé par le fantôme ; le fantôme disparait alors, et la cible est incapable d'agir et perd le contrôle de son corps. Le fantôme contrôle désormais le corps de la cible, mais ne prive pas la cible de sa conscience. Le fantôme ne peut être pris pour cible par aucune attaque, sort, ou autres effets, à part ceux qui repoussent les morts-vivants, et il conserve son alignement, ses valeurs d'Intelligence, de Sagesse et de Charisme, ainsi que son immunité aux effets charmé et effrayé. Pour le reste, il utilise les statistiques de la cible, mais sans avoir accès à ses connaissances, capacités de classe et maîtrises. La possession dure jusqu'à ce que la cible tombe à 0 point de vie, que le fantôme l'annule par une action bonus, ou que le fantôme soit repoussé ou renvoyé de force par un effet similaire au sort de dissipation du mal et du bien. Lorsque la possession se termine, le fantôme réapparaît dans un espace inoccupé situé à 1,50 mètre du corps. Une cible est immunisée contre la possession du fantôme pendant 24 heures si elle réussit son jet de sauvegarde ou si la possession se termine.</t>
  </si>
  <si>
    <t xml:space="preserve">Faucon</t>
  </si>
  <si>
    <t xml:space="preserve">Perception +4</t>
  </si>
  <si>
    <t xml:space="preserve">- Sens Perception passive 14
- Vue aiguisée. Le faucon a un avantage aux jets de Sagesse (Perception) faisant appel à la vue.</t>
  </si>
  <si>
    <t xml:space="preserve">- Serres. Attaque au corps à corps avec une arme : +5 au toucher, allonge 1,50 m, une cible. Touché : 1 dégât tranchant.</t>
  </si>
  <si>
    <t xml:space="preserve">Faucon de sang</t>
  </si>
  <si>
    <t xml:space="preserve">7 (2d6)</t>
  </si>
  <si>
    <t xml:space="preserve">- Sens Perception passive 14
- Vue aiguisée. Le faucon a un avantage aux jets de Sagesse (Perception) faisant appel à la vue.
- Tactique de groupe. Le faucon a un avantage aux jets d'attaque contre une créature si au moins l'un de ses alliés est à 1,50 mètre ou moins de la créature et n'est pas incapable d'agir.</t>
  </si>
  <si>
    <t xml:space="preserve">- Bec. Attaque au corps à corps avec une arme : +4 au toucher, allonge 1,50 m, une cible. Touché : 4 (1d4 + 2) dégâts perforants.</t>
  </si>
  <si>
    <t xml:space="preserve">Feu follet</t>
  </si>
  <si>
    <t xml:space="preserve">22 (9d4)</t>
  </si>
  <si>
    <t xml:space="preserve">- Immunités aux dégâts foudre, poison
- Résistances aux dégâts acide, feu, froid, nécrotique, tonnerre ; contondant, perforant et tranchant d'attaques non magiques
- Immunités aux états à terre, épuisement, agrippé, paralysé, empoisonné, entravé, inconscient
- Sens vision dans le noir 36 m, Perception passive 12
- Absorption de vie. Au prix d'une action bonus, le feu follet peut prendre pour cible une créature qu'il peut voir se trouvant à 1,50 mètre de lui, ayant 0 point de vie et qui est toujours vivante. La cible doit réussir un jet de sauvegarde de Constitution DD 10 contre cette magie ou mourir. Si la cible meurt, le feu follet récupère 10 (3d6) points de vie.
- Éphémère. Le feu follet ne peut rien porter ou ni transporter.
- Déplacement intangible. Le feu follet peut se déplacer à travers d'autres créatures ou des objets comme s'il traversait un terrain difficile. Il subit 5 (1d10) dégâts de force s'il termine son tour à l'intérieur d'un objet.
- Illumination variable. Le feu follet émet une lumière vive dans un rayon de 1,50 à 6 mètres, et une lumière faible sur un nombre supplémentaire de mètres égal au rayon choisi. Le feu follet peut modifier le rayon par une action bonus.</t>
  </si>
  <si>
    <t xml:space="preserve">- Secousse. Attaque au corps à corps avec un sort : +4 au toucher, allonge 1,50 m, une créature. Touché : 9 (2d8) dégâts de foudre.
- Invisibilité. Le feu follet (ainsi que son illumination) devient invisible par magie jusqu'à ce qu'il attaque, utilise son Absorption de vie, ou que sa concentration se termine (comme s'il se concentrait sur un sort).</t>
  </si>
  <si>
    <t xml:space="preserve">Flagelleur mental</t>
  </si>
  <si>
    <t xml:space="preserve">71 (3d8+13)</t>
  </si>
  <si>
    <t xml:space="preserve">Arcanes +7
Discrétion +4
Intuition +6
Perception +6
Persuasion +6
Tromperie +6
JS INT+7
JS SAG+6
JS CHA+6</t>
  </si>
  <si>
    <t xml:space="preserve">- Sens vision dans le noir 36 m, Perception passive 16
- Résistance à la magie. Le flagelleur mental a un avantage aux jets de sauvegarde contre les sorts et autres effets magiques.
- Incantation innée (psioniques). La caractéristique d'incantation innée du flagelleur mental est l'Intelligence (jet de sauvegarde contre ses sorts DD 15). Il peut lancer les sorts suivants de manière innée, sans avoir besoin de composantes matérielles :
  - À volonté : détection des pensées, lévitation
  - 1/jour chacun : domination de monstre, changement de plan (personnel uniquement)</t>
  </si>
  <si>
    <t xml:space="preserve">- Décharge mentale (Recharge 5-6). Le flagelleur mental émet une vague d'énergie psychique dans un cône de 18 mètres. Chaque créature présente dans la zone doit réussir un jet de sauvegarde d'Intelligence DD 15 ou subir 22 (4d8 + 4) dégâts psychiques et être étourdie pendant 1 minute. Une créature peut retenter son jet de sauvegarde à la fin de chacun de ses tours, mettant fin à l'effet qui l'affecte en cas de réussite.
- Extraction de cerveau. Attaque au corps à corps avec une arme : +7 au toucher, allonge 1,50 m, un humanoïde incapable d'agir et agrippé par le flagelleur mental. Touché : la cible subit 55 (10d10) dégâts perforants. Si ces dégâts font tomber les points de vie de la cible à 0, le flagelleur mental tue la cible en lui extrayant et dévorant le cerveau.
- Tentacules. Attaque au corps à corps avec une arme : +7 au toucher, allonge 1,50 m, une créature. Touché : 15 (2d10 + 4) dégâts psychiques. Si la cible est de taille M ou inférieure, elle est agrippée (DD 15 pour s'échapper) et doit réussir un jet de sauvegarde d'Intelligence DD 15 ou être étourdie tant qu'elle est agrippée de cette manière.</t>
  </si>
  <si>
    <t xml:space="preserve">Flind</t>
  </si>
  <si>
    <t xml:space="preserve">Humanoïde (gnoll)</t>
  </si>
  <si>
    <t xml:space="preserve">127 (15d8+60)</t>
  </si>
  <si>
    <t xml:space="preserve">Intimidation+5
Perception+5
JS CON+8
JS SAG+5</t>
  </si>
  <si>
    <t xml:space="preserve">gnoll, abyssal</t>
  </si>
  <si>
    <t xml:space="preserve">- Sens vision dans le noir 18 m, Perception passive 15
- Aura de Soif de sang. Si le flind n'est pas incapable d'agir, toute créature possédant le trait Déchaîné peut effectuer une attaque de morsure en utilisant une action bonus à condition de se trouver dans un rayon de 3 mètres autour du flind.</t>
  </si>
  <si>
    <t xml:space="preserve">- Attaques multiples. Le flind effectue trois attaques : une avec chacun de ses différents fléaux ou trois avec son arc long.
- Fléau de la folie. Attaque au corps à corps avec une arme : +9 au toucher, allonge 1,50 m, une cible. Touché : 10 (1d10 + 5) dégâts contondants, et la cible doit effectuer un jet de sauvegarde de Sagesse DD 16. En cas d'échec, la cible doit effectuer une attaque au corps à corps contre une cible déterminée aléatoirement et se trouvant à sa portée, et ce lors de son prochain tour. Si aucune cible ne se trouve à sa portée après qu'elle se soit déplacée, elle perd son action pour ce tour.
- Fléau de la souffrance. Attaque au corps à corps avec une arme : +9 au toucher, allonge 1,50 m, une cible. Touché : 10 (1d10 + 5) dégâts contondants + 22 (4d10) dégâts psychiques.
- Fléau de la paralysie. Attaque au corps à corps avec une arme : +9 au toucher, allonge 1,50 m, une cible. Touché : 10 (1d10 + 5) dégâts contondants, et la cible doit réussir un jet de sauvegarde de Constitution DD 16 ou être paralysée jusqu'à la fin de son prochain tour.
- Arc long. Attaque à distance avec une arme : +4 au toucher, portée 45/180 m, une cible. Touché : 4 (1d8) dégâts perforants.</t>
  </si>
  <si>
    <t xml:space="preserve">Flumph</t>
  </si>
  <si>
    <t xml:space="preserve">Arcanes+4
Histoire+4
Religion+4</t>
  </si>
  <si>
    <t xml:space="preserve">commun des profondeurs (compris)</t>
  </si>
  <si>
    <t xml:space="preserve">- Vulnérabilités aux dégâts psychique
- Sens vision dans le noir 18 m, Perception passive 12
- Télépathie avancée. Le flumph peut percevoir la teneur de toute communication télépathique établie dans un rayon de 18 mètres autour de lui, et ne peut pas être surpris par des créatures possédant une quelconque forme de télépathie.
- Handicap à terre. Si le flumph est mis à terre, lancez un dé. Sur un résultat impair, le flumph se retrouve à l'envers et est incapable d'agir. À la fin de chacun de ses tours, le flumph peut effectuer un jet de sauvegarde de Dextérité DD 10, se redressant alors et n'étant plus soumis à l'état incapable d'agir en cas de réussite.
- Voile télépathique. Le flumph est immunisé contre tout effet qui pourrait percevoir ses émotions ou lire ses pensées, ainsi qu'à tous les sorts de divination.</t>
  </si>
  <si>
    <t xml:space="preserve">- Vrilles. Attaque au corps à corps avec une arme : +4 au toucher, allonge 1,50 m, une créature. Touché : 4 (1d4 + 2) dégâts perforants + 2 (1d4) dégâts d'acide. À la fin de chacun de ses tours, la cible doit effectuer un jet de sauvegarde de Constitution DD 10, subissant 2 (1d4) dégâts d'acide en cas d'échec ou mettant fin aux dégâts d'acide récurrents en cas de réussite. Un sort de restauration partielle lancé sur la cible met également fin aux dégâts d'acide récurrents.
- Vaporisation nauséabonde (1/jour). Chaque créature se trouvant dans un cône de 4,50 mètres provenant du flumph doit réussir un jet de sauvegarde de Dextérité DD 10 ou être recouverte d'un liquide puant. Une créature recouverte de ce liquide dégage une odeur horrible pendant 1d4 heures. De plus, elle est empoisonnée jusqu'à ce que l'odeur disparaisse, et les autres créatures sont empoisonnées tant qu'elles se trouvent à 1,50 mètre ou moins de la créature recouverte de liquide. Une créature peut se débarrasser de l'odeur qui l'affecte en utilisant un repos court pour se nettoyer avec de l'eau, de l'alcool, ou du vinaigre.</t>
  </si>
  <si>
    <t xml:space="preserve">Fomorien</t>
  </si>
  <si>
    <t xml:space="preserve">149 (13d12+65)</t>
  </si>
  <si>
    <t xml:space="preserve">Discrétion+3
Perception+8</t>
  </si>
  <si>
    <t xml:space="preserve">géant, commun des profondeurs</t>
  </si>
  <si>
    <t xml:space="preserve">- Sens vision dans le noir 36 m, Perception passive 18</t>
  </si>
  <si>
    <t xml:space="preserve">- Attaques multiples. Le fomorien attaque deux fois avec sa massue ou effectue une attaque avec sa massue et utilise une fois Mauvais œil.
- Massue. Attaque au corps à corps avec une arme : +9 au toucher, allonge 4,50 m, une cible. Touché : 19 (3d8 + 6) dégâts contondants.
- Mauvais Œil. Le fomorien force par magie une créature qu'il peut voir dans un rayon de 18 mètres autour de lui à effectuer un jet de sauvegarde de Charisme DD 14. La créature subit 24 (6d8) dégâts psychiques en cas d'échec, ou la moitié de ses dégâts en cas de réussite.
- Malédiction du mauvais oeil (Recharge après un repos court ou long). D'un regard, le fomorien utilise Mauvais Œil, mais en cas d'échec au jet de sauvegarde, la créature est également maudite de difformités magiques. Tant qu'elle est déformée, la créature a une vitesse divisée par deux et un désavantage aux jets de caractéristique, jets de sauvegarde et jets d'attaque basés sur la Force ou la Dextérité.
La créature transformée peut retenter son jet de sauvegarde chaque fois qu'elle finit un repos long, mettant fin à l'effet qui l'affecte en cas de réussite.</t>
  </si>
  <si>
    <t xml:space="preserve">Froghémoth</t>
  </si>
  <si>
    <t xml:space="preserve">Discrétion+5
Perception+9
JS CON+9
JS SAG+5</t>
  </si>
  <si>
    <t xml:space="preserve">- Résistances aux dégâts feu, foudre
- Sens vision dans le noir 18 m, Perception passive 19
- Amphibien. Le froghémoth peut respirer aussi bien dans l'air que sous l'eau.
- Vulnérabilité à l'électrocution. Si le froghémoth subit des dégâts de foudre, il souffre de plusieurs effets préjudiciables jusqu'à la fin de son prochain tour : sa vitesse est réduite de moitié, il subit un malus de -2 à la CA et aux jets de sauvegarde de Dextérité, il ne peut pas utiliser de réaction ou d'Attaques multiples, et au cours de son tour, il peut utiliser soit une action, soit une action bonus, mais pas les deux.</t>
  </si>
  <si>
    <t xml:space="preserve">-Attaques multiples. Le froghémoth effectue deux attaques avec ses tentacules. Il peut également utiliser son attaque de langue ou de morsure.
- Tentacule. Attaque au corps à corps avec une arme : +10 au toucher, allonge 6 m, une cible. Touché : 19 (3d8 + 6) dégâts contondants, et la cible est agrippée (évasion DD 16) si c'est une créature de taille TG ou plus petite. Tant que la cible est agrippée, le froghémoth ne peut plus utiliser ce tentacule sur une autre cible. Le froghémoth possède quatre tentacules.
- Morsure. Attaque au corps à corps avec une arme : +10 au toucher, allonge 1,50 m, une cible. Touché : 22 (3d10 + 6) dégâts perforants, et la cible est engloutie si c'est une créature de taille M ou inférieure. Une créature engloutie est aveuglée et entravée, elle bénéficie d'un abri total contre les attaques et effets provenant de l'extérieur du froghémoth, et subit 10 (3d6) dégâts d'acide au début de chacun des tours du froghémoth. Le gosier du froghémoth peut contenir jusqu'à deux créatures en même temps. Si le froghémoth subit 20 points de dégâts ou plus en un seul tour de la part d'une créature qu'il a avalée, il doit réussir un jet de sauvegarde de Constitution DD 20 à la fin de ce tour ou régurgiter toutes les créatures qu'il a englouties, chacune d'elles se retrouvant alors à terre, dans un rayon de 3 mètres autour du froghémoth. Si le froghémoth meurt, une créature avalée n'est plus entravée et peut s'échapper du cadavre du monstre en utilisant 3mètres de mouvement ; elle en sort et se retrouve à terre.
- Langue. Le froghémoth cible une créature de taille M ou inférieure qu'il peut voir dans un rayon de 6 mètres autour de lui. La cible doit effectuer un jet de sauvegarde de Force DD 18. En cas d'échec, la cible est attirée dans un espace inoccupé situé à 1,50 mètre autour du froghémoth, et le froghémoth effectue une attaque de morsure contre elle en utilisant une action bonus.</t>
  </si>
  <si>
    <t xml:space="preserve">Galeb Duhr</t>
  </si>
  <si>
    <t xml:space="preserve">85 (9d8+45)</t>
  </si>
  <si>
    <t xml:space="preserve">4,50 m (9 m lorsqu'il roule, 18 m s'il roule en descente)</t>
  </si>
  <si>
    <t xml:space="preserve">- Résistances aux dégâts contondant, perforant et tranchant d'attaques non magiques
- Immunités aux dégâts poison
- Immunités aux états épuisement, paralysé, empoisonné, pétrifié
- Sens vision dans le noir 18 m, perception des vibrations 18 m, Perception passive 11
- Apparence trompeuse. Tant que le galeb duhr reste immobile, il ne peut être distingué d'un rocher normal.
- Charge en roulade. Si le galeb duhr roule sur au moins 6 mètres droit sur une cible, puis la touche lors d'une attaque avec son coup dans le même tour, la cible subit 7 (2d6) dégâts contondants supplémentaires. Si la cible est une créature, elle doit réussir un jet de sauvegarde de Force DD 16 ou tomber à terre.</t>
  </si>
  <si>
    <t xml:space="preserve">- Coup. Attaque au corps à corps avec une arme : +8 au toucher, allonge 1,50 m, une cible. Touché : 12 (2d6 + 5) dégâts contondants.
- Animation de rochers (1/jour). Le galeb duhr anime magiquement jusqu'à 2 rochers qu'il peut voir et qui se trouvent dans un rayon de 18 mètres autour de lui. Un rocher a les mêmes statistiques que le galeb duhr, à l'exception de l'Intelligence et du Charisme (le rocher à une valeur de 1 dans ces deux caractéristiques), ne peut pas être charmé ou effrayé, et ne possède pas non plus l'option d'action Animation de rochers. Un rocher reste animé aussi longtemps que le galeb duhr maintient sa concentration, jusqu'à 1 minute maximum (de la même manière que s'il se concentrait sur un sort).</t>
  </si>
  <si>
    <t xml:space="preserve">Garde</t>
  </si>
  <si>
    <t xml:space="preserve">Lance. Attaque au corps à corps ou à distance avec une arme : +3 au toucher, allonge 1,50 m ou portée 6/18 m, une cible. Touché : 4 (1d6 + 1) dégâts perforants ou 5 (1d8 + 1) dégâts perforants si utilisée à deux mains pour faire une attaque au corps à corps.</t>
  </si>
  <si>
    <t xml:space="preserve">Garde nain fanatique</t>
  </si>
  <si>
    <t xml:space="preserve">Religion +2, Supercherie +2</t>
  </si>
  <si>
    <t xml:space="preserve">commun, nain</t>
  </si>
  <si>
    <t xml:space="preserve">-Sombre dévotion. Quand il effectue un jet de sauvegarde pour ne pas être charmé ou terrorisé, le garde bénéficie de l'avantage.</t>
  </si>
  <si>
    <t xml:space="preserve">-Masse d'arme. CAC: +3 pour toucher
Touché: 4 (1d6+1) dégâts contondants.</t>
  </si>
  <si>
    <t xml:space="preserve">Gardien animé</t>
  </si>
  <si>
    <t xml:space="preserve">comprends les ordres dans toutes les langues mais ne peut pas parler</t>
  </si>
  <si>
    <t xml:space="preserve">- Sens vision aveugle 3 m, vision dans le noir 18 m, Perception passive 10
- Immunités aux dégâts poison
- Immunités aux états charmé, épuisement, effrayé, paralysé, empoisonné
- Lien. Le gardien animé est connecté magiquement à une amulette. Tant que le gardien et son amulette sont dans le même plan d'existence, le porteur de l'amulette peut appeler télépathiquement le gardien animé à le rejoindre, et le gardien sait automatiquement à quelle distance et dans quelle direction se trouve l'amulette. Si le gardien se trouve à 18 mètres ou moins du porteur de l'amulette, la moitié des dégâts que le porteur subit (arrondis au supérieur) est transférée au gardien.
- Régénération. Le gardien animé récupère 10 points de vie au début de son tour s'il possède au moins 1 point de vie.
- Réservoir de sort. Un lanceur de sorts qui porte l'amulette du gardien animé peut faire en sorte que le garde animé emmagasine un sort de niveau 4 ou inférieur. Pour ce faire, le porteur de l'amulette doit lancer le sort sur le gardien. Le sort n'a pas d'effet mais il est stocké dans le gardien. Lorsque le porteur de l'amulette le lui ordonne, ou lorsqu'une situation définie à l'avance par le lanceur de sorts survient, le gardien animé lance le sort emmagasiné avec tous les paramètres établis par le lanceur de sorts originel, et sans avoir besoin de composantes. Lorsque le sort est lancé ou lorsqu'un nouveau sort est emmagasiné, tout sort précédemment stocké est perdu.</t>
  </si>
  <si>
    <t xml:space="preserve">- Attaques multiples. Le gardien animé effectue deux attaques avec ses poings.
- Poing. Attaque au corps à corps avec une arme : +7 au toucher, allonge 1,50 m, une cible. Touché : 11 (2d6 + 4) dégâts contondants.</t>
  </si>
  <si>
    <t xml:space="preserve">- Bouclier. Lorsqu'une créature effectue une attaque contre le porteur de l'amulette, le gardien animé confère au porteur de l'amulette un bonus de +2 à la CA s'ils se trouvent à 1,50 mètre ou moins l'un de l'autre.</t>
  </si>
  <si>
    <t xml:space="preserve">Gargouille</t>
  </si>
  <si>
    <t xml:space="preserve">- Résistances aux dégâts contondant, perforant et tranchant d'attaques non magiques qui ne sont pas en adamantium
- Immunités aux dégâts poison
- Immunités aux états épuisement, pétrifié, empoisonné
- Sens vision dans le noir 18 m, Perception passive 10
- Apparence trompeuse. Tant que la gargouille reste immobile, elle ne peut être distinguée d'une statue normale.</t>
  </si>
  <si>
    <t xml:space="preserve">- Attaques multiples. La gargouille effectue deux attaques : une de morsure et une avec ses griffes.
- Griffes. Attaque au corps à corps avec une arme : +4 au toucher, allonge 1,50 m, une cible. Touché : 5 (1d6 + 2) dégâts tranchants.
- Morsure. Attaque au corps à corps avec une arme : +4 au toucher, allonge 1,50 m, une cible. Touché : 5 (1d6 + 2) dégâts perforants.</t>
  </si>
  <si>
    <t xml:space="preserve">Garou-Chacal</t>
  </si>
  <si>
    <t xml:space="preserve">Humanoïde (métamorphe)</t>
  </si>
  <si>
    <t xml:space="preserve">18 (4d8)</t>
  </si>
  <si>
    <t xml:space="preserve">Discrétion+4
Perception+2
Tromperie+4</t>
  </si>
  <si>
    <t xml:space="preserve">commun (ne peut pas parler sous forme de chacal)</t>
  </si>
  <si>
    <t xml:space="preserve">- Immunités aux dégâts contondant, perforant et tranchant d'attaques non magiques qui ne sont pas en argent
- Sens Perception passive 12
- Métamorphe. Le garou-chacal peut utiliser son action pour se métamorphoser en un humain de taille M ou en un hybride chacal-humanoïde, ou pour reprendre sa forme véritable (un chacal de taille P). Mise à part sa taille, ses statistiques sont les mêmes quelle que soit sa forme. L'équipement qu'il porte ou transporte ne se transforme pas. Il retrouve sa forme véritable s'il meurt.
- Odorat et ouïe aiguisés. Le garou-chacal a un avantage aux jets de Sagesse (Perception) basés sur l'ouïe ou l'odorat.
- Tactique de groupe. Le garou-chacal a un avantage aux jets d'attaque contre une créature si au moins l'un de ses alliés est à 1,50 mètre ou moins de la créature et n'est pas incapable d'agir.</t>
  </si>
  <si>
    <t xml:space="preserve">- Morsure (forme de chacal ou hybride uniquement). Attaque au corps à corps avec une arme : +4 au toucher, allonge 1,50 m, une cible. Touché : 4 (1d4 + 2) dégâts perforants.
- Cimeterre (forme humanoïde ou hybride uniquement). Attaque au corps à corps avec une arme : +4 au toucher, allonge 1,50 m, une cible. Touché : 5 (1d6 + 2) dégâts tranchants.
- Regard soporifique. Le garou-chacal fixe du regard une créature qu'il peut voir et située dans un rayon de 9 mètres autour de lui. La cible doit effectuer un jet de sauvegarde de Sagesse DD 10. Si elle l'échoue, la cible succombe à un sommeil magique, tombant inconsciente pour 10 minutes ou jusqu'à ce que quelqu'un utilise une action pour la secouer et ainsi la réveiller. Une créature qui réussit son jet de sauvegarde contre cet effet devient immunisée au regard soporifique de ce garou-chacal pour les prochaines 24 heures. Les morts-vivants et les créatures immunisées aux charmes ne sont pas affectées par cet effet.</t>
  </si>
  <si>
    <t xml:space="preserve">Gauth</t>
  </si>
  <si>
    <t xml:space="preserve">0 m, vol 6 m (stationnaire)</t>
  </si>
  <si>
    <t xml:space="preserve">Perception+5
JS INT+5
JS SAG+5
JS CHA+4</t>
  </si>
  <si>
    <t xml:space="preserve">- Immunités aux états à terre
- Sens vision dans le noir 36 m, Perception passive 15
- Regard étourdissant. Lorsqu'une créature qui peut voir l'œil central du gauth débute son tour dans un rayon de 9 mètres du gauth, le gauth la force à effectuer un jet de sauvegarde de Sagesse DD 14 s'il n'est pas lui-même incapable d'agir ou de voir la créature. Une créature qui échoue ce jet de sauvegarde est étourdie jusqu'au début de son prochain tour. À moins qu'elle soit surprise, une créature peut détourner les yeux au début de son tour pour éviter d'avoir à effectuer le jet de sauvegarde. Ce faisant, elle ne peut pas voir le gauth jusqu'au début de son prochain tour, où elle pourra de nouveau détourner le regard. Si la créature regarde le gauth entretemps, elle doit immédiatement effectuer le jet de sauvegarde.
- Spasmes d'agonie. Lorsque le gauth meurt, l'énergie magique qu'il contient explose, et chaque créature dans un rayon de 3 mètres autour de lui doit effectuer un jet de sauvegarde de Dextérité DD 14, subissant 13 (3d8) dégâts de force en cas d'échec, ou la moitié de ces dégâts en cas de réussite.</t>
  </si>
  <si>
    <t xml:space="preserve">- Morsure. Attaque au corps à corps avec une arme : +6 au toucher, allonge 1,50 m, une cible. Touché : 9 (2d8) dégâts perforants.
- Rayons oculaires. Le gauth tire aléatoirement trois des rayons oculaires magiques suivants (relancez les jets identiques) sur une à trois cibles qu'il peut voir dans un rayon de 36 mètres :
  1- Rayon d'absorption de la magie. La créature ciblée doit réussir un jet de sauvegarde de Dextérité DD 14 ou voir l'un de ses objets magiques perdre toutes ses propriétés magiques jusqu'au début du prochain tour du gauth. Si l'objet est un objet à charge, il perd également 1d4 charges. Déterminez de manière aléatoire l'objet affecté, mais ignorez les objets à usage unique comme les potions et les parchemins.
  2- Rayon affaiblissant. La créature ciblée doit effectuer un jet de sauvegarde de Constitution DD 14, subissant 18 (4d8) dégâts nécrotiques en cas d'échec, ou la moitié de ces dégâts en cas de réussite.
  3- Rayon répulsif. La créature ciblée doit réussir un jet de sauvegarde de Force DD 14 ou être repoussée du gauth sur 4,50 mètres et voir sa vitesse de déplacement réduite de moitié jusqu'au début du prochain tour du gauth.
  4- Rayon de feu. La créature ciblée doit réussir un jet de sauvegarde de Dextérité DD 14 ou subir 22 (4d10) dégâts de feu.
  5- Rayon paralysant. La créature ciblée doit réussir un jet de sauvegarde de Constitution DD 14 ou être paralysée pendant 1 minute. La cible peut retenter ce jet de sauvegarde à la fin de chacun de ses tours, mettant fin à l'effet qui l'affecte en cas de réussite.
  6- Rayon de sommeil. La créature ciblée doit réussir un jet de sauvegarde de Sagesse DD 14 ou être endormie et rester inconsciente pendant 1 minute. La cible se réveille si elle subit des dégâts ou si une autre créature utilise une action pour la réveiller. Ce rayon n'a pas d'effet sur les morts-vivants et les artificiels.</t>
  </si>
  <si>
    <t xml:space="preserve">Gazer</t>
  </si>
  <si>
    <t xml:space="preserve">13 (3d4+6)</t>
  </si>
  <si>
    <t xml:space="preserve">Perception+4
Discrétion+5
JS SAG+2</t>
  </si>
  <si>
    <t xml:space="preserve">- Immunités aux états à terre
- Sens vision dans le noir 18 m, Perception passive 14
- Agressif. Par une action bonus, le gazer peut se déplacer à sa vitesse vers une créature hostile qu'il peut voir.
- Imitation. Le gazer peut reproduire des sons de voix simples qu'il a entendus, dans n'importe quelle langue. Une créature qui entend ces sons peut dire qu'il s'agit d'imitation en réussissant un jet de Sagesse (Intuition) DD 10.</t>
  </si>
  <si>
    <t xml:space="preserve">- Morsure. Attaque au corps à corps avec une arme : +5 au toucher, allonge 1,50 m, une cible. Touché : 1 dégât perforant.
- Rayons oculaires. Le gazer tire aléatoirement deux des rayons oculaires magiques suivants (relancez les jets identiques) sur une ou deux cibles qu'il peut voir dans un rayon de 18 mètres :
  1- Rayon étourdissant. La créature ciblée doit réussir un jet de sauvegarde de Sagesse DD 12 ou être charmée jusqu'au début du prochain tour du gazer. Tant que la cible est charmée de cette manière, sa vitesse est réduite de moitié et elle a un désavantage aux jets d'attaque.
  2- Rayon de la peur. La créature ciblée doit réussir un jet de sauvegarde de Sagesse DD 12 ou être effrayée jusqu'au début du prochain tour du gazer.
  3- Rayon de givre. La créature ciblée doit réussir un jet de sauvegarde de Dextérité DD 12 ou subir 10 (3d6) dégâts de froid.
  4- Rayon télékinétique. Si la cible est une créature de taille M ou plus petite, elle doit effectuer un jet de sauvegarde de Force DD 12. En cas d'échec, le gazer la déplace sur 9 mètres maximum dans n'importe quelle direction. Si la cible est un objet, pesant 5 kg ou moins, qui n'est pas tenu ni porté, il est déplacé de 9 mètres dans n'importe quelle direction. Le gazer peut également exercer un contrôle très fin sur les objets grâce à ce rayon, comme manipuler un simple outil ou ouvrir une porte ou un conteneur.</t>
  </si>
  <si>
    <t xml:space="preserve">Géant des collines</t>
  </si>
  <si>
    <t xml:space="preserve">105 (10d12+40)</t>
  </si>
  <si>
    <t xml:space="preserve">- Attaques multiples. Le géant effectue deux attaques avec sa massue.
- Massue. Attaque au corps à corps avec une arme : +8 au toucher, allonge 3 m, une cible. Touché : 18 (3d8 + 5) dégâts contondants.
- Rocher. Attaque à distance avec une arme : +8 au toucher, portée 18/72 m, une cible. Touché : 21 (3d10 + 5) dégâts contondants.</t>
  </si>
  <si>
    <t xml:space="preserve">Géant des nuages</t>
  </si>
  <si>
    <t xml:space="preserve">NB ou NM</t>
  </si>
  <si>
    <t xml:space="preserve">Intuition+7
Perception+7
JS CON+10
JS SAG+7
JS CHA+7</t>
  </si>
  <si>
    <t xml:space="preserve">commun, géant</t>
  </si>
  <si>
    <t xml:space="preserve">- Sens Perception passive 17
- Odorat aiguisé. Le géant a un avantage aux jets de Sagesse (Perception) basés sur l'odorat.
- Incantation innée. La caractéristique d'incantation innée du géant est le Charisme. Il peut lancer les sorts suivants de manière innée, sans avoir besoin de composantes matérielles :
  - À volonté : détection de la magie, nappe de brouillard, lumière
  - 3/jour chacun : feuille morte, vol, foulée brumeuse, télékinésie
  - 1/jour chacun : contrôle du climat, forme gazeuse</t>
  </si>
  <si>
    <t xml:space="preserve">- Attaques multiples. Le géant effectue deux attaques avec la morgenstern.
- Morgenstern. Attaque au corps à corps avec une arme : +12 au toucher, allonge 3 m, une cible. Touché : 21 (3d8 + 8) dégâts perforants.
- Rocher. Attaque à distance avec une arme : +12 au toucher, portée 18/72 m, une cible. Touché : 30 (4d10 + 8) dégâts contondants.</t>
  </si>
  <si>
    <t xml:space="preserve">Géant des nuages, tout-sourire</t>
  </si>
  <si>
    <t xml:space="preserve">Escamotage +9
Intuition +7
Perception +7
Tromperie +11
JS CON+10
JS INT+6
JS CHA+7</t>
  </si>
  <si>
    <t xml:space="preserve">- Sens Perception passive 17
- Incantation innée. La caractéristique d'incantation innée du géant est le Charisme (jet de sauvegarde contre ses sorts DD 15). Il peut lancer les sorts suivants de manière innée, sans avoir besoin de composantes matérielles :
  - À volonté : détection de la magie, nappe de brouillard, lumière
  - 3/jour chacun : feuille morte, vol, foulée brumeuse, télékinésie
  - 1/jour chacun : contrôle du climat, forme gazeuse
- Incantation. Le géant est un lanceur de sorts de niveau 5. Sa caractéristique d'incantation est le Charisme (jet de sauvegarde contre ses sorts DD 15, +7 au toucher pour les attaques avec un sort). Le géant a préparé les sorts de barde suivants :
  - Sorts mineurs (à volonté) : illusion mineure, prestidigitation, moquerie cruelle
  - Niveau 1 (4 emplacements) : soins, déguisement, image silencieuse, fou rire de Tasha
  - Niveau 2 (3 emplacements) : invisibilité, suggestion
  - Niveau 3 (2 emplacements) : image majeure, don des langues
- Odorat aiguisé. Le géant a un avantage aux jets de Sagesse (Perception) basés sur l'odorat.e</t>
  </si>
  <si>
    <t xml:space="preserve">- Attaques multiples. Le géant effectue deux attaques avec sa morgenstern.
- Morgenstern. Attaque au corps à corps avec une arme : +12 au toucher, allonge 3 m, une cible. Touché : 21 (3d8 + 8) dégâts contondants. L'attaque inflige 14 (4d6) dégâts supplémentaires si le géant a un avantage au jet d'attaque.
- Rocher. Attaque à distance avec une arme : +12 au toucher, portée 18/72 m, une cible. Touché : 30 (4d10 + 8) dégâts contondants. L'attaque inflige 14 (4d6) dégâts supplémentaires si le géant a un avantage au jet d'attaque.
- Changement de forme. Le géant se métamorphose magiquement en une bête ou un humanoïde qu'il a déjà vu, ou revient à sa forme véritable. Ses statistiques, autres que sa taille, sont les mêmes qu'elle que soit sa forme. L'équipement qu'il porte ou transporte est absorbé par sa nouvelle forme. Le géant retrouve sa forme véritable s'il est tué.</t>
  </si>
  <si>
    <t xml:space="preserve">Géant des pierres</t>
  </si>
  <si>
    <t xml:space="preserve">126 (11d12+55)</t>
  </si>
  <si>
    <t xml:space="preserve">Athlétisme+12
Perception+4
JS DEX+5
JS CON+8
JS SAG+4</t>
  </si>
  <si>
    <t xml:space="preserve">- Sens vision dans le noir 18 m, Perception passive 14
- Camouflage dans les rochers. Le géant a un avantage aux jets de Dextérité (Discrétion) effectués pour se cacher sur un terrain rocailleux.</t>
  </si>
  <si>
    <t xml:space="preserve">- Attaques multiples. Le géant effectue deux attaques avec la massue.
- Massue. Attaque au corps à corps avec une arme : +9 au toucher, allonge 4,50 m, une cible. Touché : 19 (3d8 + 6) dégâts contondants.
- Rocher. Attaque à distance avec une arme : +9 au toucher, portée 18/72 m, une cible. Touché : 28 (4d10 + 6) dégâts contondants. Si la cible est une créature, elle doit réussir un jet de sauvegarde de Force DD 17 ou tomber à terre.</t>
  </si>
  <si>
    <t xml:space="preserve">- Réception de rocher. Si un rocher ou un objet similaire est envoyé au géant, le géant peut, s'il réussit un jet de sauvegarde de Dextérité DD 10, attraper le projectile et ainsi en éviter les dégâts contondants.</t>
  </si>
  <si>
    <t xml:space="preserve">Géant des pierres, marcherêve</t>
  </si>
  <si>
    <t xml:space="preserve">161 (14d12+70)</t>
  </si>
  <si>
    <t xml:space="preserve">Athlétisme+14
Perception+3
JS DEX+6
JS CON+9
JS SAG+3</t>
  </si>
  <si>
    <t xml:space="preserve">- Sens vision dans le noir 18 m, Perception passive 13
- Charme de Marcherêve. Un ennemi qui débute son tour dans un rayon de 9 mètres autour du géant doit effectuer un jet de sauvegarde de Charisme DD 13, à condition que le géant ne soit pas incapable d'agir. En cas d'échec, la créature est charmée par le géant. Une créature charmée de la sorte peut retenter son jet de sauvegarde à la fin de chacun de ses tours, mettant fin à l'effet qui l'affecte en cas de réussite. Une fois qu'elle a réussi son jet de sauvegarde, la créature est immunisée au Charme de Marcherêve de ce géant pour les 24 prochaines heures.</t>
  </si>
  <si>
    <t xml:space="preserve">- Attaques multiples. Le géant effectue deux attaques avec la massue.
- Massue. Attaque au corps à corps avec une arme : +10 au toucher, allonge 4,50 m, une cible. Touché : 19 (3d8 + 6) dégâts contondants.
- Contact pétrifiant. Le géant touche une créature de taille M ou inférieure se trouvant dans un rayon de 3 mètres autour de lui et qui est sous l'effet de son Charme de Marcherêve. La cible doit effectuer un jet de sauvegarde de Constitution DD 17. En cas d'échec, la cible est pétrifiée, et le géant peut coller le corps de la cible à son propre corps de pierre. Un sort de restauration supérieure ou d'autres effets magiques similaires qui peuvent annuler la pétrification n'ont aucun effet sur une créature pétrifiée collée au géant à moins que le géant ne meurt, auquel cas la magie fonctionne normalement, libérant la créature pétrifiée et mettant fin à l'état pétrifié qui l'affecte.
Rocher. Attaque à distance avec une arme : +10 au toucher, portée 18/72 m, une cible. Touché : 28 (4d10 + 6) dégâts contondants. Si la cible est une créature, elle doit réussir un jet de sauvegarde de Force DD 17 ou tomber à terre.</t>
  </si>
  <si>
    <t xml:space="preserve">Géant des tempêtes</t>
  </si>
  <si>
    <t xml:space="preserve">230 (20d12+100)</t>
  </si>
  <si>
    <t xml:space="preserve">Arcanes +8
Athlétisme +14
Histoire +8
Perception +9
JS FOR+14
JS CON+10
JS SAG+9
JS CHA+9</t>
  </si>
  <si>
    <t xml:space="preserve">- Résistances aux dégâts froid
- Immunités aux dégâts foudre, tonnerre
- Sens Perception passive 19
- Amphibien. Le géant peut respirer aussi bien dans l'air que sous l'eau.
- Incantation innée. La caractéristique d'incantation innée du géant est le Charisme (jet de sauvegarde contre ses sorts DD 17). Il peut lancer les sorts suivants de manière innée, sans avoir besoin de composantes matérielles :
  - À volonté : détection de la magie, feuille morte, lévitation, lumière
  - 3/jour chacun : contrôle du climat, respiration aquatique</t>
  </si>
  <si>
    <t xml:space="preserve">- Attaques multiples. Le géant effectue deux attaques d'épée à deux mains.
- Épée à deux mains. Attaque au corps à corps avec une arme : +14 au toucher, allonge 3 m, une cible. Touché : 30 (6d6 + 9) dégâts tranchants.
- Rocher. Attaque à distance avec une arme : +14 au toucher, portée 18/72 m, une cible. Touché : 35 (4d12 + 9) dégâts contondants.
- Frappe foudroyante (Recharge 5-6). Le géant projette un éclair magique en un point qu'il peut voir dans un rayon de 150 mètres autour de lui. Chaque créature se trouvant dans un rayon de 3 mètres autour de ce point doit effectuer un jet de sauvegarde de Dextérité DD 17, subissant 54 (12d8) dégâts de foudre en cas d'échec, ou la moitié de ces dégâts en cas de réussite.</t>
  </si>
  <si>
    <t xml:space="preserve">Géant des tempêtes, quintessent</t>
  </si>
  <si>
    <t xml:space="preserve">15 m, nage 15 m, vol 15 m (stationnaire)</t>
  </si>
  <si>
    <t xml:space="preserve">Arcanes +8
Histoire +8
Perception +10
JS FOR+14
JS CON+10
JS SAG+10
JS DEX+9</t>
  </si>
  <si>
    <t xml:space="preserve">- Résistances aux dégâts froid ; contondant, perforant et tranchant d'attaques non magiques
- Immunités aux dégâts foudre, tonnerre
- Sens vision véritable 18 m, Perception passive 20
- Amphibien. Le géant peut respirer aussi bien dans l'air que sous l'eau.</t>
  </si>
  <si>
    <t xml:space="preserve">- Attaques multiples. Le géant effectue deux attaques d'Épée de foudre ou utilise Javeline de vent deux fois.
- Épée de foudre. Attaque au corps à corps avec une arme : +14 au toucher, allonge 4,50 m, une cible. Touché : 40 (9d6 + 9) dégâts de foudre.
- Javeline de vent. Le géant donne au vent une forme semblable à une javeline et la jette sur une créature qu'il peut voir à 180 mètres ou moins de lui. La javeline est considérée comme une arme magique et inflige 19 (3d6 + 9) dégâts perforants à la cible, frappant infailliblement. La javeline disparaît après avoir touché sa cible.</t>
  </si>
  <si>
    <t xml:space="preserve">- Le géant peut effectuer 3 actions légendaires, en choisissant parmi les options suivantes. Une seule action légendaire peut être utilisée à la fois et seulement à la fin du tour d'une autre créature. Le géant récupère les actions légendaires dépensées au début de son tour.
- Rafale de vent. Le géant cible une créature qu'il peut voir dans un rayon de 18 mètres et crée une rafale de vent magique autour d'elle. La cible doit réussir un jet de sauvegarde de Force DD 18 ou être poussée de 6 mètres dans n'importe quelle direction horizontale choisie par le géant.
- Foudre (2 actions). Le géant lance la foudre sur une créature qu'il peut voir dans un rayon de 180 mètres. La cible doit effectuer un jet de sauvegarde de Dextérité DD 18, subissant 22 (4d10) dégâts de tonnerre en cas d'échec, ou la moitié de ces dégâts en cas de réussite.
- Maître des tempêtes (3 actions). Le géant disparaît, se dispersant dans la tempête entourant son repaire. Le géant peut mettre fin à cet effet au début de n'importe lequel de ses tours, redevenant un géant et apparaissant à n'importe quel endroit de son choix dans son antre. Lorsqu'il est dispersé, le géant ne peut entreprendre aucune action autre que des actions de repaire, et il ne peut pas être ciblé par des attaques, des sorts ou d'autres effets. Le géant ne peut pas utiliser cette capacité en dehors de son repaire, ni utiliser cette capacité si une autre créature utilise un sort de contrôle du climat ou une magie similaire pour étouffer la tempête.</t>
  </si>
  <si>
    <t xml:space="preserve">Géant du feu</t>
  </si>
  <si>
    <t xml:space="preserve">162 (13d12+78)</t>
  </si>
  <si>
    <t xml:space="preserve">Athlétisme+11
Perception+6
JS DEX+3
JS CON+10
JS CHA+5</t>
  </si>
  <si>
    <t xml:space="preserve">- Immunités aux dégâts feu
- Sens Perception passive 16</t>
  </si>
  <si>
    <t xml:space="preserve">- Attaques multiples. Le géant effectue deux attaques d'épée à deux mains.
- Épée à deux mains. Attaque au corps à corps avec une arme : +11 au toucher, allonge 3 m, une cible. Touché : 28 (6d6 + 7) dégâts tranchants.
- Rocher. Attaque à distance avec une arme : +11 au toucher, portée 18/72 m, une cible. Touché : 29 (4d10 + 7) dégâts contondants.</t>
  </si>
  <si>
    <t xml:space="preserve">Géant du feu, cuirassé</t>
  </si>
  <si>
    <t xml:space="preserve">187 (15d12+90)</t>
  </si>
  <si>
    <t xml:space="preserve">Athlétisme+13
Perception+5
JS DEX+4
JS CON+11
JS CHA+5</t>
  </si>
  <si>
    <t xml:space="preserve">- Immunités aux dégâts feu
- Sens Perception passive 15
- Double boucliers. Le géant porte deux boucliers, chacun étant comptabilisé dans la CA du géant. Le géant doit ranger ou lâcher l'un de ses boucliers pour pouvoir lancer des rochers.</t>
  </si>
  <si>
    <t xml:space="preserve">- Attaques multiples. Le géant effectue deux attaques de Bouclier de feu.
- Bouclier de feu. Attaque au corps à corps avec une arme : + 13 au toucher, allonge 1,50 m, une cible. Touché : 22 (4d6 + 8) dégâts contondants + 7 (2d6) dégâts de feu + 7 (2d6) dégâts perforants.
- Rocher. Attaque à distance avec une arme : +13 au toucher, portée 18/72 m, une cible. Touché : 30 (4d10 + 8) dégâts contondants.
- Charge avec bouclier. Le géant se déplace jusqu'à 9 mètres en ligne droite et peut se déplacer dans l'espace de n'importe quelle créature de taille inférieure à TG. La première fois qu'il pénètre dans l'espace d'une créature pendant ce mouvement, il effectue une attaque de Bouclier de feu contre cette créature. Si l'attaque touche, la cible doit également réussir un jet de sauvegarde de Force DD 21 ou être repoussée devant le géant pour le reste de ce mouvement. Si une créature échoue à la sauvegarde de 5 ou plus, elle tombe également à terre et subit 18 (3d6 + 8) dégâts contondants, ou 29 (6d6 + 8) dégâts contondants si elle était déjà à terre.</t>
  </si>
  <si>
    <t xml:space="preserve">Géant du givre</t>
  </si>
  <si>
    <t xml:space="preserve">Athlétisme+9
Perception+3
JS CON+8
JS SAG+3
JS CHA+4</t>
  </si>
  <si>
    <t xml:space="preserve">- Immunités aux dégâts froid
- Sens Perception passive 13</t>
  </si>
  <si>
    <t xml:space="preserve">- Attaques multiples. Le géant effectue deux attaques avec la hache à deux mains.
- Hache à deux mains. Attaque au corps à corps avec une arme : +9 au toucher, allonge 3 m, une cible. Touché : 25 (3d12 + 6) dégâts tranchants.
- Rocher. Attaque à distance avec une arme : +9 au toucher, portée 18/72 m, une cible. Touché : 28 (4d10 + 6) dégâts contondants.</t>
  </si>
  <si>
    <t xml:space="preserve">Géant du givre, éternel</t>
  </si>
  <si>
    <t xml:space="preserve">189 (14d12+98)</t>
  </si>
  <si>
    <t xml:space="preserve">Athlétisme+11
Perception+4
JS FOR+11
JS CON+11
JS SAG+4</t>
  </si>
  <si>
    <t xml:space="preserve">- Immunités aux dégâts froid
- Sens vision dans le noir 18 m, Perception passive 14
- Têtes supplémentaires. Le géant a 25 % de chances d'avoir plus d'une tête. S'il en a plus d'une, il a un avantage aux jets de Sagesse (Perception) et aux jets de sauvegarde pour ne pas être aveuglé, charmé, assourdi, effrayé, étourdi ou inconscient.
- Régénération. Le géant récupère 10 points de vie au début de son tour. Si le géant subit des dégâts d'acide ou de feu, cette capacité ne fonctionne pas au début de son prochain tour. Le géant ne meurt que s'il commence son tour avec 0 point de vie et ne se régénère pas.
- Rage de Vaprak (Recharge après un repos court ou long). Par une action bonus, le géant peut entrer en rage au début de son tour. La rage dure 1 minute ou jusqu'à ce que le géant soit incapable d'agir. S'il est en rage, le géant bénéficie des avantages suivants :
  • Le géant a un avantage aux jets de Force et aux jets de sauvegarde de Force.
  • Lorsqu'il effectue une attaque au corps à corps avec une arme, le géant gagne un bonus de +4 au jet de dégâts.
  • Le géant a la résistance aux dégâts contondants, perforants et tranchants.</t>
  </si>
  <si>
    <t xml:space="preserve">- Attaques multiples. Le géant effectue deux attaques avec sa grande hache.
- Hache à deux mains. Attaque au corps à corps avec une arme : +11 au toucher, allonge 3 m, une cible. Touché : 26 (3d12 + 7) dégâts tranchants, ou 30 (3d12 + 11) dégâts tranchants pendant la rage.
- Rocher. Attaque à distance avec une arme : +11 au toucher, portée 18/72 m, une cible. Touché : 29 (4d10 + 7) dégâts contondants.</t>
  </si>
  <si>
    <t xml:space="preserve">Gelée ocre</t>
  </si>
  <si>
    <t xml:space="preserve">3 m, escalade 3m</t>
  </si>
  <si>
    <t xml:space="preserve">- Résistance aux dégâts d’acide
- Immunité contre les dégâts de foudre et tranchants
- Immunité contre les états à terre, assourdi, aveuglé, charmé et terrorisé
- Sens vision aveugle 18 m (aveugle au-delà de ce rayon),
- Perception passive 8
- Informe. La gelée peut traverser sans devoir se faufiler un interstice d’une largeur minimale de 2 à 3 centimètres.
- Pattes d’araignée. La gelée peut escalader les surfaces difficiles, y compris les plafonds la tête en bas, sans qu’un test de caractéristique soit nécessaire.</t>
  </si>
  <si>
    <t xml:space="preserve">- Pseudopode. Attaque d’arme au corps à corps : +4 pour toucher, allonge 1,50 m, une cible. Touché : 9 (2d6+2) dégâts contondants plus 3 (1d6) dégâts d’acide.</t>
  </si>
  <si>
    <t xml:space="preserve">Division. Quand une gelée de taille Moyenne ou plus grande subit
des dégâts tranchants ou de foudre, elle se divise en deux nouvelles
gelées s’il lui reste au moins 10 points de vie. Chaque nouvelle
gelée possède un nombre de points de vie égal à la moitié (arrondie
à l’inférieur) de ceux possédés par la gelée d’origine. La taille des
nouvelles gelées est d’une catégorie inférieure à la gelée d’origine.</t>
  </si>
  <si>
    <t xml:space="preserve">Girallon</t>
  </si>
  <si>
    <t xml:space="preserve">59 (7d10+21)</t>
  </si>
  <si>
    <t xml:space="preserve">- Sens vision dans le noir 18 m, Perception passive 13
- Agressif. Par une action bonus, le girallon peut se déplacer de sa vitesse vers une créature hostile qu'il peut voir.
- Odorat aiguisé. Le girallon a un avantage aux jets de Sagesse (Perception) basés sur l'odorat.</t>
  </si>
  <si>
    <t xml:space="preserve">- Attaques multiples. Le girallon effectue cinq attaques : une de morsure et quatre avec ses griffes.
- Morsure. Attaque au corps à corps avec une arme : +6 au toucher, allonge 1,50 m, une créature. Touché : 7 (1d6 + 4) dégâts perforants.
- Griffes. Attaque au corps à corps avec une arme : +6 au toucher, allonge 3 m, une cible. Touché : 7 (1d6 + 4) dégâts tranchants.</t>
  </si>
  <si>
    <t xml:space="preserve">Githyanki, chevalier</t>
  </si>
  <si>
    <t xml:space="preserve">Humanoïde (gith)</t>
  </si>
  <si>
    <t xml:space="preserve">91 (14d8+28)</t>
  </si>
  <si>
    <t xml:space="preserve">JS CON+5
JS INT+5
JS SAG+5</t>
  </si>
  <si>
    <t xml:space="preserve">gith</t>
  </si>
  <si>
    <t xml:space="preserve">- Sens Perception passive 12
- Incantation innée (psioniques). La caractéristique d'incantation innée du githyanki est l'Intelligence (jet de sauvegarde contre ses sorts DD 13, +5 au toucher pour les attaques avec un sort). Il peut lancer les sorts suivants de manière innée, sans avoir besoin d'aucune composante :
  - À volonté : main de mage (la main est invisible)
  - 3/jour chacun : saut, foulée brumeuse, antidétection (personnel uniquement), don des langues
  - 1/jour chacun : changement de plan, télékinésies</t>
  </si>
  <si>
    <t xml:space="preserve">- Attaques multiples. Le githyanki effectue deux attaques d'épée à deux mains en argent.
- Épée à deux mains en argent. Attaque au corps à corps avec une arme : +9 au toucher, allonge 1,50 m, une cible. Touché : 13 (2d6 + 6) dégâts tranchants + 10 (3d6) dégâts psychiques. C'est une attaque avec une arme magique. En cas de coup critique contre une cible avec un corps astral (comme celui conféré par le sort projection astrale), le githyanki peut trancher le cordon argenté qui relie la cible à son corps matériel, au lieu de lui infliger des dégâts.</t>
  </si>
  <si>
    <t xml:space="preserve">Githyanki, guerrier</t>
  </si>
  <si>
    <t xml:space="preserve">49 (9d8+9)</t>
  </si>
  <si>
    <t xml:space="preserve">JS CON+3
JS INT+3
JS SAG+3</t>
  </si>
  <si>
    <t xml:space="preserve">- Sens Perception passive 11
- Incantation innée (psioniques). La caractéristique d'incantation innée du githyanki est l'Intelligence. Il peut lancer les sorts suivants de manière innée, sans avoir besoin d'aucune composante :
  - À volonté : main de mage (la main est invisible)
  - 3/jour chacun : saut, foulée brumeuse, antidétection (personnel uniquement)</t>
  </si>
  <si>
    <t xml:space="preserve">- Attaques multiples. Le githyanki effectue deux attaques d'épée à deux mains.
- Épée à deux mains. Attaque au corps à corps avec une arme : +4 au toucher, allonge 1,50 m, une cible. Touché : 9 (2d6 + 2) dégâts tranchants + 7 (2d6) dégâts psychiques.</t>
  </si>
  <si>
    <t xml:space="preserve">Githzerai, moine</t>
  </si>
  <si>
    <t xml:space="preserve">Intuition+4
Perception+4
JS FOR+3
JS DEX+4
JS INT+3
JS SAG+4</t>
  </si>
  <si>
    <t xml:space="preserve">- Sens Perception passive 14
- Incantation innée (psioniques). La caractéristique d'incantation innée du githzerai est la Sagesse. Il peut lancer les sorts suivants de manière innée, sans avoir besoin d'aucune composante :
  - À volonté : main de mage (la main est invisible)
  - 3/jour chacun : feuille morte, saut, voir l'invisible, bouclier
- Défense psychique. Tant que le githzerai ne porte pas d'armure et ne tient aucun bouclier, sa CA prend en compte son modificateur de Sagesse.</t>
  </si>
  <si>
    <t xml:space="preserve">- Attaques multiples. Le githzerai effectue deux attaques à mains nues.
- Attaque à mains nues. Attaque au corps à corps avec une arme : +4 au toucher, allonge 1,50 m, une cible. Touché : 6 (1d8 + 2) dégâts contondants + 9 (2d8) dégâts psychiques. C'est une attaque avec une arme magique</t>
  </si>
  <si>
    <t xml:space="preserve">Githzerai, zerth</t>
  </si>
  <si>
    <t xml:space="preserve">Arcanes+6
Intuition+6
Perception+6
JS FOR+4
JS DEX+7
JS INT+6
JS SAG+6</t>
  </si>
  <si>
    <t xml:space="preserve">- Sens Perception passive 16
- Incantation innée (psioniques). La caractéristique d'incantation innée du githzerai est la Sagesse (jet de sauvegarde contre ses sorts DD 14, +6 au toucher pour les attaques avec un sort). Il peut lancer les sorts suivants de manière innée, sans avoir besoin d'aucune composante :
  - À volonté : main de mage (la main est invisible)
  - 3/jour chacun : feuille morte, saut, voir l'invisible, bouclier
  - 1/jour chacun : assassin imaginaire, changement de plan
- Défense psychique. Tant que le githzerai ne porte pas d'armure et ne tient aucun bouclier, sa CA prend en compte son modificateur de Sagesse.</t>
  </si>
  <si>
    <t xml:space="preserve">- Attaques multiples. Le githzerai effectue deux attaques à mains nues.
- Attaque à mains nues. Attaque au corps à corps avec une arme : +7 au toucher, allonge 1,50 m, une cible. Touché : 11 (2d6 + 4) dégâts contondants + 13 (3d8) dégâts psychiques. C'est une attaque avec une arme magique.</t>
  </si>
  <si>
    <t xml:space="preserve">Glabrezu</t>
  </si>
  <si>
    <t xml:space="preserve">157 (15d10+75)</t>
  </si>
  <si>
    <t xml:space="preserve">JS FOR+9
JS CON+9
JS SAG+7
JSCHA+7</t>
  </si>
  <si>
    <t xml:space="preserve">abyssal, télépathie 36 m</t>
  </si>
  <si>
    <t xml:space="preserve">- Résistances aux dégâts froid, feu, foudre ; contondant, perforant et tranchant d'attaques non magiques
- Immunités aux dégâts poison
- Immunités aux états empoisonné
- Sens vision véritable 36 m, Perception passive 13
- Incantation innée. La caractéristique d'incantation innée du glabrezu est l'Intelligence (jet de sauvegarde contre ses sorts DD 16). Le glabrezu peut lancer les sorts suivants de manière innée, sans avoir besoin de composantes matérielles :
  - À volonté : ténèbres, détection de la magie, dissipation de la magie
  - 1/jour chacun : confusion, vol, mot de pouvoir étourdissant
- Résistance à la magie. Le glabrezu a un avantage aux jets de sauvegarde contre les sorts et autres effets magiques.</t>
  </si>
  <si>
    <t xml:space="preserve">- Attaques multiples. Le glabrezu effectue quatre attaques : deux avec ses pinces et deux avec ses poings. Il peut aussi choisir d'effectuer deux attaques avec ses pinces et lancer un sort.
- Pinces. Attaque au corps à corps avec une arme : +9 au toucher, allonge 3 m, une cible. Touché : 16 (2d10 + 5) dégâts contondants. Si la cible est de taille M ou inférieure, elle est agrippée (DD 15 pour s'échapper). Le glabrezu possède deux pinces, chacune d'elles pouvant agripper une cible.
- Poing. Attaque au corps à corps avec une arme : +9 au toucher, allonge 1,50 m, une cible. Touché : 7 (2d4 + 2) dégâts contondants.</t>
  </si>
  <si>
    <t xml:space="preserve">Gladiateur</t>
  </si>
  <si>
    <t xml:space="preserve">112 (15d8+45)</t>
  </si>
  <si>
    <t xml:space="preserve">Athlétisme+10
Intimidation+5
JS FOR+7
JS DEX+5
JS CON+6</t>
  </si>
  <si>
    <t xml:space="preserve">- Sens Perception passive 11
- Brave. Le gladiateur a un avantage aux jets de sauvegarde pour ne pas être effrayé.
- Brutal. Une arme de corps à corps inflige un dé extra de ses dégâts si le gladiateur touche avec celle-ci (inclus dans l'attaque ci-dessous).</t>
  </si>
  <si>
    <t xml:space="preserve">- Attaques multiples. Le gladiateur effectue trois attaques au corps à corps ou deux attaques à distance.
- Lance. Attaque au corps à corps ou à distance avec une arme : +7 au toucher, allonge 1,50 m ou portée 6/18 m, une cible. Touché : 11 (2d6 + 4) dégâts perforants, ou 13 (2d8 + 4) dégâts perforants si utilisée avec les deux mains pour une attaque au corps à corps.
- Coup de bouclier. Attaque au corps à corps avec une arme : +7 au toucher, allonge 1,50 m, une créature. Touché : 9 (2d4 + 4) dégâts contondants. Si la cible est une créature de taille M ou inférieure, elle doit réussir un jet de sauvegarde de Force DD 15 pour ne pas tomber à terre.</t>
  </si>
  <si>
    <t xml:space="preserve">- Parade. Le gladiateur ajoute 3 à sa CA contre une attaque au corps à corps qui le toucherait. Pour ce faire, il doit voir l'attaquant et avoir en main une arme de corps à corps.</t>
  </si>
  <si>
    <t xml:space="preserve">Gnoll</t>
  </si>
  <si>
    <t xml:space="preserve">Humanoïde (Gnoll)</t>
  </si>
  <si>
    <t xml:space="preserve">gnoll</t>
  </si>
  <si>
    <t xml:space="preserve">- Sens vision dans le noir 18 m, Perception passive 10
- Déchaîné. Lorsque durant son tour le gnoll fait tomber les points de vie d'une créature à 0 avec une attaque au corps à corps, il peut utiliser une action bonus pour se déplacer de la moitié de sa vitesse et effectuer une attaque de morsure.</t>
  </si>
  <si>
    <t xml:space="preserve">- Morsure. Attaque au corps à corps avec une arme : +4 au toucher, allonge 1,50 m, une cible. Touché : 4 (1d4 + 2) dégâts perforants.
- Lance. Attaque au corps à corps ou à distance avec une arme : +4 au toucher, allonge 1,50 m ou portée 6/18 m, une cible. Touché : 5 (1d6 + 2) dégâts perforants, ou 6 (1d8 + 2) si utilisée à deux mains pour faire une attaque au corps à corps.
- Arc long. Attaque à distance avec une arme : +3 au toucher, portée 45/180 m, une cible. Touché : 5 (1d8 + 1) dégâts perforants.</t>
  </si>
  <si>
    <t xml:space="preserve">Gnoll, chasseur</t>
  </si>
  <si>
    <t xml:space="preserve">Perception+3
Discrétion+4</t>
  </si>
  <si>
    <t xml:space="preserve">- Sens vision dans le noir 18 m, Perception passive 13
- Déchaîné. Lorsque durant son tour le gnoll fait tomber les points de vie d'une créature à 0 avec une attaque au corps à corps, il peut utiliser une action bonus pour se déplacer de la moitié de sa vitesse et effectuer une attaque de morsure.</t>
  </si>
  <si>
    <t xml:space="preserve">- Attaques multiples. Le gnoll effectue deux attaques au corps à corps avec sa lance ou deux attaques à distance avec son arc long.
- Morsure. Attaque au corps à corps avec une arme : +4 au toucher, allonge 1,50 m, une cible. Touché : 4 (1d4 + 2) dégâts perforants.
- Lance. Attaque au corps à corps ou à distance avec une arme : +4 au toucher, allonge 1,50 m ou portée 6/18 m, une cible. Touché : 5 (1d6 + 2) dégâts perforants, ou 6 (1d8 + 2) dégâts perforants si utilisée à deux mains pour effectuer une attaque au corps à corps.
Arc long. Attaque à distance avec une arme : +4 au toucher, portée 45/180 m, une cible. Touché : 6 (1d8 + 2) dégâts perforants, et la vitesse de la cible est réduite de 3 mètres jusqu'à la fin de son prochain tour.</t>
  </si>
  <si>
    <t xml:space="preserve">Gnoll, croc de Yeenoghu</t>
  </si>
  <si>
    <t xml:space="preserve">Fiélon (gnoll)</t>
  </si>
  <si>
    <t xml:space="preserve">65 (10 d8+20)</t>
  </si>
  <si>
    <t xml:space="preserve">JS CON+4
JS SAG+2
JS CHA+3</t>
  </si>
  <si>
    <t xml:space="preserve">abyssal, gnoll</t>
  </si>
  <si>
    <t xml:space="preserve">- Attaques multiples. Le gnoll effectue trois attaques : deux avec ses griffes et une de morsure.
- Griffes. Attaque au corps à corps avec une arme : +5 au toucher, allonge 1,50 m, une cible. Touché : 7 (1d8 + 3) dégâts tranchants.
- Morsure. Attaque au corps à corps avec une arme : +5 au toucher, allonge 1,50 m, une créature. Touché : 6 (1d6 + 3) dégâts perforants, et la cible doit réussir un jet de sauvegarde de Constitution DD 12 ou subir 7 (2d6) dégâts de poison.</t>
  </si>
  <si>
    <t xml:space="preserve">Gnoll, décrépit</t>
  </si>
  <si>
    <t xml:space="preserve">gnoll (compris)</t>
  </si>
  <si>
    <t xml:space="preserve">- Immunités aux dégâts poison
- Immunités aux états épuisement, empoisonné
- Sens vision dans le noir 18 m, Perception passive 7
- Déchaîné. Lorsque durant son tour le décrépit fait tomber les points de vie d'une créature à 0 avec une attaque au corps à corps, il peut utiliser une action bonus pour se déplacer de la moitié de sa vitesse et effectuer une attaque de morsure.</t>
  </si>
  <si>
    <t xml:space="preserve">- Attaques multiples. Le décrépit effectue deux attaques : une de morsure et une avec son gourdin, ou deux avec son gourdin.
- Morsure. Attaque au corps à corps avec une arme : +4 au toucher, allonge 1,50 m, une cible. Touché : 4 (1d4 + 2) dégâts perforants.
- Gourdin. Attaque au corps à corps avec une arme : +4 au toucher, allonge 1,50 m, une cible. Touché : 4 (1d4 + 2) dégâts contondants.</t>
  </si>
  <si>
    <t xml:space="preserve">- Frappe vengeresse. En réponse à la réduction d'un gnoll à 0 point de vie à 9 mètres ou moins du décrépit, ce dernier effectue une attaque au corps à corps.</t>
  </si>
  <si>
    <t xml:space="preserve">Gnoll, rongeur de chair</t>
  </si>
  <si>
    <t xml:space="preserve">- Attaques multiples. Le gnoll effectue trois attaques : une de morsure et deux avec son épée courte.
- Morsure. Attaque au corps à corps avec une arme : +4 au toucher, allonge 1,50 m, une cible. Touché : 4 (1d4 + 2) dégâts perforants.
- Épée courte. Attaque au corps à corps avec une arme : +4 au toucher, allonge 1,50 m, une cible. Touché : 5 (1d6 + 2) dégâts prforants.
- Rush soudain. Jusqu'à la fin du tour, la vitesse du gnoll augmente de 18 mètres et ne provoque pas d'attaques d'opportunité.</t>
  </si>
  <si>
    <t xml:space="preserve">Gnoll, seigneur de meute</t>
  </si>
  <si>
    <t xml:space="preserve">- Attaques multiples. Le gnoll effectue deux attaques, avec sa coutille ou avec son arc long, et utilise son Incitation au déchaînement s'il le peut.
- Morsure. Attaque au corps à corps avec une arme : +5 au toucher, allonge 1,50 m, une créature. Touché : 5 (1d4 + 3) dégâts perforants.
- Coutille. Attaque au corps à corps avec une arme : +5 au toucher, allonge 3 m, une cible. Touché : 8 (1d10 + 3) dégâts tranchants.
- Arc long. Attaque à distance avec une arme : +4 au toucher, portée 45/180 m, une cible. Touché : 6 (1d8 + 2) dégâts perforants.
- Incitation au déchaînement (Recharge 5-6). Une créature que le gnoll peut voir dans un rayon de 9 mètres autour de lui peut utiliser sa réaction pour effectuer une attaque au corps à corps si elle peut entendre le gnoll et qu'elle possède le trait Déchaîné.</t>
  </si>
  <si>
    <t xml:space="preserve">Gnome des profondeurs (svirfnebelin)</t>
  </si>
  <si>
    <t xml:space="preserve">Humanoïde (gnome)</t>
  </si>
  <si>
    <t xml:space="preserve">16 (3d6+6)</t>
  </si>
  <si>
    <t xml:space="preserve">Discrétion+4
Investigation+3
Perception+2</t>
  </si>
  <si>
    <t xml:space="preserve">gnome, terreux, commun des profondeurs</t>
  </si>
  <si>
    <t xml:space="preserve">- Sens vision dans le noir 36 m, Perception passive 12
- Camouflage dans les rochers. Le gnome a un avantage aux jets de Dextérité (Discrétion) effectués pour se cacher sur un terrain rocailleux.
- Ruse de gnome. Le gnome a un avantage aux jets de sauvegarde d'Intelligence, de Sagesse et de Charisme contre la magie.
- Incantation innée. La caractéristique d'incantation innée du gnome est l'Intelligence (jet de sauvegarde contre ses sorts DD 11). Il peut lancer les sorts suivants de manière innée, sans avoir besoin de composantes matérielles :
  - À volonté : antidétection (personnel uniquement)
  - 1/jour chacun : cécité/surdité, flou, déguisement</t>
  </si>
  <si>
    <t xml:space="preserve">- Pic de guerre. Attaque au corps à corps avec une arme : +4 au toucher, allonge 1,50 m, une cible. Touché : 6 (1d8 + 2) dégâts perforants.
- Dard empoisonné. Attaque à distance avec une arme : +4 au toucher, portée 9/36 m, une créature. Touché : 4 (1d4 + 2) dégâts perforants, et la cible doit réussir un jet de sauvegarde de Constitution DD 12 ou être empoisonnée pendant 1 minute. La cible peut retenter son jet de sauvegarde à la fin de chacun de ses tours, mettant fin à l'effet qui l'affecte en cas de réussi</t>
  </si>
  <si>
    <t xml:space="preserve">Gobelin</t>
  </si>
  <si>
    <t xml:space="preserve">Humanoïde (gobelinoïde)</t>
  </si>
  <si>
    <t xml:space="preserve">commun, gobelin</t>
  </si>
  <si>
    <t xml:space="preserve">- Sens vision dans le noir 18 m, Perception passive 9
- Fuite agile. Le gobelin peut effectuer l’action Se désengager ou Se cacher par une action bonus à chacun de ses tours.</t>
  </si>
  <si>
    <t xml:space="preserve">Arc court. Attaque d’arme à distance : +4 pour toucher, portée 24/96 m, une cible. Touché : 5 (1d6+2) dégâts perforants.
Cimeterre. Attaque d’arme au corps à corps : +4 pour toucher, allonge 1,50 m, une cible. Touché : 5 (1d6+2) dégâts tranchants.</t>
  </si>
  <si>
    <t xml:space="preserve">Gobelin, chef</t>
  </si>
  <si>
    <t xml:space="preserve">21 (6d6)</t>
  </si>
  <si>
    <t xml:space="preserve">- Sens vision dans le noir 18 m, Perception passive 9
- Fuite agile. Le gobelin peut Se cacher ou Se désengager à chacun de ses tours en utilisant une action bonus.</t>
  </si>
  <si>
    <t xml:space="preserve">- Attaques multiples. Le gobelin effectue deux attaques avec le cimeterre. La deuxième attaque a un désavantage.
- Cimeterre. Attaque au corps à corps avec une arme : +4 au toucher, allonge 1,50 m, une cible. Touché : 5 (1d6 + 2) dégâts tranchants.
- Javeline. Attaque au corps à corps ou à distance avec une arme : +2 au toucher, allonge 1,50 m ou portée 9/36 m, une cible. Touché : 3 (1d6) dégâts perforants.</t>
  </si>
  <si>
    <t xml:space="preserve">- Attaque redirigée. Lorsqu'une créature, que le gobelin peut voir, le cible avec une attaque, le gobelin choisit un autre gobelin situé à 1,50 mètre ou moins de lui. Les deux gobelins échangent leur place et le gobelin choisi devient la nouvelle cible de l'attaque.</t>
  </si>
  <si>
    <t xml:space="preserve">Gobelours</t>
  </si>
  <si>
    <t xml:space="preserve">9 m </t>
  </si>
  <si>
    <t xml:space="preserve">Discrétion+5
Survie+2</t>
  </si>
  <si>
    <t xml:space="preserve">- Attaque surprise. Si le gobelours surprend une créature et réussit une attaque contre elle lors du premier round de combat, cette attaque inflige 7 (2d6) dégâts supplémentaires à la cible.
- Brutal. Une arme de corps à corps inflige un dé de dégâts
supplémentaire quand le gobelours touche son ennemi avec elle (déjà inclus dans l’attaque).</t>
  </si>
  <si>
    <t xml:space="preserve">- Javeline. Attaque d’arme au corps à corps ou à distance : +4 pour toucher, allonge 1,50 m ou portée 9/36 m, une cible. Touché : 9 (2d6+2) dégâts perforants au corps à corps ou 5 (1d6+2) dégâts
perforants à distance.
- Morgenstern. Attaque d’arme au corps à corps : +4 pour toucher, allonge 1,50 m, une cible. Touché : 11 (2d8+2) dégâts perforants.</t>
  </si>
  <si>
    <t xml:space="preserve">Gobelours, chef</t>
  </si>
  <si>
    <t xml:space="preserve">Discrétion+6
Intimidation+2
Survie+3</t>
  </si>
  <si>
    <t xml:space="preserve">- Sens vision dans le noir 18 m, Perception passive 11
- Attaque surprise. Si un gobelours surprend une créature et touche avec une attaque lors du premier round de combat, la cible subit 7 (2d6) dégâts supplémentaires pour cette attaque.
- Brutal. Une arme de corps à corps inflige un dé de dégâts supplémentaires lorsque le gobelours réussit son attaque (inclus dans l'attaque ci-dessous).
- Cœur de Hruggek. Le gobelours a un avantage aux jets de sauvegarde pour ne pas être charmé, effrayé, paralysé, empoisonné, étourdi, ou pour ne pas être endormi..</t>
  </si>
  <si>
    <t xml:space="preserve">- Attaques multiples. Le gobelours effectue deux attaques au corps à corps.
- Morgenstern. Attaque au corps à corps avec une arme : +5 au toucher, allonge 1,50 m, une cible. Touché : 12 (2d8 + 3) dégâts perforants.
- Javeline. Attaque au corps à corps ou à distance avec une arme : +5 au toucher, allonge 1,50 m ou portée 9/36 m, une cible. Touché : 10 (2d6 + 3) dégâts perforants au corps à corps ou 6 (1d6 + 3) dégâts perforants à distance.</t>
  </si>
  <si>
    <t xml:space="preserve">Golem de chair</t>
  </si>
  <si>
    <t xml:space="preserve">93 (11d8+44)</t>
  </si>
  <si>
    <t xml:space="preserve">- Immunités aux dégâts foudre, poison ; contondant, perforant et tranchant d'attaques non magiques qui ne sont pas en adamantium
- Immunités aux états charmé, empoisonné, épuisement, paralysé, pétrifié, effrayé
- Sens vision dans le noir 18 m, Perception passive 10
- Fou furieux. Chaque fois que le golem débute son tour avec 40 points de vie ou moins, lancez un d6. Sur un résultat de 6, le golem devient fou furieux. À chacun de ses tours, s'il est dans cet état, le golem attaque la créature la plus proche qu'il peut voir. Si aucune créature n'est assez proche de lui pour qu'il puisse se déplacer et l'attaquer, il attaquera un objet, de préférence plus petit que lui. Une fois fou furieux, le golem demeure dans cet état jusqu'à ce qu'il soit détruit ou jusqu'à ce qu'il récupère tous ses points de vie. Le créateur du golem, s'il se trouve à 18 mètres ou moins de lui, peut tenter de le calmer en lui parlant fermement et de manière persuasive. Le golem doit pouvoir entendre son créateur, qui doit utiliser une action pour effectuer un jet de Charisme (Persuasion) DD 15. Si le jet est réussi, le golem se calme. S'il subit des dégâts alors que ses points de vie sont à 40 ou moins, le golem peut de nouveau devenir fou furieux.
- Absorption de la foudre. Lorsque le golem subit des dégâts de foudre, il ne subit aucun dommage et récupère un nombre de points de vie égal aux dégâts de foudre causés.
- Aversion au feu. Si le golem subit des dégâts de feu, il subit un désavantage aux jets d'attaque et de caractéristiques jusqu'à la fin de son tour.
- Forme immuable. Le golem est immunisé aux sorts et effets qui altèreraient son apparence.
- Armes magiques. Les attaques avec une arme du golem sont magiques.
- Résistance à la magie. Le golem a un avantage aux jets de sauvegarde contre les sorts et autres effets magiques.</t>
  </si>
  <si>
    <t xml:space="preserve">- Attaques multiples. Le golem effectue deux attaques de coup.
- Coup. Attaque au corps à corps avec une arme : +7 au toucher, allonge 1,50 m, une cible. Touché : 13 (2d8 + 4) dégâts contondants.</t>
  </si>
  <si>
    <t xml:space="preserve">Golem de fer</t>
  </si>
  <si>
    <t xml:space="preserve">- Immunités aux dégâts feu, poison, psychique ; contondant, perforant et tranchant d'attaques non magiques qui ne sont pas en adamantium
- Immunités aux états charmé, épuisement, effrayé, paralysé, pétrifié, empoisonné
- Sens vision dans le noir 36 m, Perception passive 10
- Absorption du feu. Chaque fois que le golem est soumis à des dégâts de feu, il ne subit aucun dégât et récupère un nombre de points de vie égal aux dégâts de feu infligés.
- Forme immuable. Le golem est immunisé aux sorts et effets qui altèreraient son apparence.
- Résistance à la magie. Le golem a un avantage aux jets de sauvegarde contre les sorts et autres effets magiques.
- Armes magiques. Les attaques avec une arme du golem sont magiques.</t>
  </si>
  <si>
    <t xml:space="preserve">- Attaques multiples. Le golem effectue deux attaques au corps à corps.
- Coup. Attaque au corps à corps avec une arme : +13 au toucher, allonge 1,50 m, une cible. Touché : 20 (3d8 + 7) dégâts contondants.
- Épée. Attaque au corps à corps avec une arme : +13 au toucher, allonge 3 m, une cible. Touché : 23 (3d10 + 7) dégâts tranchants.
- Souffle empoisonné (Recharge 6). Le golem crache un gaz empoisonné dans un cône de 4,50 mètres. Chaque créature dans cette zone doit effectuer un jet de sauvegarde de Constitution DD 19, subissant 45 (10d8) dégâts de poison en cas d'échec, ou la moitié de ces dégâts en cas de réussite.</t>
  </si>
  <si>
    <t xml:space="preserve">Golem de pierre</t>
  </si>
  <si>
    <t xml:space="preserve">- Immunités aux dégâts poison, psychique ; contondant, perforant et tranchant d'attaques non magiques qui ne sont pas en adamantium
- Immunités aux états charmé, épuisement, effrayé, paralysé, pétrifié, empoisonné
- Sens vision dans le noir 36 m, Perception passive 10
- Forme immuable. Le golem est immunisé aux sorts et effets qui altèreraient son apparence.
- Résistance à la magie. Le golem a un avantage aux jets de sauvegarde contre les sorts et autres effets magiques.
- Armes magiques. Les attaques avec une arme du golem sont magiques.</t>
  </si>
  <si>
    <t xml:space="preserve">- Attaques multiples. Le golem effectue deux attaques de coup.
- Coup. Attaque au corps à corps avec une arme : +10 au toucher, allonge 1,50 m, une cible. Touché : 19 (3d8 + 6) dégâts contondants.
- Lenteur (Recharge 5-6). Le golem cible une ou plusieurs créatures qu'il peut voir dans un rayon de 3 mètres autour de lui. Chaque cible doit faire un jet de sauvegarde de Sagesse DD 17 contre cette magie. En cas d'échec, une cible ne peut pas utiliser de réaction, sa vitesse est réduite de moitié, et elle ne peut pas faire plus d'une attaque à son tour. En outre, la cible peut à son tour prendre une action normale ou une action bonus, mais pas les deux. Ces effets durent pendant 1 minute. Une cible peut répéter le jet de sauvegarde à la fin de chacun de ses tours, l'effet se terminant en cas de réussite.</t>
  </si>
  <si>
    <t xml:space="preserve">Golemn d'argile</t>
  </si>
  <si>
    <t xml:space="preserve">- Immunités aux dégâts acide, poison, psychique ; contondant, perforant et tranchant d'attaques non magiques qui ne sont pas en adamantium
- Immunités aux états charmé, empoisonné, épuisement, paralysé, pétrifié, effrayé
- Sens vision dans le noir 18 m, Perception passive 9
- Absorption de l'acide. Lorsque le golem subit des dégâts d'acide, il ne subit aucun dommage et récupère un nombre de points de vie égal aux dégâts d'acide causés.
- Fou furieux. Chaque fois que le golem débute son tour avec 60 points de vie ou moins, lancez un d6. Sur un résultat de 6, le golem devient fou furieux. À chacun de ses tours, s'il est dans cet état, le golem attaque la créature la plus proche qu'il peut voir. Si aucune créature n'est assez proche de lui pour qu'il puisse se déplacer et l'attaquer, il attaquera un objet, de préférence plus petit que lui. Une fois fou furieux, le golem demeure dans cet état jusqu'à ce qu'il soit détruit ou jusqu'à ce qu'il récupère tous ses points de vie.
- Forme immuable. Le golem est immunisé aux sorts et effets qui altèreraient son apparence.
- Armes magiques. Les attaques avec une arme du golem sont magiques.
- Résistance à la magie. Le golem a un avantage aux jets de sauvegarde contre les sorts et autres effets magiques.</t>
  </si>
  <si>
    <t xml:space="preserve">- Attaques multiples. Le golem effectue deux attaques de coup.
- Coup. Attaque au corps à corps avec une arme : +8 au toucher, allonge 1,50 m, une cible. Touché : 16 (2d10 + 5) dégâts contondants. Si la cible est une créature, celle-ci doit réussir un jet de sauvegarde de Constitution DD 15 pour ne pas subir une diminution de son maximum de points de vie égale aux dégâts subis. La cible meurt si cet effet réduit ses points de vie à 0. Cette diminution perdure jusqu'à ce que la cible bénéficie d'un sort de restauration supérieure ou d'une magie similaire.
- Hâte (Recharge 5-6). Jusqu'à la fin de son prochain tour, le golem bénéficie par magie d'un bonus de +2 à sa CA, d'un avantage aux jets de sauvegarde de Dextérité, et peut utiliser une attaque de coup en action bonus.</t>
  </si>
  <si>
    <t xml:space="preserve">Gorgone</t>
  </si>
  <si>
    <t xml:space="preserve">- Immunités aux états pétrifiée
- Sens vision dans le noir 18 m, Perception passive 14
- Charge écrasante. Si la gorgone se déplace d'au moins 6 mètres en ligne droite vers une cible, puis la touche lors d'une attaque avec sa corne dans le même tour, la cible doit réussir un jet de sauvegarde de Force DD 16 ou tomber à terre. Si la cible est à terre, la gorgone peut effectuer une attaque avec ses sabots contre celle-ci en utilisant une action bonus.</t>
  </si>
  <si>
    <t xml:space="preserve">- Corne. Attaque au corps à corps avec une arme : +8 au toucher, allonge 1,50 m, une cible. Touché : 18 (2d12 + 5) dégâts perforants.
- Sabots. Attaque au corps à corps avec une arme : +8 au toucher, allonge 1,50 m, une cible. Touché : 16 (2d10 + 5) dégâts contondants.
- Souffle pétrifiant (Recharge 5-6). La gorgone exhale un gaz pétrifiant dans un cône de 9 mètres. Toutes les créatures dans la zone doivent effectuer un jet de sauvegarde de Constitution DD 13. En cas d'échec, la cible commence à se transformer en pierre et est entravée. La cible entravée doit réitérer le jet de sauvegarde à la fin de son tour suivant. En cas de réussite, l'effet se termine pour la cible. En cas d'échec, la cible est pétrifiée jusqu'à ce qu'elle soit libérée par un sort de restauration supérieure ou par une magie </t>
  </si>
  <si>
    <t xml:space="preserve">Goristro</t>
  </si>
  <si>
    <t xml:space="preserve">310 (23d12+161)</t>
  </si>
  <si>
    <t xml:space="preserve">Perception+7
JS FOR+13
JS DEX+6
JS CON+13
JS SAG+7</t>
  </si>
  <si>
    <t xml:space="preserve">- Résistances aux dégâts froid, feu, foudre ; contondant, perforant et tranchant d'attaques non magiques
- Immunités aux dégâts poison
- Immunités aux états empoisonné
- Sens vision dans le noir 36 m, Perception passive 17
- Charge. Si le goristro se déplace d'au moins 4,50 mètres en ligne droite vers une cible, puis la touche lors d'une attaque avec ses cornes dans le même tour, la cible subit 38 (7d10) dégâts perforants supplémentaires. Si la cible est une créature, elle doit réussir un jet de sauvegarde de Force DD 21 ou être repoussée sur 6 mètres et tomber à terre.
- Mémoire de labyrinthe. Le goristro se rappelle parfaitement des chemins qu'il a empruntés.
- Résistance à la magie. Le goristro a un avantage aux jets de sauvegarde contre les sorts et autres effets magiques.
- Monstre de siège. Le goristro inflige des dégâts doublés aux objets et aux structures.</t>
  </si>
  <si>
    <t xml:space="preserve">- Attaques multiples. Le goristro effectue trois attaques : deux avec ses poings et une avec ses sabots.
- Poing. Attaque au corps à corps avec une arme : +13 au toucher, allonge 3 m, une cible. Touché : 20 (3d8 + 7) dégâts contondants.
- Sabots. Attaque au corps à corps avec une arme : +13 au toucher, allonge 1,50 m, une cible. Touché : 23 (3d10 + 7) dégâts contondants. Si la cible est une créature, elle doit réussir un jet de sauvegarde de Force DD 21 ou être jetée à terre.
- Cornes. Attaque au corps à corps avec une arme : +13 au toucher, allonge 3 m, une cible. Touché : 45 (7d10 + 7) dégâts perforants.</t>
  </si>
  <si>
    <t xml:space="preserve">Gosier de Grolantor</t>
  </si>
  <si>
    <t xml:space="preserve">Géant (géant des collines)</t>
  </si>
  <si>
    <t xml:space="preserve">Perception+1</t>
  </si>
  <si>
    <t xml:space="preserve">- Immunités aux états effrayé
- Sens Perception passive 11
- Gosier de la démence. Le géant est immunisé contre les sorts de confusion et la magie similaire.
À chacun de ses tours, le géant utilise tout son mouvement pour se déplacer vers la créature la plus proche ou tout ce qu'il pourrait percevoir comme de la nourriture. Lancez un d10 au début de chacun des tours du géant pour déterminer son action pour ce tour :
  - 1-3. Le géant effectue trois attaques avec ses poings contre une cible aléatoire à sa portée. Si aucune créature n'est à sa portée, le géant enrage et gagne un avantage à tous les jets d'attaque jusqu'à la fin de son prochain tour.
  - 4-5. Le géant effectue une attaque avec ses poings contre toutes les créatures à sa portée. Si aucune créature n'est à sa portée, le géant effectue une attaque de poing contre lui-même.
  - 6-7. Le géant effectue une attaque de morsure contre une cible aléatoire à sa portée. Si aucune créature n'est à sa portée, ses yeux s'illuminent et il est étourdi jusqu'au début de son prochain tour.
  - 8-10. Le géant effectue trois attaques contre une cible aléatoire à sa portée : une attaque de morsure et deux avec ses poings. Si aucune créature n'est à sa portée, le géant enrage et gagne un avantage à tous les jets d'attaque jusqu'à la fin de son prochain tour.</t>
  </si>
  <si>
    <t xml:space="preserve">- Morsure. Attaque au corps à corps avec une arme : +8 au toucher, allonge 1,50 m, une créature. Touché : 15 (3d6 + 5) dégâts perforants, et le géant récupère magiquement des points de vie égaux aux dégâts infligés.
- Poing. Attaque au corps à corps avec une arme : +8 au toucher, allonge 3 m, une cible. Touché : 18 (3d8 + 5) dégâts contondants</t>
  </si>
  <si>
    <t xml:space="preserve">Goule</t>
  </si>
  <si>
    <t xml:space="preserve">- Immunité contre les dégâts de poison
- Immunités contre les états charmé et empoisonné
- Sens vision dans le noir 18 m, Perception passive 10</t>
  </si>
  <si>
    <t xml:space="preserve">- Griffes. Attaque d’arme au corps à corps : +4 pour toucher, allonge 1,50 m, une cible. Touché : 7 (2d4+2) dégâts tranchants.
Si la cible n’est pas un mort-vivant ou un elfe, elle doit réussir un jet de sauvegarde de Constitution DD 10 pour ne pas être
paralysée pendant 1 minute. La cible peut retenter le jet de sauvegarde à la fin de chacun de ses tours et mettre fin à l’effet
dont elle est victime en cas de réussite.</t>
  </si>
  <si>
    <t xml:space="preserve">Grand singe</t>
  </si>
  <si>
    <t xml:space="preserve">19 (3d8+6)</t>
  </si>
  <si>
    <t xml:space="preserve">Athlétisme+5
Perception+3</t>
  </si>
  <si>
    <t xml:space="preserve">- Attaques multiples. Le grand singe réalise deux attaques avec ses poings.
- Poing. Attaque au corps à corps avec une arme : +5 au toucher, allonge 1,50 m, une cible. Touché : 6 (1d6 + 3) dégâts contondants.
- Rocher. Attaque à distance avec une arme : +5 au toucher, portée 7,50/15 m, une cible. Touché : 6 (1d6 + 3) dégâts contondants.</t>
  </si>
  <si>
    <t xml:space="preserve">Graz'zt</t>
  </si>
  <si>
    <t xml:space="preserve">Fiélon (démon, métamorphe)</t>
  </si>
  <si>
    <t xml:space="preserve">346 (33d10+165)</t>
  </si>
  <si>
    <t xml:space="preserve">- Intuition +12
- Perception +12
- Persuasion +15
- Tromperie +15
JS DEX+9
JS CON+12
JS SAG+12</t>
  </si>
  <si>
    <t xml:space="preserve">- Résistances aux dégâts froid, feu, foudre
- Immunités aux dégâts poison ; contondant, perforant et tranchant non magiques
- Immunités aux états charmé, épuisement, effrayé, empoisonné
- Sens vision véritable 36 m, Perception passive 22
- Métamorphe. Graz'zt peut utiliser son action pour se métamorphoser en une forme qui ressemble à un humanoïde de taille M, ou pour reprendre sa forme véritable. Mise à part sa taille, ses statistiques sont les mêmes quelle que soit sa forme. L'équipement qu'il porte ou transporte ne se transforme pas.
- Incantation innée. La caractéristique d'incantation de Graz'zt est le Charisme (jet de sauvegarde contre ses sorts DD 23). Il peut lancer les sorts suivants de manière innée, sans avoir besoin de composantes matérielles :
  - À volonté : charme-personne, couronne du dément, détection de la magie, dissipation de la magie, murmures dissonants
  - 3/jour chacun : contresort, ténèbres, domination de personne, sanctuaire, télékinésie, téléportation
  - 1/jour chacun : domination de monstre, invisibilité supérieure
- Résistance légendaire (3/jour). Si Graz'zt échoue à un jet de sauvegarde, il peut décider de transformer cet échec en réussite.
- Résistance à la magie. Graz'zt a un avantage aux jets de sauvegarde contre les sorts et autres effets magiques.
- Armes magiques. Les attaques avec une arme de Graz'zt sont magiques</t>
  </si>
  <si>
    <t xml:space="preserve">Attaques multiples. Graz'zt effectue deux attaques avec Lame de chagrin.
- Lame de chagrin (épée à deux mains). Attaque au corps à corps avec une arme : +13 au toucher, allonge 3 m, une cible. Touché : 20 (4d6 + 6) dégâts tranchants plus 10 (3d6) dégâts d'acide.
- Téléportation. Graz'zt se téléporte magiquement, avec tout l'équipement qu'il porte ou transporte, vers un espace inoccupé qu'il peut voir et situé dans un rayon de 36 mètres autour de lui.</t>
  </si>
  <si>
    <t xml:space="preserve">Graz'zt peut effectuer 3 actions légendaires, en choisissant parmi les options suivantes. Une seule option d'action légendaire peut être utilisée à la fois, et seulement à la fin du tour d'une autre créature. Graz'zt récupère les actions légendaires dépensées au début de son tour.
- Attaque. Graz'zt attaque une fois avec Lame de chagrin.
- Danse, ma marionnette. Une créature charmée par Graz'zt et qu'il peut voir doit utiliser sa réaction pour se déplacer de sa vitesse comme Graz'zt le lui indique.
- Graine de la discorde. Graz'zt lance couronne du dément ou murmures dissonants.
- Téléportation. Graz'zt utilise son action de Téléportation.</t>
  </si>
  <si>
    <t xml:space="preserve">Grell</t>
  </si>
  <si>
    <t xml:space="preserve">55 (10d8+10)</t>
  </si>
  <si>
    <t xml:space="preserve">3 m, vol 9 m (stationnaire)</t>
  </si>
  <si>
    <t xml:space="preserve">Discrétion+6
Perception+4</t>
  </si>
  <si>
    <t xml:space="preserve">grell</t>
  </si>
  <si>
    <t xml:space="preserve">- Immunités aux dégâts foudre
- Immunités aux états aveuglé, à terre
- Sens vision aveugle 18 m (aveugle au-delà de ce rayon), Perception passive 14</t>
  </si>
  <si>
    <t xml:space="preserve">- Attaques multiples. Le grell effectue deux attaques : une avec ses tentacules et une avec son bec.
- Tentacules. Attaque au corps à corps avec une arme : +4 au toucher, allonge 3 m, une créature. Touché : 7 (1d10 + 2) dégâts perforants, et la cible doit réussir un jet de sauvegarde de Constitution DD 11 ou être empoisonnée pendant 1 minute. La cible empoisonnée est paralysée, et peut retenter son jet de sauvegarde à la fin de chacun de ses tours, mettant fin à l'effet en cas de réussite. La cible est également agrippée (évasion DD 15). Si la cible est de taille M ou inférieure, elle est également entravée jusqu'à ce qu'elle ne soit plus agrippée. Tant qu'il agrippe la cible, le grell a un avantage aux jets d'attaque effectués contre elle, mais ne peut pas utiliser l'attaque avec ses tentacules contre une autre cible. Lorsque le grell se déplace, il déplace avec lui une créature de taille M ou inférieure qu'il a agrippée.
- Bec. Attaque au corps à corps avec une arme : +4 au toucher, allonge 1,50 m, une cible. Touché : 7 (2d4 + 2) dégâts perforants.</t>
  </si>
  <si>
    <t xml:space="preserve">Grenouille</t>
  </si>
  <si>
    <t xml:space="preserve">Discrétion+3
Perception+1</t>
  </si>
  <si>
    <t xml:space="preserve">- Sens vision dans le noir 9 m, Perception passive 11
- Amphibien. La grenouille peut respirer aussi bien dans l'air que sous l'eau.
- Saut sans élan. La grenouille peut sauter en longueur jusqu'à 3 mètres ou en hauteur jusqu'à 1,50 mètre, avec ou sans élan.</t>
  </si>
  <si>
    <t xml:space="preserve">Grenouille géante</t>
  </si>
  <si>
    <t xml:space="preserve">Discrétion+3
Perception+2</t>
  </si>
  <si>
    <t xml:space="preserve">- Sens vision dans le noir 9 m, Perception passive 12
- Amphibien. La grenouille peut respirer aussi bien dans l'air que sous l'eau.
- Saut sans élan. La grenouille peut sauter en longueur jusqu'à 6 mètres ou en hauteur jusqu'à 3 mètres, avec ou sans élan.</t>
  </si>
  <si>
    <t xml:space="preserve">- Morsure. Attaque au corps à corps avec une arme : +3 au toucher, allonge 1,50 m, une cible. Touché : 4 (1d6 + 1) dégâts perforants, et la cible est agrippée (DD 11 pour s'échapper). Tant qu'elle est agrippée, la cible est entravée, et la grenouille ne peut pas mordre une autre cible.
- Engloutissement. La grenouille effectue une attaque de morsure contre une cible de taille P ou inférieure qu'elle agrippe. Si l'attaque réussit, la cible est avalée et elle n'est plus agrippée. La créature avalée est aveuglée est entravée, bénéficie d'un abri total contre les attaques ou autres effets provenant de l'extérieur de la grenouille, et subit 5 (2d4) dégâts d'acide au début de chaque tour de la grenouille. La grenouille ne peut avaler qu'une cible à la fois. Si la grenouille meurt, la créature avalée n'est plus entravée et peut sortir du cadavre en utilisant 1,50 mètre de mouvement, pour alors en émerger et se retrouver à terre.</t>
  </si>
  <si>
    <t xml:space="preserve">Grick</t>
  </si>
  <si>
    <t xml:space="preserve">Créature monstrueuse</t>
  </si>
  <si>
    <t xml:space="preserve">- Résistance aux dégâts contondants, perforants et tranchants
infligés par des armes non-magiques
- Sens vision dans le noir 18 m, Perception passive 12
- Camouflage dans la rocaille. Le grick est avantagé lors des tests de Dextérité (Discrétion) effectués pour se cacher dans des environnements rocailleux.</t>
  </si>
  <si>
    <t xml:space="preserve">- Attaques multiples. Le grick effectue une attaque avec ses tentacules. Si cette attaque touche, il peut effectuer une attaque de bec contre la même cible.
- Bec. Attaque d’arme au corps à corps : +4 pour toucher, allonge 1,50 m, une cible. Touché : 5 (1d6+2) dégâts perforants.
- Tentacules. Attaque d’arme au corps à corps : +4 pour toucher, allonge 1,50 m, une cible. Touché : 9 (2d6+2) dégâts tranchants.</t>
  </si>
  <si>
    <t xml:space="preserve">Grick dominant</t>
  </si>
  <si>
    <t xml:space="preserve">75 (10d10+20)</t>
  </si>
  <si>
    <t xml:space="preserve">- Résistances aux dégâts contondant, perforant et tranchant d'attaques non magiques
- Sens vision dans le noir 18 m, Perception passive 12
- Camouflage dans les rochers. Le grick a un avantage aux jets de Dextérité (Discrétion) effectués pour se cacher sur un terrain rocailleux.</t>
  </si>
  <si>
    <t xml:space="preserve">- Attaques multiples. Le grick effectue deux attaques : une avec sa queue et une avec ses tentacules. S'il touche lors d'une attaque avec ses tentacules, le grick peut effectuer une attaque avec son bec contre la même cible.
- Queue. Attaque au corps à corps avec une arme : +7 au toucher, allonge 3 m, une cible. Touché : 11 (2d6 + 4) dégâts contondants.
- Tentacules. Attaque au corps à corps avec une arme : +7 au toucher, allonge 3 m, une cible. Touché : 22 (4d8 + 4) dégâts tranchants.
Bec. Attaque au corps à corps avec une arme : +7 au toucher, allonge 3 m, une cible. Touché : 13 (2d8 + 4) dégâts perforants.</t>
  </si>
  <si>
    <t xml:space="preserve">Griffe rampante</t>
  </si>
  <si>
    <t xml:space="preserve">Commun (compris)</t>
  </si>
  <si>
    <t xml:space="preserve">- Immunités aux dégâts poison
- Immunités aux états charmé, épuisement, empoisonné
- Sens vision aveugle 9 m (aveugle au-delà de ce rayon), Perception passive 10
- Immunité au renvoi. La griffe est immunisée aux effets de renvoi des morts-vivants.</t>
  </si>
  <si>
    <t xml:space="preserve">- Griffes. Attaque au corps à corps avec une arme : +3 au toucher, allonge 1,50 m, une cible. Touché : 3 (1d4 +1) dégâts contondants ou tranchants (au choix de la griffe).</t>
  </si>
  <si>
    <t xml:space="preserve">Griffon</t>
  </si>
  <si>
    <t xml:space="preserve">9 m, vol 24 m</t>
  </si>
  <si>
    <t xml:space="preserve">- Sens vision dans le noir 18 m, Perception passive 15
- Vue aiguisée. Un griffon a un avantage aux jets de Sagesse (Perception) basés sur la vue.</t>
  </si>
  <si>
    <t xml:space="preserve">- Attaques multiples. Le griffon effectue deux attaques : une avec son bec et une avec ses griffes.
- Bec. Attaque au corps à corps avec une arme : +6 au toucher, allonge 1,50 m, une cible. Touché : 8 (1d8 + 4) dégâts perforants.
- Griffes. Attaque au corps à corps avec une arme : +6 au toucher, allonge 1,50 m, une cible. Touché : 11 (2d6 + 4) dégâts tranchants.</t>
  </si>
  <si>
    <t xml:space="preserve">Grung</t>
  </si>
  <si>
    <t xml:space="preserve">Humanoïde (grung)</t>
  </si>
  <si>
    <t xml:space="preserve">11 (2d6+4)</t>
  </si>
  <si>
    <t xml:space="preserve">7,50 m, escalade 7,50 m</t>
  </si>
  <si>
    <t xml:space="preserve">Athlétisme +2
Discrétion +4
Perception +3
Survie +2
JS DEX+4</t>
  </si>
  <si>
    <t xml:space="preserve">grung</t>
  </si>
  <si>
    <t xml:space="preserve">- Immunités aux dégâts poison
- Immunités aux états empoisonné
- Sens Perception passive 12
- Amphibien. Le grung peut respirer aussi bien dans l'air que sous l'eau.
- Peau vénéneuse. Toute créature qui agrippe le grung ou inversement entre en contact direct avec la peau du grung doit réussir un jet de Constitution DD 12 ou devenir empoisonnée pendant 1 minute. Une créature empoisonnée qui n'est plus en contact direct avec le grung peut répéter le jet de sauvegarde à la fin de chacun de ses tours, mettant fin à l'effet qui l'affecte en cas de réussite.
- Saut sans élan. Le grung peut sauter en longueur jusqu'à 7,50 mètres ou en hauteur jusqu'à 4,50 mètres, avec ou sans élan.</t>
  </si>
  <si>
    <t xml:space="preserve">- Dague. Attaque au corps à corps avec une arme : +4 au toucher, allonge 1,50 m, une cible. Touché : 4 (1d4 + 2) dégâts perforants, et la cible doit réussir un jet de sauvegarde de Constitution DD 12 ou subir 5 (2d4) dégâts de poison.</t>
  </si>
  <si>
    <t xml:space="preserve">Grung, guerrier d'élite</t>
  </si>
  <si>
    <t xml:space="preserve">49 (9d6+18)</t>
  </si>
  <si>
    <t xml:space="preserve">Athlétisme +2
Perception +2
Discrétion +5
Survie +2
JS DEX+5</t>
  </si>
  <si>
    <t xml:space="preserve">- Dague. Attaque au corps à corps ou à distance avec une arme : +5 au toucher, allonge 1,50 m ou portée 6/18 m, une cible. Touché : 5 (1d4 + 3) dégâts perforants, et la cible doit réussir un jet de sauvegarde de Constitution DD 12 ou subir 5 (2d4) dégâts de poison.
- Arc court. Attaque à distance avec une arme : +5 au toucher, portée 24/96 m, une cible. Touché : 6 (1d6 + 3) dégâts perforants, et la cible doit réussir un jet de sauvegarde de Constitution DD 12 ou subir 5 (2d4) dégâts de poison.
- Gazouilli envoûtant (Recharge 6). Le grung émet un bruit de gazouillis auquel les grungs sont immunisés. Tout humanoïde ou bête qui se trouve à 4,50 mètres ou moins du grung et qui est capable de l'entendre doit réussir un jet de sauvegarde de Sagesse DD 12 ou être étourdi jusqu'à la fin du prochain tour du grung.</t>
  </si>
  <si>
    <t xml:space="preserve">Grung, sauvage</t>
  </si>
  <si>
    <t xml:space="preserve">27 (5d6+10)</t>
  </si>
  <si>
    <t xml:space="preserve">Athlétisme +2
Perception +4
Discrétion +5
Survie +4</t>
  </si>
  <si>
    <t xml:space="preserve">- Immunités aux dégâts poison
- Immunités aux états empoisonné
- Sens Perception passive 14
- Amphibien. Le grung peut respirer aussi bien dans l'air que sous l'eau.
- Peau vénéneuse. Toute créature qui agrippe le grung ou inversement entre en contact direct avec la peau du grung doit réussir un jet de Constitution DD 12 ou devenir empoisonnée pendant 1 minute. Une créature empoisonnée qui n'est plus en contact direct avec le grung peut répéter le jet de sauvegarde à la fin de chacun de ses tours, mettant fin à l'effet qui l'affecte en cas de réussite.
- Saut sans élan. Le grung peut sauter en longueur jusqu'à 7,50 mètres ou en hauteur jusqu'à 4,50 mètres, avec ou sans élan.
- Incantation. Le grung est un lanceur de sorts de niveau 9. Sa caractéristique pour lancer des sorts est la Sagesse (jet de sauvegarde contre ses sorts DD 12, +4 au toucher ppour les attaques avec un sort). Il connaît les sorts de rôdeur suivants :
  - Niveau 1 (4 emplacements) : soins, saut
  - Niveau 2 (3 emplacements) : peau d'écorce, croissance d'épines
  - Niveau 3 (2 emplacements) : croissance végétale</t>
  </si>
  <si>
    <t xml:space="preserve">- Dague. Attaque au corps à corps ou à distance avec une arme : +5 au toucher, allonge 1,50 m ou portée 6/18 m, une cible. Touché : 5 (1d4 + 3) dégâts perforants, et la cible doit réussir un jet de sauvegarde de Constitution DD 12 ou subir 5 (2d4) dégâts de poison.
- Arc court. Attaque à distance avec une arme : +5 au toucher, portée 24/96 m, une cible. Touché : 6 (1d6 + 3) dégâts perforants, et la cible doit réussir un jet de sauvegarde de Constitution DD 12 ou subir 5 (2d4) dégâts de poison.</t>
  </si>
  <si>
    <t xml:space="preserve">Guenaude annis</t>
  </si>
  <si>
    <t xml:space="preserve">Perception+5
Tromperie+5
JS CON+5</t>
  </si>
  <si>
    <t xml:space="preserve">commun, géant, sylvestre</t>
  </si>
  <si>
    <t xml:space="preserve">- Résistances aux dégâts froid ; contondant, perforant et tranchant d'attaques non magiques
- Sens vision dans le noir 18 m, Perception passive 15
- Incantation innée. La caractéristique d'incantation innée de la guenaude est le Charisme (jet de sauvegarde contre ses sorts DD 13). Elle peut lancer les sorts suivants de manière innée :
  - 3/jour chacun : déguisement (peut prendre la forme d'un humanoïde de taille M), nappe de brouillard</t>
  </si>
  <si>
    <t xml:space="preserve">- Attaques multiples. La guenaude annis effectue trois attaques : une de morsure et deux avec ses griffes.
- Morsure. Attaque au corps à corps avec une arme : +8 au toucher, allonge 1,50 m, une cible. Touché : 15 (3d6 + 5) dégâts perforants.
- Griffes. Attaque au corps à corps avec une arme : +8 au toucher, allonge 1,50 m, une cible. Touché : 15 (3d6 + 5) dégâts tranchants.
- Étreinte excessive. Attaque au corps à corps avec une arme : +8 au toucher, allonge 1,50 m, une cible. Touché : 36 (9d6 + 5) dégâts contondants, et la cible est agrippée (évasion DD 15) si c'est une créature de taille G ou plus petite. Tant qu'elle est agrippée, la cible subit 36 (9d6 + 5) dégâts contondants au début de chacun des tours de la guenaude. La guenaude ne peut pas effectuer d'attaque tant qu'elle agrippe une créature de la sorte.</t>
  </si>
  <si>
    <t xml:space="preserve">Guenaude frige</t>
  </si>
  <si>
    <t xml:space="preserve">Nature+4
Perception+4
Discrétion+6
Survie+4
JS SAG+4</t>
  </si>
  <si>
    <t xml:space="preserve">aérien, commun, géant</t>
  </si>
  <si>
    <t xml:space="preserve">-Immunités aux dégâts froid
- Sens vision dans le noir 18 m, Perception passive 14
- Magie de bâton-gris. La guenaude porte un bâton-gris, un bâton en bois gris qui contient sa puissance intérieure. Elle peut monter sur le bâton comme s'il s'agissait d'un balai volant. Tout en tenant le bâton, elle peut lancer des sorts supplémentaires avec son trait Incantation innée (ces sorts sont marqués d'un astérisque). Si le bâton est perdu ou détruit, la geunaude doit en fabriquer un autre, ce qui lui prend un an et un jour. Seule une guenaude frige peut utiliser un bâton-gris.
- Marche sur la glace. La guenaude peut se déplacer sur les sols gelés ou escalader les surfaces glacées sans avoir besoin d'effectuer un jet de caractéristique. De plus, les terrains difficiles formés de glace ou de neige ne lui coûtent pas de mouvement supplémentaire.
- Incantation innée. La caractéristique d'incantation innée de la geunaude est le Charisme (jet de sauvegarde contre ses sorts DD 14, +6 au toucher pour les attaques avec un sort). Elle peut lancer les sorts suivants de manière innée, sans avoir besoin de composantes matérielles :
  - À volonté : immobilisation de personne*, rayon de givre
  - 3/jour chacun : cône de froid*, tempête de grêle*, mur de glace*
  - 1/jour chacun : contrôle du climat</t>
  </si>
  <si>
    <t xml:space="preserve">- Coup. Attaque au corps à corps avec une arme : +4 au toucher, allonge 1,50 m, une cible. Touché : 10 (2d8 + 1) dégâts contondants + 3 (1d6) dégâts de froid.
- Festin oppressant. La geunaude se régale du cadavre d'un ennemi à 1,50 mètre ou moins d'elle qui est mort au cours de la dernière minute. Chaque créature au choix de la geunaude qui se trouve à 18 mètres ou moins d'elle et qui est capable de la voir doit réussir un jet de sauvegarde de Sagesse DD 15 ou être effrayée pendant 1 minute. Tant qu'elle est effrayée de cette manière, une créature est incapable d'agir, ne comprend plus ce que les autres disent, ne peut pas lire et ne parle qu'en charabia ; le MD contrôle le mouvement de la créature, qui est erratique. Une créature peut répéter le jet de sauvegarde à la fin de chacun de ses tours, mettant fin à l'effet qui l'affecte en cas de succès. Si le jet de sauvegarde d'une créature réussit ou si l'effet prend fin, la créature est immunisée contre le Festin oppressant de la geunaude durant les prochaines 24 heures.</t>
  </si>
  <si>
    <t xml:space="preserve">Guenaude marine</t>
  </si>
  <si>
    <t xml:space="preserve">9 m, nage 12 m</t>
  </si>
  <si>
    <t xml:space="preserve">aquatique, commun, géant</t>
  </si>
  <si>
    <t xml:space="preserve">- Sens vision dans le noir 18 m, Perception passive 11
- Langues aquatique, commun, géant
- Amphibien. La guenaude peut respirer aussi bien dans l'air que sous l'eau.
- Apparence horrifique. Un humanoïde commençant son tour dans un rayon de 9 mètres autour de la guenaude, et qui peut voir sa forme véritable, doit effectuer un jet de sauvegarde de Sagesse DD 11. En cas d'échec, la créature est effrayée pendant 1 minute. Une créature peut retenter son jet de sauvegarde à la fin de chacun de ses tours, avec un désavantage si la guenaude se trouve dans sa ligne de mire, mettant fin à l'effet en cas de réussite. Si le jet de sauvegarde d'une créature est une réussite ou si l'effet prend fin, la créature devient immunisée contre l'apparence horrifique de la guenaude pour les 24 prochaines heures. À moins que la cible ne soit prise par surprise, ou que la révélation de la forme véritable de la guenaude soit soudaine, la cible peut détourner le regarde et ainsi éviter de faire le premier jet de sauvegarde. Jusqu'à la fin de son prochain tour, une créature qui a détourné le regard a un désavantage aux jets d'attaque effectués contre le guenaude.</t>
  </si>
  <si>
    <t xml:space="preserve">- Griffes. Attaque au corps à corps avec une arme : +5 au toucher, allonge 1,50 m, une cible. Touché : 10 (2d6 + 3) dégâts tranchants.
- Éblouissement mortel. La guenaude cible une créature effrayée qu'elle peut voir et située dans un rayon de 9 mètres autour d'elle. Si la cible peut voir la guenaude, elle doit réussir un jet de sauvegarde de Sagesse DD 11 contre la magie ou tomber à 0 point de vie.
- Apparence illusoire. La guenaude se déguise, elle et tout ce qu'elle porte ou transporte, grâce à une illusion magique, en une créature laide de forme humanoïde et ayant à peu près sa taille. L'effet se termine si la guenaude utilise son action bonus pour y mettre fin ou si elle meurt. Les modifications corporelles apportées par cet effet ne parviennent pas à duper une inspection corporelle. Par exemple, la guenaude peut sembler ne pas avoir de griffes, mais quelqu'un touchant ses mains sentira ses griffes. Sinon, une créature doit utiliser une action pour inspecter visuellement l'illusion et réussir un jet d'Intelligence (Investigation) DD 16 pour remarquer que la guenaude est déguisée.</t>
  </si>
  <si>
    <t xml:space="preserve">Guenaude nocturne</t>
  </si>
  <si>
    <t xml:space="preserve">Discrétion+6
Intuition+6
Perception+6
Tromperie+7</t>
  </si>
  <si>
    <t xml:space="preserve">abyssal, commun, infernal, primordial</t>
  </si>
  <si>
    <t xml:space="preserve">- Résistances aux dégâts froid, feu ; contondant, perforant et tranchant d'attaques non magiques qui ne sont pas en argent
- Immunités aux états charmé
- Sens vision dans le noir 36 m, Perception passive 16
- Incantation innée. La caractéristique d'incantation innée de la guenaude est le Charisme (jet de sauvegarde contre ses sorts DD 14, +6 au toucher pour les attaques avec un sort). Elle peut lancer les sorts suivants de manière innée, sans avoir besoin de composantes matérielles :
  - À volonté : détection de la magie, projectile magique
  - 2/jour chacun : changement de plan (personnel uniquement), rayon affaiblissant, sommeil
- Résistance à la magie. La guenaude a un avantage aux jets de sauvegarde contre les sorts et autres effets magiques.</t>
  </si>
  <si>
    <t xml:space="preserve">- Griffes (forme de guenaude uniquement). Attaque au corps à corps avec une arme : +7 au toucher, allonge 1,50 m, une cible. Touché : 13 (2d8 + 4) dégâts tranchants.
- Changement de forme. La guenaude se métamorphose magiquement en une femelle humanoïde de taille M ou P, ou bien retrouve sa forme véritable. Ses statistiques sont les mêmes quelle que soit sa forme. L'équipement qu'elle porte ou transporte n'est pas transformé. Elle retrouve sa forme véritable si elle meurt.
- Passage dans l'éther. La guenaude passe du plan éthéré au plan matériel, ou vice versa. Pour ce faire, la guenaude doit avoir en sa possession une cardioline.
- Invasion cauchemardesque (1/jour). Tant qu'elle se trouve dans le plan éthéré, la guenaude touche par magie un humanoïde en train de dormir dans le plan matériel. Un sort de protection contre le mal et le bien lancé sur la cible empêche ce contact, comme le ferait un cercle magique. Tant qu'elle reste en contact, la créature a des visions d'épouvante. Si ces visions durent pendant au moins 1 heure, la cible ne gagne aucun bénéfice de son repos, et son maximum de points de vie est réduit de 5 (1d10). Si cet effet réduit le maximum de points de vie de la cible à 0, la cible meurt, et si la cible était mauvaise, son âme est piégée dans la besace aux âmes de la guenaude. La réduction du maximum de points de vie de la cible perdure jusqu'à ce qu'elle soit annulée par un sort de restauration supérieure ou toute autre magie similaire.</t>
  </si>
  <si>
    <t xml:space="preserve">Guenaude verte</t>
  </si>
  <si>
    <t xml:space="preserve">Arcanes+3
Discrétion+3
Perception+4
Tromperie+4</t>
  </si>
  <si>
    <t xml:space="preserve">commun, draconique, sylvestre</t>
  </si>
  <si>
    <t xml:space="preserve">- Sens vision dans le noir 18 m, Perception passive 14
- Amphibien. La guenaude peut respirer aussi bien dans l'air que sous l'eau.
- Incantation innée. La caractéristique d'incantation innée de la guenaude est le Charisme (jet de sauvegarde contre ses sorts DD 12). Elle peut lancer les sorts suivants de manière innée, sans avoir besoin de composantes matérielles :
  - À volonté : lumières dansantes, illusion mineure, moquerie cruelle
- Imitation. La guenaude peut imiter les cris des animaux et les voix des humanoïdes. Une créature qui entend ces sons peut dire qu'il s'agit d'imitations en réussissant un jet de Sagesse (Intuition) DD 14.</t>
  </si>
  <si>
    <t xml:space="preserve">- Griffes. Attaque au corps à corps avec une arme : +6 au toucher, allonge 1,50 m, une cible. Touché : 13 (2d8 + 4) dégâts tranchants.
- Apparence illusoire. Grace à une illusion magique la guenaude se déguise, elle et tout ce qu'elle porte ou transporte, en une autre créature d'une taille équivalente et de forme humanoïde. L'effet se termine si la guenaude utilise son action bonus pour y mettre fin ou si elle meurt. Les modifications corporelles apportées par cet effet ne parviennent pas à duper une inspection corporelle. Par exemple, la guenaude peut sembler avoir une peau douce et fine, mais quiconque la touche sent immédiatement sa chaire rugueuse. Sinon, une créature doit utiliser une action pour inspecter visuellement l'illusion et réussir un jet d'Intelligence (Investigation) DD 20 pour remarquer que la guenaude est déguisée.
- Passage invisible. La guenaude devient invisible par magie jusqu'à ce qu'elle attaque, lance un sort, ou jusqu'à ce que sa concentration se termine (comme si elle se concentrait sur un sort). Tant qu'elle est invisible, elle ne laisse aucune trace physique de son passage, elle ne peut donc être traquée que par magie. Tout l'équipement qu'elle porte ou transporte est également invisible.</t>
  </si>
  <si>
    <t xml:space="preserve">Guêpe géante</t>
  </si>
  <si>
    <t xml:space="preserve">- Dard. Attaque au corps à corps avec une arme : +4 au toucher, allonge 1,50 m, une créature. Touché : 5 (1d6 + 2) dégâts perforants, et la cible doit réaliser un jet de sauvegarde de Constitution DD 11, subissant 10 (3d6) dégâts de poison en cas d'échec, ou la moitié de ces dégâts en cas de réussite. Si le poison réduit les points de vie de la cible à 0, celle-ci est stable mais empoisonnée durant 1 heure, même si elle récupère des points de vie par la suite, et paralysée tant qu'elle est empoisonnée de cette manière.</t>
  </si>
  <si>
    <t xml:space="preserve">Guerrier tribal</t>
  </si>
  <si>
    <t xml:space="preserve">- Sens Perception passive 10
- Tactique de groupe. Le guerrier a un avantage aux jets d'attaque contre une créature si au moins l'un de ses alliés est à 1,50 mètre ou moins de la créature et n'est pas incapable d'agir.</t>
  </si>
  <si>
    <t xml:space="preserve">- Lance. Attaque au corps à corps ou à distance avec une arme : +3 au toucher, allonge 1,50 m ou portée 6/18 m, une cible. Touché : 4 (1d6 + 1) dégâts perforants, ou 5 (1d8 + 1) dégâts perforants si utilisée avec les deux mains pour une attaque au corps à corps.</t>
  </si>
  <si>
    <t xml:space="preserve">Gynosphinx</t>
  </si>
  <si>
    <t xml:space="preserve">12 m, vol18 m</t>
  </si>
  <si>
    <t xml:space="preserve">Arcanes+12
Histoire+12
Perception+8
Religion+8</t>
  </si>
  <si>
    <t xml:space="preserve">- Résistances aux dégâts contondant, perforant et tranchant d'attaques non magiques
- Immunités aux dégâts psychique
- Immunités aux états charmé, effrayé
- Sens vision véritable 36 m, Perception passive 18
- Inscrutable. Le sphinx est immunisé aux effets cherchant à ressentir ses émotions ou à lire ses pensées, ainsi qu'à n'importe quel sort de divination qu'il refuse. Les jets de Sagesse (Intuition) réalisés pour connaître les intentions ou la sincérité du sphinx subissent un désavantage.
- Armes magiques. Les attaques avec une arme du sphinx sont magiques.
- Incantation. Le sphinx est un lanceur de sorts de niveau 9. Sa caractéristique d'incantation est l'Intelligence (jet de sauvegarde contre ses sorts DD 16, +8 au toucher pour les attaques avec un sort). Il n'a pas besoin de composantes matérielles pour lancer ses sorts. Le sphinx a la liste de sorts de magicien suivante préparée :
  - Sorts mineurs (à volonté) : illusion mineure, main de mage, prestidigitation
  - Niveau 1 (4 emplacements) : bouclier, détection de la magie, identification
  - Niveau 2 (3 emplacements) : localisation d'objet, ténèbres, suggestion
  - Niveau 3 (3 emplacements) : délivrance des malédictions, dissipation de la magie, don des langues
  - Niveau 4 (3 emplacements) : bannissement, invisibilité supérieure
  - Niveau 5 (1 emplacement) : Mythes et légendes</t>
  </si>
  <si>
    <t xml:space="preserve">- Attaques multiples. Le sphinx effectue deux attaques avec ses griffes.
- Griffes. Attaque au corps à corps avec une arme : +8 au toucher, allonge 1,50 m, une cible. Touché : 13 (2d8 + 4) dégâts tranchants.</t>
  </si>
  <si>
    <t xml:space="preserve">Le sphinx peut effectuer 3 actions légendaires, en choisissant parmi les options suivantes. Une seule action légendaire peut être utilisée à la fois, et seulement à la fin du tour d'une autre créature. Le sphinx récupère les actions légendaires dépensées au début de son tour.
- Attaque avec les griffes. Le sphinx effectue une attaque avec ses griffes.
- Téléportation (coûte 2 actions). Le sphinx se téléporte magiquement, emportant avec lui l'équipement qu'il porte ou transporte, jusqu'à un espace inoccupé qu'il peut voir à 36 mètres maximum.
- Sort (coûte 3 actions). Le sphinx lance un sort choisi parmi sa liste de sorts préparés, en utilisant un emplacement de sort normalement.</t>
  </si>
  <si>
    <t xml:space="preserve">Harpie</t>
  </si>
  <si>
    <t xml:space="preserve">- Attaques multiples. La harpie effectue deux attaques : une avec ses griffes et une avec son gourdin.
- Griffes. Attaque au corps à corps avec une arme : +3 au toucher, allonge 1,50 m, une cible. Touché : 6 (2d4 + 1) dégâts tranchants.
- Gourdin. Attaque au corps à corps avec une arme : +3 au toucher, allonge 1,50 m, une cible. Touché : 3 (1d4 + 1) dégâts contondants.
- Chant captivant. La harpie entonne une mélodie magique. Tout humanoïde ou géant à 90 mètres maximum de la harpie et qui peut entendre le chant doit réussir un jet de sauvegarde de Sagesse DD 11 ou bien se retrouver charmé jusqu'à ce que le chant prenne fin. La harpie doit utiliser une action bonus lors de ses tours suivants pour prolonger le chant. Elle peut interrompre le chant à tout moment. Le chant s'interrompt si la harpie est incapable d'agir. Tant qu'elle est sous l'effet du charme, la cible est incapable d'agir et n'est pas affectée par le chant d'autres harpies. Si la cible charmée se trouve à plus de 1,50 mètre de la harpie, cette cible doit durant son tour se diriger vers la harpie par le chemin le plus direct. Elle ne peut éviter les attaques d'opportunité, mais peut refaire un jet de sauvegarde dès qu'elle pénètre une zone pouvant créer des dégâts (de la lave ou une fosse par exemple) ou dès qu'elle subit des dégâts provenant d'une autre source que la harpie. Une créature peut aussi relancer son jet de sauvegarde à la fin de chacun de ses tours. Lorsque le jet de sauvegarde est réussi, l'effet du charme prend fin. Une cible ayant réussi son jet de sauvegarde est immunisée contre le chant de cette harpie pour les prochaines 24 heures.</t>
  </si>
  <si>
    <t xml:space="preserve">Hezrou</t>
  </si>
  <si>
    <t xml:space="preserve">136 (13d10+65)</t>
  </si>
  <si>
    <t xml:space="preserve">JS FOR+7
JS CON+8
JS SAG+4</t>
  </si>
  <si>
    <t xml:space="preserve">- Résistances aux dégâts froid, feu, foudre ; contondant, perforant et tranchant d'attaques non magiques
- Immunités aux dégâts poison
- Immunités aux états empoisonné
- Sens vision dans le noir 36 m, Perception passive 11
- Résistance à la magie. Le hezrou a un avantage aux jets de sauvegarde contre les sorts et autres effets magiques.
- Puanteur. Toute créature débutant son tour dans un rayon de 3 mètres autour du hezrou doit réussir un jet de sauvegarde de Constitution DD 14 ou être empoisonnée jusqu'au début de son prochain tour. Si elle réussit son jet de sauvegarde, la créature est immunisée contre la puanteur des hezrous pour les prochaines 24 heures.</t>
  </si>
  <si>
    <t xml:space="preserve">- Attaques multiples. Le hezrou effectue trois attaques : une de morsure et deux avec ses griffes.
- Griffes. Attaque au corps à corps avec une arme : +7 au toucher, allonge 1,50 m, une cible. Touché : 11 (2d6 + 4) dégâts tranchants.
- Morsure. Attaque au corps à corps avec une arme : +7 au toucher, allonge 1,50 m, une cible. Touché : 15 (2d10 + 4) dégâts perforants.</t>
  </si>
  <si>
    <t xml:space="preserve">Hippocampe</t>
  </si>
  <si>
    <t xml:space="preserve">0 m, nage 6 m</t>
  </si>
  <si>
    <t xml:space="preserve">- Sens Perception passive 10
- Respiration aquatique. L'hippocampe ne peut respirer que sous l'eau.</t>
  </si>
  <si>
    <t xml:space="preserve">Hippocampe géant</t>
  </si>
  <si>
    <t xml:space="preserve">16 (3d10)</t>
  </si>
  <si>
    <t xml:space="preserve">0 m, nage 12 m</t>
  </si>
  <si>
    <t xml:space="preserve">- Sens Perception passive 11
- Charge. Si l'hippocampe se déplace d'au moins 6 mètres en ligne droite vers une cible, puis la touche lors d'une attaque avec un coup de tête dans le même tour, la cible subit 7 (2d6) dégâts contondants supplémentaires. Si la cible est une créature, elle doit réussir un jet de sauvegarde de Force DD 11 ou tomber à terre.
- Respiration aquatique. L'hippocampe ne peut respirer que sous l'eau.</t>
  </si>
  <si>
    <t xml:space="preserve">- Coup de tête. Attaque au corps à corps avec une arme : +3 au toucher, allonge 1,50 m, une cible. Touché : 4 (1d6 + 1) dégâts contondants.</t>
  </si>
  <si>
    <t xml:space="preserve">Hippogriffe</t>
  </si>
  <si>
    <t xml:space="preserve">- Sens Perception passive 15
- Vue aiguisée. Un hippogriffe a un avantage aux jets de Sagesse (Perception) basés sur la vue.</t>
  </si>
  <si>
    <t xml:space="preserve">- Attaques multiples. L'hippogriffe effectue deux attaques : une avec son bec et une avec ses griffes.
- Bec. Attaque au corps à corps avec une arme : +5 au toucher, allonge 1,50 m, une cible. Touché : 8 (1d10 + 3) dégâts perforants.
- Griffes. Attaque au corps à corps avec une arme : +5 au toucher, allonge 1,50 m, une cible. Touché : 10 (2d6 + 3) dégâts tranchants.</t>
  </si>
  <si>
    <t xml:space="preserve">Hobgobelin</t>
  </si>
  <si>
    <t xml:space="preserve">- Sens vision dans le noir 18 m, Perception passive 10
- Avantage martial. Une fois par tour, le hobgobelin peut infliger 7 (2d6) dégâts supplémentaires à une créature contre laquelle
il réussit une attaque d’arme, si cette créature se trouve à 1,50 mètre ou moins d’un allié du hobgobelin et si cet allié n’est pas neutralisé.</t>
  </si>
  <si>
    <t xml:space="preserve">- Arc long. Attaque d’arme à distance : +3 pour toucher, portée 45/180 m, une cible. Touché : 5 (1d8+1) dégâts perforants.
- Épée longue. Attaque d’arme au corps à corps : +3 pour toucher, allonge 1,50 m, une cible. Touché : 5 (1d8+1) dégâts tranchants.</t>
  </si>
  <si>
    <t xml:space="preserve">Hobgobelin, capitaine</t>
  </si>
  <si>
    <t xml:space="preserve">- Sens vision dans le noir 18 m, Perception passive 10
- Avantage martial. Une fois par tour, l'hobgobelin peut infliger 10 (3d6) dégâts supplémentaires à une créature qu'il touche lors d'une attaque avec une arme si cette créature se trouve à 1,50 mètre ou moins d'un allié de l'hobgobelin qui n'est pas incapable d'agir.</t>
  </si>
  <si>
    <t xml:space="preserve">- Attaques multiples. L'hobgobelin effectue deux attaques d'épée à deux mains.
- Épée à deux mains. Attaque au corps à corps avec une arme : +4 au toucher, allonge 1,50 m, une cible. Touché : 9 (2d6 + 2) dégâts perforants.
- Javeline. Attaque au corps à corps ou à distance avec une arme : +4 au toucher, allonge 1,50 m ou portée 9/36 m, une cible. Touché : 5 (1d6 + 2) dégâts perforants.
- Commandement (Recharge après un repos court ou long). Pendant 1 minute, l'hobgobelin peut lancer un avertissement ou un ordre spécial chaque fois qu'une créature non-hostile qu'il peut voir dans un rayon de 9 mètres autour de lui effectue un jet d'attaque ou de sauvegarde. La créature peut ajouter un d4 à son jet à condition qu'elle puisse entendre et comprendre l'hobgobelin. Une créature ne peut bénéficier que d'un seul dé de Commandement à la fois. Cet effet prend fin si l'hobgobelin est incapable d'agir.</t>
  </si>
  <si>
    <t xml:space="preserve">Hobgobelin, ombre de fer</t>
  </si>
  <si>
    <t xml:space="preserve">Acrobaties+5
Athlétisme+4
Discrétion+5</t>
  </si>
  <si>
    <t xml:space="preserve">- Sens vision dans le noir 18 m, Perception passive 12
- Incantation. L'hobgobelin est un lanceur de sorts de niveau 2. Sa caractéristique d'incantation est l'Intelligence (jet de sauvegarde contre ses sorts DD 12, +4 au toucher pour les attaques avec un sort). Il a préparé les sorts de magicien suivants :
  - Sorts mineurs (à volonté) : illusion mineure, prestidigitation, coup au but
  - Niveau 1 (3 emplacements) : charme-personne, déguisement, repli expéditif, image silencieuse
- Défense sans armure. Si l'hobgobelin ne porte pas d'armure et n'est pas équipé d'un bouclier, sa CA prend en compte son modificateur de Sagesse.</t>
  </si>
  <si>
    <t xml:space="preserve">- Attaques multiples. L'hobgobelin effectue quatre attaques, chacune d'entre elles pouvant être une attaque à mains nues ou une attaque avec une fléchette. Il peut également utiliser Détour par les ombres une fois, soit avant, soit après l'une de ses attaques.
- Attaque à mains nues. Attaque au corps à corps avec une arme : +5 au toucher, allonge 1,50 m, une cible. Touché : 5 (1d4 + 3) dégâts contondants.
- Fléchette. Attaque à distance avec une arme : +5 au toucher, portée 6/18 m, une cible. Touché : 5 (1d4 + 3) dégâts perforants.
- Détour par les ombres. L'hobgobelin se téléporte par magie, avec tout l'équipement qu'il porte et transporte, vers un endroit qu'il peut voir et se trouvant à 9 mètres ou moins de lui. L'endroit qu'il quitte et l'endroit où il arrive doivent être tous les deux plongés dans les ténèbres ou faiblement éclairés.</t>
  </si>
  <si>
    <t xml:space="preserve">Hobgobelin, ravageur</t>
  </si>
  <si>
    <t xml:space="preserve">45 (7d8+14)</t>
  </si>
  <si>
    <t xml:space="preserve">Arcanes+5</t>
  </si>
  <si>
    <t xml:space="preserve">- Sens vision dans le noir 18 m, Perception passive 11
- Avantage des arcanes. Une fois par tour, l'hobgobelin peut infliger 7 (2d6) points de dégât supplémentaires à une créature qu'il touche lors d'une attaque avec un sort qui cause des dégâts si cette cible se trouve à 1,50 mètre ou moins d'un allié de l'hobgobelin et que cet allié n'est pas incapable d'agir.
- Arcanes de l'armée. Lorsque l'hobgobelin lance un sort qui cause des dégâts ou qui force d'autres créatures à effectuer un jet de sauvegarde, il peut choisir n'importe quel nombre d'alliés (lui y compris) pour être immunisé contre les dégâts causés par le sort et réussir le jet de sauvegarde requis.
- Incantation. L'hobgobelin est un lanceur de sorts de niveau 7. Sa caractéristique d'incantation est l'Intelligence (jet de sauvegarde contre ses sorts DD 13, +5 au toucher pour les attaques avec un sort). Il a préparé les sorts de magicien suivants :
  - Sorts mineurs (à volonté) : aspersion d'acide, trait de feu, rayon de givre, poigne électrique
  - Niveau 1 (4 emplacements) : nappe de brouillard, projectile magique, vague tonnante
  - Niveau 2 (3 emplacements) : bourrasque, flèche acide de Melf, rayon ardent
  - Niveau 3 (3 emplacements) : boule de feu, vol, éclair
  - Niveau 4 (1 emplacement) : tempête de grêle</t>
  </si>
  <si>
    <t xml:space="preserve">- Bâton. Attaque au corps à corps avec une arme : +3 au toucher, allonge 1,50 m, une cible. Touché : 4 (1d6 + 1) dégâts contondants, ou 5 (1d8 + 1) dégâts contondants s'il est utilisé à deux mains.</t>
  </si>
  <si>
    <t xml:space="preserve">Hobgobelin, seigneur de guerre</t>
  </si>
  <si>
    <t xml:space="preserve">JS INT+5
JS SAG+3
JS CHA+5</t>
  </si>
  <si>
    <t xml:space="preserve">- Sens vision dans le noir 18 m, Perception passive 10
- Avantage martial. Une fois par tour, l'hobgobelin peut infliger 14 (4d6) dégâts supplémentaires à une créature qu'il touche lors d'une attaque avec une arme si cette créature se trouve à 1,50 mètre ou moins d'un allié de l'hobgobelin qui n'est pas incapable d'agir.</t>
  </si>
  <si>
    <t xml:space="preserve">- Attaques multiples. L'hobgobelin effectue trois attaques au corps à corps. Il peut sinon effectuer deux attaques à distance avec ses javelines.
- Épée longue. Attaque au corps à corps avec une arme : +9 au toucher, allonge 1,50 m, une cible. Touché : 7 (1d8 + 3) dégâts tranchants, ou 8 (1d10 + 3) dégâts tranchants si utilisée à deux mains.
- Coup de bouclier. Attaque au corps à corps avec une arme : +9 au toucher, allonge 1,50 m, une créature. Touché : 5 (1d4 + 3) dégâts contondants. Si la cible est une créature de taille G ou inférieure, elle doit réussir un jet de sauvegarde de Force DD 14 pour ne pas tomber à terre.
- Javeline. Attaque au corps à corps ou à distance avec une arme : +9 au toucher, allonge 1,50 m ou portée 9/36 m, une cible. Touché : 6 (1d6 + 3) dégâts perforants.
- Commandement (Recharge après un repos court ou long). Pendant 1 minute, l'hobgobelin peut lancer un avertissement ou un ordre spécial chaque fois qu'une créature non-hostile qu'il peut voir dans un rayon de 9 mètres autour de lui effectue un jet d'attaque ou de sauvegarde. La créature peut ajouter un d4 à son jet à condition qu'elle puisse entendre et comprendre l'hobgobelin. Une créature ne peut bénéficier que d'un seul dé de Commandement à la fois. Cet effet prend fin si l'hobgobelin est incapable d'agir.</t>
  </si>
  <si>
    <t xml:space="preserve">- Parade. L'hobgobelin ajoute 3 à sa CA contre une attaque au corps à corps qui le toucherait. Pour ce faire, il doit voir l'attaquant et avoir en main une arme de corps à corps.</t>
  </si>
  <si>
    <t xml:space="preserve">Homme-lézard</t>
  </si>
  <si>
    <t xml:space="preserve">Humanoïde (homme-lézard)</t>
  </si>
  <si>
    <t xml:space="preserve">Discrétion+4
Perception+3
Survie+5</t>
  </si>
  <si>
    <t xml:space="preserve">- Sens Perception passive 13
- Apnée. L'homme-lézard peut retenir son souffle durant 15 minutes</t>
  </si>
  <si>
    <t xml:space="preserve">- Attaques multiples. L'homme-lézard effectue deux attaques au corps à corps, chacune avec une arme différente.
- Morsure. Attaque au corps à corps avec une arme : +4 au toucher, allonge 1,50 m, une cible. Touché : 5 (1d6 + 2) dégâts perforants.
- Gourdin lesté. Attaque au corps à corps avec une arme : +4 au toucher, allonge 1,50 m, une cible. Touché : 5 (1d6 + 2) dégâts contondants.
- Javeline. Attaque au corps à corps ou à distance avec une arme : +4 au toucher, allonge 1,50 m ou portée 9/36 m, une cible. Touché : 5 (1d6 + 2) dégâts perforants.
- Bouclier à pointe. Attaque au corps à corps avec une arme : +4 au toucher, allonge 1,50 m, une cible. Touché : 5 (1d6 + 2) dégâts perforants.</t>
  </si>
  <si>
    <t xml:space="preserve">Homme-lézard, chaman</t>
  </si>
  <si>
    <t xml:space="preserve">Discrétion+4
Perception+4
Survie+6</t>
  </si>
  <si>
    <t xml:space="preserve">- Sens Perception passive 14
- Apnée. L'homme-lézard peut retenir son souffle durant 15 minutes.
- Incantation (forme d'homme-lézard uniquement). L'homme-lézard est un lanceur de sorts de niveau 5. Sa caractéristique d'incantation est la Sagesse (jet de sauvegarde contre ses sorts DD 12, +4 au toucher pour les attaques avec un sort). L'homme-lézard a préparé les sorts de druide suivants :
  - Sorts mineurs (à volonté) : druidisme, flammes, fouet épineux
  - Niveau 1 (4 emplacements) : enchevêtrement, nappe de brouillard
  - Niveau 2 (3 emplacements) : métal brûlant, croissance d'épines
  - Niveau 3 (2 emplacements) : invocation d'animaux (reptiles uniquement), croissance végétale</t>
  </si>
  <si>
    <t xml:space="preserve">- Attaques multiples (forme d'homme-lézard uniquement). L'homme-lézard effectue deux attaques : une de morsure et une avec ses griffes.
- Morsure. Attaque au corps à corps avec une arme : +4 au toucher, allonge 1,50 m, une cible. Touché : 5 (1d6 + 2) dégâts perforants, ou 7 (1d10 + 2) dégâts perforants sous forme de crocodile. Si l'homme-lézard est sous forme de crocodile et que sa cible est une créature de taille G ou inférieure, la cible est agrippée (évasion DD 12). Tant qu'elle est agrippée, la cible est entravée, et l'homme-lézard ne peut plus mordre d'autres cibles. Si l'homme-lézard retourne à sa forme véritable, la cible n'est plus agrippée.
- Griffes (forme d'homme-lézard uniquement). Attaque au corps à corps avec une arme : +4 au toucher, allonge 1,50 m, une cible. Touché : 4 (1d4 + 2) dégâts tranchants.
- Changement de forme (Recharge après un repos court ou long). L'homme-lézard se métamorphose magiquement en un crocodile et peut rester sous cette forme durant 1 heure. Il peut revenir à sa forme véritable par une action bonus. Ses statistiques, autres que sa taille, sont les mêmes que sous sa forme humanoïde. L'équipement qu'il porte ou transporte n'est pas transformé. L'homme-lézard retrouve sa forme humanoïde s'il est tué.</t>
  </si>
  <si>
    <t xml:space="preserve">Homme-poison</t>
  </si>
  <si>
    <t xml:space="preserve">Humanoïde (homme-poisson)</t>
  </si>
  <si>
    <t xml:space="preserve">aquatique, commun</t>
  </si>
  <si>
    <t xml:space="preserve">- Sens Perception passive 12
- Amphibien. L'homme-poisson peut respirer aussi bien dans l'air que sous l'eau.</t>
  </si>
  <si>
    <t xml:space="preserve">- Lance. Attaque au corps à corps ou à distance avec une arme : +2 au toucher, allonge 1,50 m ou portée 6/18 m, une cible. Touché : 3 (1d6) dégâts perforants, ou 4 (1d8) dégâts perforants si utilisée à deux mains pour faire une attaque au corps à corps.</t>
  </si>
  <si>
    <t xml:space="preserve">Homoncule</t>
  </si>
  <si>
    <t xml:space="preserve">5 (2d4)</t>
  </si>
  <si>
    <t xml:space="preserve">- Immunités aux dégâts poison
- Immunités aux états charmé, empoisonné
- Sens vision dans le noir 18 m, Perception passive 10
- Lien télépathique. Tant que l'homoncule se trouve sur le même plan d'existence que son maître, il peut magiquement transmettre à son maître ce qu'il perçoit, et tous deux peuvent communiquer par télépathie.</t>
  </si>
  <si>
    <t xml:space="preserve">- Morsure. Attaque au corps à corps avec une arme : +4 au toucher, allonge 1,50 m, une créature. Touché : 1 dégât perforant, et la cible doit réussir un jet de sauvegarde de Constitution DD 10 ou être empoisonnée pendant 1 minute. Si le jet de sauvegarde échoue de 5 ou plus, la cible est empoisonnée durant 5 (1d10) minutes et est inconsciente tant qu'elle est empoisonnée de la sorte.</t>
  </si>
  <si>
    <t xml:space="preserve">Horreur casquée</t>
  </si>
  <si>
    <t xml:space="preserve">- Résistances aux dégâts contondant, perforant et tranchant d'attaques non magiques qui ne sont pas en adamantium
- Immunités aux dégâts force, nécrotique, poison
- Immunités aux états aveuglé, charmé, assourdi, effrayé, paralysé, pétrifié, empoisonné, étourdi
- Sens vision aveugle 18 m (aveugle au-delà de ce rayon), Perception passive 14
- Résistance à la magie. L'horreur casquée a un avantage aux jets de sauvegarde contre les sorts et autres effets magiques.
- Immunité aux sorts. L'horreur casquée est immunisée contre 3 sorts choisis par son créateur. Les immunités les plus répandues sont celles aux sorts de boule de feu, métal brûlant et éclair.</t>
  </si>
  <si>
    <t xml:space="preserve">- Attaques multiples. L'horreur casquée effectue deux attaques d'épée longue.
- Épée longue. Attaque au corps à corps avec une arme : +6 au toucher, allonge 1,50 m, une cible. Touché : 8 (1d8 + 4) dégâts tranchants, ou 9 (1d10 + 4) dégâts tranchants si utilisée à deux mains.</t>
  </si>
  <si>
    <t xml:space="preserve">Horreur crochue</t>
  </si>
  <si>
    <t xml:space="preserve">horreur crochue</t>
  </si>
  <si>
    <t xml:space="preserve">- Sens vision aveugle 18 m, vision dans le noir 36 m, Perception passive 13
- Écholocalisation. L'horreur crochue ne peut pas utiliser sa vision aveugle si elle est assourdie.
- Audition affûtée. L'horreur crochue a un avantage aux jets de Sagesse (Perception) basés sur l'ouïe.</t>
  </si>
  <si>
    <t xml:space="preserve">- Attaques multiples. L'horreur crochue effectue deux attaques de crochet.
- Crochet. Attaque au corps à corps avec une arme : +6 au toucher, allonge 3 m, une cible. Touché : 11 (2d6 + 4) dégâts perforants.</t>
  </si>
  <si>
    <t xml:space="preserve">Hurbet, Malfrat</t>
  </si>
  <si>
    <t xml:space="preserve">Perception+10</t>
  </si>
  <si>
    <t xml:space="preserve">-Intimidation +2, Sens Perception passive 10</t>
  </si>
  <si>
    <t xml:space="preserve">CAPACITÉS
Tactique de groupe. Avantage à l’attaque si un allié conscient est à 1,50 m de la cible.
ACTIONS
Attaques multiples. 2 attaques à l’épée par tour.
Épée longue. Mêlée +4, 1d8+2 tranchants.
Arbalète lourde. Distance +4, 30/120 m, 1d10 perforants.</t>
  </si>
  <si>
    <t xml:space="preserve">Hydre</t>
  </si>
  <si>
    <t xml:space="preserve">- Sens vision dans le noir 18 m, Perception passive 16
- Apnée. L'hydre peut retenir son souffle durant 1 heure.
- Têtes multiples. L'hydre a cinq têtes. Tant qu'elle a plus d'une tête, l'hydre a un avantage aux jets de sauvegarde contre les effets pouvant causer les états aveuglé, charmé, assourdie, effrayé, étourdi ou inconscient. Dès que l'hydre prend 25 points de dégâts ou plus en un seul tour, une de ses têtes meurt. Si toutes ses têtes sont tuées, l'hydre meurt. À la fin de son tour, pour chaque tête tuée depuis son dernier tour, il en repousse deux nouvelles, à moins que l'hydre ait reçu des dégâts de feu depuis son dernier tour. L'hydre récupère 10 points de vie pour chaque tête ayant repoussée de cette façon.
- Têtes réactives. Pour chaque tête en plus de la première que l'hydre possède, elle obtient une réaction supplémentaire qui ne peut être utilisée que pour effectuer des attaques d'opportunité.
- Toujours éveillée. Lorsque l'hydre dort, elle a toujours au moins une de ses têtes qui est éveillée..</t>
  </si>
  <si>
    <t xml:space="preserve">- Attaques multiples. L'hydre peut effectuer autant d'attaques de morsure qu'elle a de têtes.
- Morsure. Attaque au corps à corps avec une arme : +8 au toucher, allonge 3 m, une cible. Touché : 10 (1d10 + 5) dégâts perforants.</t>
  </si>
  <si>
    <t xml:space="preserve">Hyène</t>
  </si>
  <si>
    <t xml:space="preserve">5 (1d8+1)</t>
  </si>
  <si>
    <t xml:space="preserve">- Sens Perception passive 13
- Tactique de groupe. La hyène a un avantage aux jets d'attaque contre une créature si au moins l'un de ses alliés est à 1,50 mètre ou moins de la créature et n'est pas incapable d'agir.</t>
  </si>
  <si>
    <t xml:space="preserve">- Morsure. Attaque au corps à corps avec une arme : +2 au toucher, allonge 1,50 m, une cible. Touché : 3 (1d6) dégâts perforants.</t>
  </si>
  <si>
    <t xml:space="preserve">Hyène géante</t>
  </si>
  <si>
    <t xml:space="preserve">- Sens Perception passive 13
- Déchaîné. Lorsque durant son tour la hyène fait tomber les points de vie d'une créature à 0 avec une attaque au corps à corps, elle peut utiliser une action bonus pour se déplacer de la moitié de sa vitesse et effectuer une attaque de morsure.</t>
  </si>
  <si>
    <t xml:space="preserve">- Morsure. Attaque au corps à corps avec une arme : +5 au toucher, allonge 1,50 m, une cible. Touché : 10 (2d6 + 3) dégâts perforants.</t>
  </si>
  <si>
    <t xml:space="preserve">Illusionniste</t>
  </si>
  <si>
    <t xml:space="preserve">Arcanes+5
Histoire+5
JS INT+5
JS SAG+2</t>
  </si>
  <si>
    <t xml:space="preserve">- Sens Perception passive 10
- Incantation. L'illusionniste est un lanceur de sorts de niveau 7. Sa caractéristique d'incantation est l'Intelligence (jet de sauvegarde contre ses sorts DD 13, +5 au toucher pour les attaques avec un sort). Il a préparé les sorts de magicien suivants :
  - Sorts mineurs (à volonté) : lumières dansantes, main de mage, illusion mineure, bouffée de poison
  - Niveau 1 (4 emplacements) : couleurs dansantes*, déguisement*, armure de mage, projectile magique
  - Niveau 2 (3 emplacements) : invisibilité*, image miroir*, force fantasmagorique*
  - Niveau 3 (3 emplacements) : image majeure*, monture fantôme*
  - Niveau 4 (1 emplacement) : assassin imaginaire*
* sort d'illusion de niveau 1 ou supérieur
- Déplacement (Recharge après que l'illusionniste ait lancé un sort d'illusion de niveau 1 ou supérieur). Par une action bonus, l'illusionniste projette une illusion qui le fait apparaître à quelques centimètres de son emplacement réel, faisant en sorte que les créatures ont un désavantage à leurs jets d'attaque contre lui. L'effet se termine si l'illusionniste subit des dégâts, est incapable d'agir ou si sa vitesse tombe à 0.</t>
  </si>
  <si>
    <t xml:space="preserve">- Bâton. Attaque au corps à corps avec une arme : +1 au toucher, allonge 1,50 m, une cible. Touché : 2 (1d6 -1) dégâts contondants, ou 3 (1d8 -1) dégâts contondants si utilisé avec les deux mains.</t>
  </si>
  <si>
    <t xml:space="preserve">Invocateur</t>
  </si>
  <si>
    <t xml:space="preserve">- Sens Perception passive 11
- Incantation. Le conjurateur est un lanceur de sorts de niveau 9. Sa caractéristique d'incantation est l'Intelligence (jet de sauvegarde contre ses sorts DD 14, +6 au toucher pour les attaques avec un sort). Il a préparé les sorts de magicien suivants :
  - Sorts mineurs (à volonté) : aspersion d'acide, main de mage, bouffée de poison, prestidigitation
  - Niveau 1 (4 emplacements) : armure de mage, projectile magique, serviteur invisible*
  - Niveau 2 (3 emplacements) : nuée de dagues*, foulée brumeuse*, toile d'araignée*
  - Niveau 3 (3 emplacements) : boule de feu, nuage nauséabond*
  - Niveau 4 (3 emplacements) : tentacules noirs d'Evard*, peau de pierre
  - Niveau 5 (2 emplacements) : brume mortelle*, invocation d'élémentaire*
* sort d'invocation de niveau 1 ou supérieur
- Transport bénin (Recharge après que l'invocateur ait lancé un sort d'invocation de niveau 1 ou supérieur). Par une action de bonus, l'invocateur se téléporte jusqu'à 9 mètres dans un espace inoccupé qu'il peut voir. S'il choisit à la place un espace à portée qui est occupé par une créature de taille P ou M consentante, ils se téléportent tous les deux, échangeant de places.</t>
  </si>
  <si>
    <t xml:space="preserve">- Dague. Attaque au corps à corps ou à distance avec une arme : +5 au toucher, allonge 1,50 m ou portée 6/18 m, une cible. Touché : 4 (1d4 + 2) dégâts perforants.</t>
  </si>
  <si>
    <t xml:space="preserve">Kenku</t>
  </si>
  <si>
    <t xml:space="preserve">Humanoïde (kenku)</t>
  </si>
  <si>
    <t xml:space="preserve">12 (3d8)</t>
  </si>
  <si>
    <t xml:space="preserve">Discrétion+5
Perception+2
Tromperie+4</t>
  </si>
  <si>
    <t xml:space="preserve">comprend l'aérien et le commun mais ne peut parler qu'en utilisant son trait Imitation des sons</t>
  </si>
  <si>
    <t xml:space="preserve">- Sens Perception passive 12
- Embuscade. Lors du premier round d'un combat, le kenku a un avantage aux jets d'attaque contre toute créature qu'il a surprise.
- Imitation. Le kenku peut reproduire tout son qu'il a entendu, dont les voix. Une créature qui entend ces sons peut dire qu'il s'agit d'imitation en réussissant un jet de Sagesse (Intuition) DD 14.</t>
  </si>
  <si>
    <t xml:space="preserve">- Épée courte. Attaque au corps à corps avec une arme : +5 au toucher, allonge 1,50 m, une cible. Touché : 6 (1d6 + 3) dégâts perforants.
- Arc court. Attaque à distance avec une arme : +5 au toucher, portée 24/96 m, une cible. Touché : 6 (1d6 + 3) dégâts perforants.</t>
  </si>
  <si>
    <t xml:space="preserve">Ki-rin</t>
  </si>
  <si>
    <t xml:space="preserve">152 (16d12+48)</t>
  </si>
  <si>
    <t xml:space="preserve">18 m, vol 36 m (stationnaire)</t>
  </si>
  <si>
    <t xml:space="preserve">Intuition+9
Perception+9
Religion+8</t>
  </si>
  <si>
    <t xml:space="preserve">- Immunités aux dégâts poison
- Immunités aux états empoisonné
- Sens vision aveugle 9 m, vision dans le noir 36 m, Perception passive 19
- Incantation innée. La caractéristique d'incantation innée du ki-rin est le Charisme (jet de sauvegarde contre ses sorts DD 17). Le ki-rin peut lancer les sorts suivants de manière innée, sans avoir besoin de composantes matérielles :
  - À volonté : forme gazeuse, image majeure (lancé au niveau 6), marche sur le vent
  - 1/jour : création de nourriture et d'eau
- Résistance légendaire (3/jour). Si le ki-rin échoue à un jet de sauvegarde, il peut décider de transformer cet échec en réussite.
- Résistance à la magie. Le ki-rin a un avantage aux jets de sauvegarde contre les sorts et autres effets magiques.
- Armes magiques. Les attaques avec une arme du ki-rin sont magiques.
- Incantation. Le ki-rin est un lanceur de sorts de niveau 18. Sa caractéristique d'incantation est la Sagesse (jet de sauvegarde contre ses sorts DD 17, +9 au toucher pour les attaques avec un sort). Il a préparé les sorts de clerc suivants :
  - Sorts mineurs (à volonté) : lumière, réparation, flamme sacrée, stabilisation, thaumaturgie
  - Niveau 1 (4 emplacements) : injonction, soins, détection du mal et du bien, protection contre le mal et le bien, sanctuaire
  - Niveau 2 (3 emplacements) : apaisement des émotions, restauration partielle, silence
  - Niveau 3 (3 emplacements) : dissipation de la magie, délivrance des malédictions, communication à distance
  - Niveau 4 (3 emplacements) : bannissement, liberté de mouvement, gardien de la foi
  - Niveau 5 (3 emplacements) : restauration supérieure, soins de groupe, scrutation
  - Niveau 6 (1 emplacement) : festin des héros, vision suprême
  - Niveau 7 (1 emplacement) : forme éthérée, changement de plan
  - Niveau 8 (1 emplacement) : contrôle du climat
  - Niveau 9 (1 emplacement) : résurrection suprême</t>
  </si>
  <si>
    <t xml:space="preserve">- Attaques multiples. Le ki-rin effectue trois attaques : deux avec ses sabots et une avec sa corne.
- Sabot. Attaque au corps à corps avec une arme : +9 au toucher, allonge 4,50 m, une cible. Touché : 10 (2d4 + 5) dégâts contondants.
- Corne. Attaque au corps à corps avec une arme : +9 au toucher, allonge 1,50 m, une cible. Touché : 14 (2d8 + 5) dégâts perforants.</t>
  </si>
  <si>
    <t xml:space="preserve">- Le ki-rin peut effectuer 3 actions légendaires, en choisissant parmi les options suivantes. Une seule action légendaire peut être utilisée à la fois, et seulement à la fin du tour d'une autre créature. Le ki-rin récupère les actions légendaires dépensées au début de son tour.
- Détection. Le ki-rin effectue un jet de Sagesse (Perception) ou un jet de Sagesse (Intuition).
- Châtiment. Le ki-rin effectue une attaque avec ses sabots ou lance le sort flamme sacrée.
- Déplacement. Le ki-rin se déplace de la moitié de sa vitesse ou moins sans provoquer d'attaques d'opportunité.</t>
  </si>
  <si>
    <t xml:space="preserve">Kobold</t>
  </si>
  <si>
    <t xml:space="preserve">Humanoïde (kobold)</t>
  </si>
  <si>
    <t xml:space="preserve">5 (2d6-2)</t>
  </si>
  <si>
    <t xml:space="preserve">- Sens vision dans le noir 18 m, Perception passive 8
- Sensibilité au soleil. S'il est exposé à la lumière du soleil, le kobold a un désavantage aux jets d'attaque et aux jets de Sagesse (Perception) basés sur la vue.
- Tactique de groupe. Le kobold a un avantage aux jets d'attaque contre une créature si au moins l'un de ses alliés est à 1,50 mètre ou moins de la créature et n'est pas incapable d'agir.</t>
  </si>
  <si>
    <t xml:space="preserve">- Dague. Attaque au corps à corps avec une arme : +4 au toucher, allonge 1,50 m, une cible. Touché : 4 (1d4 + 2) dégâts perforants.
- Fronde. Attaque à distance avec une arme : +4 au toucher, portée 9/36 m, une cible. Touché : 4 (1d4 + 2) dégâts contondants.</t>
  </si>
  <si>
    <t xml:space="preserve">Kobold ailé</t>
  </si>
  <si>
    <t xml:space="preserve">7 (3d6-3)</t>
  </si>
  <si>
    <t xml:space="preserve">- Dague. Attaque au corps à corps avec une arme : +5 au toucher, allonge 1,50 m, une cible. Touché : 5 (1d4 + 3) dégâts perforants.
- Chute de pierre. Attaque à distance avec une arme : +5 au toucher, une cible se trouvant directement sous le kobold. Touché : 6 (1d6 + 3) dégâts contondants.</t>
  </si>
  <si>
    <t xml:space="preserve">Kobold, bouclier de dragon</t>
  </si>
  <si>
    <t xml:space="preserve">44 (8d6+16)</t>
  </si>
  <si>
    <t xml:space="preserve">-Résistances aux dégâts voir Résistance du dragon ci-dessous
- Sens vision dans le noir 18 m, Perception passive 11
- Résistance de dragon. Le kobold a une résistance à un type de dégâts basé sur la couleur du dragon qui l'a investi de sa puissance (choisissez ou lancez un d10): 1-2, acide (noir) ; 3-4, froid (blanc) ; 5-6, feu (rouge) ; 7-8, éclair (bleu) ; 9-10, poison (vert).
- Cœur du dragon. Si le kobold est effrayé ou paralysé par un effet qui permet un jet de sauvegarde, il peut répéter la sauvegarde au début de son tour pour mettre fin à l'effet qui l'affecte et qui affecte tous les kobolds à 9 mètres ou moins de lui. Tout kobold bénéficiant de ce trait (y compris le bouclier de dragon) a un avantage lors de son prochain jet d'attaque.
- Sensibilité au soleil. S'il est exposé à la lumière du soleil, le kobold a un désavantage aux jets d'attaque et aux jets de Sagesse (Perception) basés sur la vue.
- Tactique de groupe. Le kobold a un avantage aux jets d'attaque contre une créature si au moins l'un de ses alliés est à 1,50 mètre ou moins de la créature et n'est pas incapable d'agir.</t>
  </si>
  <si>
    <t xml:space="preserve">- Attaques multiples. Le kobold effectue deux attaques au corps à corps.
- Lance. Attaque au corps à corps ou à distance avec une arme : +3 au toucher, allonge 1,50 m ou portée 6/18 m, une cible. Touché : 4 (1d6 + 1) dégâts perforants, ou 5 (1d8 + 1) dégâts perforants si utilisé à deux mains pour effectuer une attaque au corps à corps.</t>
  </si>
  <si>
    <t xml:space="preserve">Kobold, ensorceleur des écailles</t>
  </si>
  <si>
    <t xml:space="preserve">Arcanes+2
Médecine+1</t>
  </si>
  <si>
    <t xml:space="preserve">- Sens vision dans le noir 18 m, Perception passive 9
- Incantation. Le kobold est un lanceur de sorts de niveau 3. Sa caractéristique d'incantation est le Charisme (jet de sauvegarde contre ses sorts DD 12, +4 au toucher pour les attaques avec un sort). Il a préparé les sorts d'ensorceleur suivants :
  - Sorts mineurs (à volonté) : trait de feu, main de mage, réparation, bouffée de poison
  - Niveau 1 (4 emplacements) : charme-personne, orbe chromatique, repli expéditif
  - Niveau 2 (2 emplacements) : rayon ardent
- Points de sorcellerie. Le kobold a 3 points de sorcellerie. Il regagne tous les points dépensés lorsqu'il termine un repos long et peut dépenser ses points de sorcellerie dans les options suivantes [E] :
- Sort intensifié : lorsqu'il lance un sort qui force une créature à effectuer un jet de sauvegarde pour résister aux effets du sort, le kobold peut dépenser 3 points de sorcellerie pour donner à une cible du sort un désavantage lors de son premier jet de sauvegarde contre le sort.
- Sort subtil : lorsque le kobold lance un sort, il peut dépenser 1 point de sorcellerie pour lancer le sort sans aucune composante somatique ou verbale.
- Tactique de groupe. Le kobold a un avantage aux jets d'attaque contre une créature si au moins l'un de ses alliés est à 1,50 mètre ou moins de la créature et n'est pas incapable d'agir.
- Sensibilité au soleil. S'il est exposé à la lumière du soleil, le kobold a un désavantage aux jets d'attaque et aux jets de Sagesse (Perception) basés sur la vue.</t>
  </si>
  <si>
    <t xml:space="preserve">- Dague. Attaque au corps à corps ou à distance avec une arme : +4 au toucher, allonge 1,50 m ou portée 6/18 m, une cible. Touché : 4 (1d4 + 2) dégâts perforants.</t>
  </si>
  <si>
    <t xml:space="preserve">Kobold, inventeur</t>
  </si>
  <si>
    <t xml:space="preserve">13 (3d6+3)</t>
  </si>
  <si>
    <t xml:space="preserve">Perception+0</t>
  </si>
  <si>
    <t xml:space="preserve">- Sens vision dans le noir 18 m, Perception passive 10
- Tactique de groupe. Le kobold a un avantage aux jets d'attaque contre une créature si au moins l'un de ses alliés est à 1,50 mètre ou moins de la créature et n'est pas incapable d'agir.
- Sensibilité au soleil. S'il est exposé à la lumière du soleil, le kobold a un désavantage aux jets d'attaque et aux jets de Sagesse (Perception) basés sur la vue.</t>
  </si>
  <si>
    <t xml:space="preserve">- Dague. Attaque au corps à corps ou à distance avec une arme : +4 au toucher, allonge 1,50 m ou portée 6/18 m, une cible. Touché : 4 (1d4 + 2) dégâts perforants.
- Fronde. Attaque à distance avec une arme : +4 au toucher, portée 9/36 m, une cible. Touché : 4 (1d4 + 2) dégâts contondants.
- Invention militaire. Le kobold utilise l'une des options suivantes (lancez un d8 ou choisissez) ; le kobold ne peut utiliser chaque option qu'une seule fois par jour :
1- Acide. Le kobold jette une flasque d'acide. Attaque à distance avec une arme : +4 au toucher, portée 1,50/6 m, une cible. Touché : 7 (2d6) dégâts d'acide.
2- Feu grégeois. Le kobold jette une flasque de feu grégeois. Attaque à distance avec une arme : +4 au toucher, portée 1,50/6 m, une cible. Touché : 2 (1d4) dégâts de feu au début de chacun des tours de la cible. Une créature peut mettre un terme aux dégâts continus en utilisant son action pour effectuer un jet de Dextérité DD 10 afin d'éteindre les flammes.
3- Soulier de mille-pattes. Le kobold lance un petit soulier dans une espace de 1,50 mètre de côté et se trouvant à 6 mètres ou moins de lui. Une nuée d'insectes (mille-pattes) possédant 11 points de vie sort du soulier et lance sa propre initiative. À la fin de chacun des tours de la nuée, il y a 50 % de chance qu'elle se disperse.
4- Pot de vase verte. Le kobold lance un pot en terre rempli de vase verte sur une cible, le pot se brise et déverse son contenu à l'impact. Attaque à distance avec une arme : +4 au toucher, portée 1,50/6 m, une cible. Touché : La cible est recouverte par amas de vase verte (voir le chapitre 5 du Dungeon Master's Guide). Échec : Un amas de vase verte recouvre une section carrée de mur ou de sol de 1,50 mètre d'arête, déterminée aléatoirement, et se trouvant à 1,50 mètre de la cible.
5- Pot de vers des charniers. Le kobold lance un pot en terre dans un espace carré de 1,50 mètre d'arête et se trouvant à 6 mètres ou moins de lui, le pot se brise et déverse son contenu à l'impact. Une nuée de vers des charniers (voir appendice A) sort du pot brisé et rend cette zone dangereuse.
6- Scorpion sur une canne. Le kobold effectue une attaque au corps à corps avec un scorpion ficelé à l'extrémité d'une perche de 1,50 mètre de long. Attaque au corps à corps avec une arme : +4 au toucher, allonge 1,50 m, une cible. Touché : 1 dégât perforant, et la cible doit effectuer un jet de sauvegarde de Constitution DD 9, subissant 4 (1d8) dégâts de poison en cas d'échec, ou la moitié de ces dégâts en cas de réussite.
7- Putois en cage. Le kobold relâche un putois dans un espace inoccupé situé à 1,50 mètre de lui. Le putois a une vitesse de 6 mètres, une CA de 10, 1 point de vie, et aucune attaque efficace. Il lance l'initiative et, au cours de son tour, utilise son action de Vaporisation de musc sur une créature aléatoire se trouvant à 1,50 mètre de lui. La cible doit effectuer un jet de sauvegarde de Constitution DD 9. En cas d'échec, la cible a des haut-le-cœur et ne peut plus utiliser d'action pendant 1 minute. La cible peut retenter ce jet de sauvegarde à la fin de chacun de ses tours, mettant fin à l'effet qui l'affecte en cas de réussite. Une créature qui n'a pas besoin de respirer ou qui est immunisée au poison réussit automatiquement ce jet de sauvegarde. Une fois que le putois a sécrété son musc, il ne peut plus recommencer avant d'avoir terminé un repos court ou long.
8- Nid de guêpes dans un sac. Le kobold jette un petit sac sur un espace de 1,50 mètre d'arête et situé à 6 mètres ou moins de lui. Une nuée d'insectes (guêpes) possédant 11 points de vie sort du sac et lance son initiative. À la fin de chacun des tours de la nuée, il y a 50 % de chance qu'elle se disperse.</t>
  </si>
  <si>
    <t xml:space="preserve">Korred</t>
  </si>
  <si>
    <t xml:space="preserve">102 (12d6+60)</t>
  </si>
  <si>
    <t xml:space="preserve">Athlétisme+9
Perception+5
Discrétion+5</t>
  </si>
  <si>
    <t xml:space="preserve">nain, gnome, sylvestre, terreux, commun des profondeurs</t>
  </si>
  <si>
    <t xml:space="preserve">- Résistances aux dégâts contondant, perforant et tranchant d'attaques non magiques
- Sens vision dans le noir 36 m, perception des vibrations 36 m, Perception passive 15
- Corde de cheveux. Le korred a au moins une corde de 15 mètres de long tissée dans ses cheveux. Par une action bonus, le korred commande à une de ces cordes à 9 mètres ou moins de lui de se déplacer jusqu'à 6 mètres et d'enchevêtrer une créature de taille G ou plus petite que le korred peut voir. La cible doit réussir un jet de sauvegarde de Dextérité DD 13 ou être agrippée par la corde (évasion DD 13). Tant qu'elle est agrippée, la cible est entravée. Le korred peut utiliser une action bonus pour libérer la cible, qui est également libérée si le korred meurt ou devient incapable d'agir. Une corde de cheveux de korred a une CA de 20 et 20 points de vie. Elle regagne 1 point de vie au début de chacun des tours du korred tant qu'elle a au moins 1 point de vie et que le korred est vivant. Si la corde tombe à 0 point de vie, elle est détruite.
- Incantation innée. La caractéristique d'incantation innée du korred est la Sagesse (jet de sauvegarde contre ses sorts DD 13). Il peut lancer les sorts suivants de manière innée, sans avoir besoin d'aucune composante :
  - À volonté : communion avec la nature, fusion dans la pierre, façonnage de la pierre
  - 1/jour chacun : invocation d'élémentaire (comme un sort de niveau 6 ; galeb duhr, gargouille, élémentaire de terre ou xorn uniquement), danse irrésistible d'Otto
- Camouflage dans les rochers. Le korred a un avantage aux jets de Dextérité (Discrétion) effectués pour se cacher sur un terrain rocailleux.
- Force de la pierre. Lorsqu'il est au sol, le korred inflige 2 dés supplémentaires de dégâts pour n'importe quelle attaque avec une arme (inclus dans les attaques ci-dessous).</t>
  </si>
  <si>
    <t xml:space="preserve">- Attaques multiples. Le korred effectue deux attaques avec sa massue ou lance deux rochers.
- Massue. Attaque au corps à corps avec une arme : +9 au toucher, allonge 1,50 m, une cible. Touché : 10 (1d8 + 6) dégâts contondants, ou 19 (3d8 + 6) dégâts contondants si le korred est au sol.
- Rocher. Attaque à distance avec une arme : +9 au toucher, portée 60/120 pi, une cible. Touché : 15 (2d8 + 6) dégâts contondants, ou 24 (4d8 + 6) dégâts contondants si le korred est au sol.</t>
  </si>
  <si>
    <t xml:space="preserve">Kraken</t>
  </si>
  <si>
    <t xml:space="preserve">472 (27d20+189)</t>
  </si>
  <si>
    <t xml:space="preserve">6 m, nage 18 m</t>
  </si>
  <si>
    <t xml:space="preserve">JS FOR+17
JS DEX+7
JS CON+14
JS INT+13
JS SAG+11</t>
  </si>
  <si>
    <t xml:space="preserve">abyssal, céleste, infernal, primordial (compris), télépathie 36 m</t>
  </si>
  <si>
    <t xml:space="preserve">- Immunités aux dégâts foudre ; contondant, perforant et tranchant d'attaques non magiques
- Immunités aux états effrayé, paralysé
- Sens vision véritable 36 m, Perception passive 14
- Amphibien. Le kraken peut respirer aussi bien dans l'air que sous l'eau.
- Liberté de mouvement. Le kraken ignore les terrains difficiles, et les effets magiques ne peuvent pas réduire sa vitesse de déplacement ou l'entraver. Il peut dépenser 1,50 mètre de son déplacement pour s'échapper des entraves non magiques ou se libérer de l'état agrippé.
- Monstre de siège. Le kraken inflige le double des dégâts aux objets et structures qu'il attaque.</t>
  </si>
  <si>
    <t xml:space="preserve">- Attaques multiples. Le kraken effectue trois attaques avec ses tentacules, il peut remplacer chacune d'elles par une action Catapultage.
- Morsure. Attaque au corps à corps avec une arme : +17 au toucher, allonge 1,50 m, une cible. Touché : 23 (3d8 + 10) dégâts perforants. Si la cible est une créature de taille G ou inférieure agrippée par le kraken, la créature est engloutie, et n'est plus considérée comme agrippée. Tant qu'elle est engloutie par le kraken, la créature est aveuglée et entravée, elle possède un abri total contre les attaques et tout autre effet provenant de l'extérieur du kraken, et elle subit 42 (12d6) dégâts d'acide au début de chacun des tours du kraken. Si le kraken subit 50 dégâts ou plus en un seul tour de la part d'une créature qu'il a engloutie, le kraken doit réussir un jet de sauvegarde de Constitution DD 25 à la fin de ce tour ou régurgiter toutes les créatures qu'il a avalées, lesquelles se retrouvent à terre dans un rayon de 3 mètres autour du kraken. Si le kraken meurt, une créature avalée n'est plus considérée comme entravée par le kraken et peut s'échapper de son cadavre en utilisant 4,50 mètres de déplacement, sortant à plat ventre.
- Tentacule. Attaque au corps à corps avec une arme : +17 au toucher, allonge 9 m, une cible. Touché : 20 (3d6 + 10) dégâts contondants, et la cible est agrippée (DD 18 pour s'échapper). Tant qu'elle est agrippée, la cible est entravée. Le kraken possède 10 tentacules, chacune d'entre elles pouvant agripper une cible.
- Catapultage. Une créature agrippée ou un objet tenu, de taille G ou inférieure, par le kraken est lancé à 18 mètres dans une direction aléatoire et jeté à terre. Si une cible lancée percute une surface solide, la cible subit 3 (1d6) dégâts contondants tous les 3 mètres parcourus dans les airs. Si la cible est lancée sur une autre créature, cette créature doit réussir un jet de sauvegarde de Dextérité DD 18 ou subir la même quantité de dégâts et être jetée à terre.
- Tempête d'éclairs. Le kraken peut créer par magie trois éclairs, chacun d'entre eux pouvant frapper une cible que le kraken peut voir dans un rayon de 36 mètres autour de lui. Une cible doit effectuer un jet de sauvegarde de Dextérité DD 23, subissant 22 (4d10) dégâts de foudre en cas d'échec, ou la moitié de ces dégâts en cas de réussite.</t>
  </si>
  <si>
    <t xml:space="preserve">Le kraken peut effectuer 3 actions légendaires, en choisissant parmi les options suivantes. Une seule action légendaire peut être utilisée à la fois, et seulement à la fin du tour d'une autre créature. Le kraken récupère les actions légendaires dépensées au début de son tour.
- Attaque de tentacule ou Catapultage. Le kraken effectue une attaque avec ses tentacules ou utilise son Catapultage.
- Tempête d'éclairs (coûte 2 actions). Le kraken utilise sa Tempête d'éclairs.
- Nuage d'encre (coûte 3 actions). Tant qu'il se trouve sous l'eau, le kraken expulse un nuage d'encre dans un rayon de 18 mètres. Le nuage contourne les angles des murs, et cette zone est fortement obscurcie pour toute créature à l'exception du kraken. Chaque créature, à l'exception du kraken, qui termine son tour dans le nuage doit effectuer un jet de sauvegarde de Constitution DD 23, subissant 16 (3d10) dégâts de poison en cas d'échec, ou la moitié de ces dégâts en cas de réussite. Un courant fort disperse le nuage d'encre, qui disparaît de toute façon à la fin du prochain tour du kraken.</t>
  </si>
  <si>
    <t xml:space="preserve">Kuo-Toa</t>
  </si>
  <si>
    <t xml:space="preserve">Humanoïde (kuo-toa)</t>
  </si>
  <si>
    <t xml:space="preserve">PerceptIon+4</t>
  </si>
  <si>
    <t xml:space="preserve">- Sens vision dans le noir 36 m, Perception passive 14
- Amphibien. Le kuo-toa peut respirer aussi bien dans l'air que sous l'eau.
- Perception d'un autre monde. Le kuo-toa peut ressentir la présence de toute créature dans un rayon de 9 mètres qui est invisible ou se trouve dans le plan éthéré. Il peut localiser de telles créatures lorsqu'elles se déplacent.
- Visqueux. Le kuo-toa a un avantage aux jets de caractéristique et de sauvegarde effectués pour échapper à l'état agrippé.
- Sensibilité au soleil. S'il est exposé à la lumière du soleil, le kuo-toa a un désavantage aux jets d'attaque et aux jets de Sagesse (Perception) basés sur la vue.</t>
  </si>
  <si>
    <t xml:space="preserve">- Morsure. Attaque au corps à corps avec une arme : +3 au toucher, allonge 1,50 m, une cible. Touché : 3 (1d4 + 1) dégâts perforants.
- Lance. Attaque au corps à corps ou à distance avec une arme : +3 au toucher, allonge 1,50 m ou portée 6/18 m, une cible. Touché : 4 (1d6 + 1) dégâts perforants, ou 5 (1d8 + 1) dégâts perforants si utilisée à deux mains pour faire une attaque au corps à corps.
- Filet. Attaque à distance avec une arme : +3 au toucher, portée 1,50/4,50 m, une créature de taille G ou inférieure. Touché : la cible est entravée. Une créature peut utiliser son action pour effectuer un jet de Force DD 10 pour se libérer elle-même, ou pour libérer une autre créature prise dans le filet, mettant ainsi fin à cet effet en cas de réussite. Infliger 5 points de dégâts tranchants au filet (CA 10) libère la cible, sans la blesser, en détruisant le filet.</t>
  </si>
  <si>
    <t xml:space="preserve">- Bouclier collant. Lorsqu'une créature rate le kuo-toa avec une attaque au corps à corps avec une arme, le kuo-toa utilise son bouclier collant pour attraper l'arme. L'attaquant doit réussir un jet de sauvegarde de Force DD 11 ou voir son arme se coller au bouclier du kuo-toa. Si le porteur de l'arme ne peut pas, ou ne veut pas, la lâcher, il est agrippé jusqu'à ce que l'arme ne soit plus collée. Tant qu'elle adhère au bouclier, l'arme ne peut pas être utilisée. Une créature peut libérer l'arme en utilisant son action pour effectuer un jet de Force DD 11 et en le réussissant.</t>
  </si>
  <si>
    <t xml:space="preserve">Kuo-Toa, archiprêtre</t>
  </si>
  <si>
    <t xml:space="preserve">Perception+9
Religion+6</t>
  </si>
  <si>
    <t xml:space="preserve">- Sens vision dans le noir 36 m, Perception passive 19
- Amphibien. Le kuo-toa peut respirer aussi bien dans l'air que sous l'eau.
- Perception d'un autre monde. Le kuo-toa peut ressentir la présence de toute créature dans un rayon de 9 mètres qui est invisible ou se trouve dans le plan éthéré. Il peut localiser de telles créatures lorsqu'elles se déplacent.
- Visqueux. Le kuo-toa a un avantage aux jets de caractéristique et de sauvegarde effectués pour échapper à l'état agrippé.
- Sensibilité au soleil. S'il est exposé à la lumière du soleil, le kuo-toa a un désavantage aux jets d'attaque et aux jets de Sagesse (Perception) basés sur la vue.
- Incantation. Le kuo-toa est un lanceur de sorts de niveau 10. Sa caractéristique d'incantation est la Sagesse (jet de sauvegarde contre ses sorts DD 14, +6 au toucher pour les attaques avec un sort). Le kuo-toa a préparé les sorts de clerc suivants :
  - Sorts mineurs (à volonté) : assistance, flamme sacrée, thaumaturgie
  - Niveau 1 (4 emplacements) : détection de la magie, sanctuaire, bouclier de la foi
  - Niveau 2 (3 emplacements) : immobilisation de personne, arme spirituelle
  - Niveau 3 (3 emplacements) : esprits gardiens, don des langues
  - Niveau 4 (3 emplacements) : contrôle de l'eau, divination
  - Niveau 5 (2 emplacements) : scrutation, soins de groupe</t>
  </si>
  <si>
    <t xml:space="preserve">- Attaques multiples. Le kuo-toa effectue deux attaques au corps à corps.
- Sceptre. Attaque au corps à corps avec une arme : +6 au toucher, allonge 1,50 m, une cible. Touché : 6 (1d6 + 3) dégâts contondants + 14 (4d6) dégâts de foudre.
- Attaque à mains nues. Attaque au corps à corps avec une arme : +6 au toucher, allonge 1,50 m, une cible. Touché : 5 (1d4 + 3) dégâts contondants.</t>
  </si>
  <si>
    <t xml:space="preserve">Kuo-Toa, fouet</t>
  </si>
  <si>
    <t xml:space="preserve">Perception+6
Religion+4</t>
  </si>
  <si>
    <t xml:space="preserve">- Sens vision dans le noir 36 m, Perception passive 16
- Amphibien. Le kuo-toa peut respirer aussi bien dans l'air que sous l'eau.
- Perception d'un autre monde. Le kuo-toa peut ressentir la présence de toute créature dans un rayon de 9 mètres qui est invisible ou se trouve dans le plan éthéré. Il peut localiser de telles créatures lorsqu'elles se déplacent.
- Visqueux. Le kuo-toa a un avantage aux jets de caractéristique et de sauvegarde effectués pour échapper à l'état agrippé.
- Sensibilité au soleil. S'il est exposé à la lumière du soleil, le kuo-toa a un désavantage aux jets d'attaque et aux jets de Sagesse (Perception) basés sur la vue.
- Incantation. Le kuo-toa est un lanceur de sorts de niveau 2. Sa caractéristique d'incantation est la Sagesse (jet de sauvegarde contre ses sorts DD 12, +4 au toucher pour les attaques avec un sort). Le kuo-toa a préparé les sorts de clerc suivants :
 - Sorts mineurs (à volonté) : flamme sacrée, thaumaturgie
 - Niveau 1 (3 emplacements) : bouclier de la foi, fléau</t>
  </si>
  <si>
    <t xml:space="preserve">- Attaques multiples. Le kuo-toa effectue deux attaques : une de morsure et une avec le bâton à pinces.
- Morsure. Attaque au corps à corps avec une arme : +4 au toucher, allonge 1,50 m, une cible. Touché : 4 (1d4 + 2) dégâts perforants.
- Bâton à pinces. Attaque au corps à corps avec une arme : +4 au toucher, allonge 3 m, une cible. Touché : 5 (1d6 + 2) dégâts perforants. Si la cible est une créature de taille M ou inférieure, elle est agrippée (évasion DD 14). Jusqu'à ce que la cible ne soit plus agrippée, le kuo-toa ne peut pas utiliser son bâton à pinces contre une autre cible.</t>
  </si>
  <si>
    <t xml:space="preserve">Lamie</t>
  </si>
  <si>
    <t xml:space="preserve">97 (13d10+26)</t>
  </si>
  <si>
    <t xml:space="preserve">Discrétion+3
Intuition+4
Tromperie+7</t>
  </si>
  <si>
    <t xml:space="preserve">- Sens vision dans le noir 18 m, Perception passive 12
- Incantation innée. La caractéristique d'incantation innée de la lamie est le Charisme (jet de sauvegarde contre ses sorts DD 13). Elle peut lancer les sorts suivants de manière innée, sans avoir besoin de composantes matérielles :
  - À volonté : déguisement (n'importe quelle forme humanoïde), image majeure
  - 3/jour : charme-personne, image miroir, scrutation, suggestion
  - 1/jour : quête.</t>
  </si>
  <si>
    <t xml:space="preserve">- Attaques multiples. La lamie effectue deux attaques : une avec ses griffes et une avec sa dague ou Contact enivrant.
- Griffes. Attaque au corps à corps avec une arme : +5 au toucher, allonge 1,50 m, une cible. Touché : 14 (2d10 + 3) dégâts tranchants.
- Dague. Attaque au corps à corps avec une arme : +5 au toucher, allonge 1,50 m, une cible. Touché : 5 (1d4 + 3) dégâts perforants.
- Contact enivrant. Attaque au corps à corps avec un sort : +5 au toucher, allonge 1,50 m, une créature. Touché : la cible est maudite par magie pendant 1 heure. Jusqu'à ce que la malédiction prenne fin, la cible a un désavantage aux jets de sauvegarde de Sagesse et à tous les jets de caractéristique.</t>
  </si>
  <si>
    <t xml:space="preserve">Lémure</t>
  </si>
  <si>
    <t xml:space="preserve">- Immunités aux dégâts feu, poison
- Immunités aux états charmé, effrayé, empoisonné
- Sens vision dans le noir 36 m, Perception passive 10
- Vision de diable. Des ténèbres magiques ne gênent pas la vision dans le noir du lémure.
- Reconstitution infernale. Le lémure qui meurt dans les Neuf enfers revient à la vie avec tous ses points de vie en 1d10 jours à moins qu'il n'ait été tué par une créature d'alignement Bon sous l'effet du sort bénédiction ou que son cadavre ait été aspergé d'eau bénite.</t>
  </si>
  <si>
    <t xml:space="preserve">- Poing. Attaque au corps à corps avec une arme : +3 au toucher, allonge 1,50 m, une cible. Touché : 2 (1d4) dégâts contondants.</t>
  </si>
  <si>
    <t xml:space="preserve">Leucrotta</t>
  </si>
  <si>
    <t xml:space="preserve">67 (9d10+18)</t>
  </si>
  <si>
    <t xml:space="preserve">Tromperie+2
Perception+3</t>
  </si>
  <si>
    <t xml:space="preserve">- Sens vision dans le noir 18 m, Perception passive 13
- Odorat aiguisé. Le leucrotta a un avantage aux jets de Sagesse (Perception) basés sur l'odorat.
- Retraite percutante. Si le leucrotta attaque avec ses sabots, il peut utiliser l'action Se désengager en utilisant une action bonus.
- Imitation. Le leucrotta peut imiter les cris des animaux et les voix humanoïdes. Une créature qui entend de tels sons peut remarquer qu'il s'agit d'imitations en réussissant un jet de Sagesse (Intuition) DD 14.
- Déchaîné. Lorsque durant son tour le leucrotta fait tomber les points de vie d'une créature à 0 avec une attaque au corps à corps, il peut utiliser une action bonus pour se déplacer de la moitié de sa vitesse et effectuer une attaque avec ses sabots.</t>
  </si>
  <si>
    <t xml:space="preserve">- Attaques multiples. Le leucrotta effectue deux attaques : une de morsure et une avec ses sabots.
- Morsure. Attaque au corps à corps avec une arme : +6 au toucher, allonge 1,50 m, une cible. Touché : 8 (1d8 + 4) dégâts perforants. Si le leucrotta réalise un coup critique, il lance trois fois les dés de dégâts au lieu de deux fois.
- Sabots. Attaque au corps à corps avec une arme : +6 au toucher, allonge 1,50 m, une cible. Touché : 11 (2d6 + 4) dégâts contondants.</t>
  </si>
  <si>
    <t xml:space="preserve">Lézard</t>
  </si>
  <si>
    <t xml:space="preserve">- Sens vision dans le noir 9 m, Perception passive 9</t>
  </si>
  <si>
    <t xml:space="preserve">- Morsure. Attaque au corps à corps avec une arme : +0 au toucher, allonge 1,50 m, une cible. Touché : 1 dégât perforant.</t>
  </si>
  <si>
    <t xml:space="preserve">Lézard géant</t>
  </si>
  <si>
    <t xml:space="preserve">- Sens vision dans le noir 9 m, Perception passive 10
- Certains lézards possèdent un ou les deux traits suivants.
- Apnée. Le lézard peut retenir son souffle durant 15 minutes (un lézard qui a ce trait possède également une vitesse de nage de 9 mètres).
- Pattes d'araignée. Le lézard peut escalader des surfaces difficiles et être au plafond la tête en bas sans avoir besoin d'effectuer un jet de caractéristique.</t>
  </si>
  <si>
    <t xml:space="preserve">- Morsure. Attaque au corps à corps avec une arme : +4 au toucher, allonge 1,50 m, une cible. Touché : 6 (1d8 + 2) dégâts perforants.</t>
  </si>
  <si>
    <t xml:space="preserve">Liche</t>
  </si>
  <si>
    <t xml:space="preserve">135 (18d8+54)</t>
  </si>
  <si>
    <t xml:space="preserve">Arcanes +19
Histoire +12
Intuition +9
Perception +9
JS CON+10
JS INT+12
JS SAG+9</t>
  </si>
  <si>
    <t xml:space="preserve">commun et jusqu'à cinq autres langues</t>
  </si>
  <si>
    <t xml:space="preserve">- Résistances aux dégâts froid, foudre, nécrotique
- Immunités aux dégâts poison ; contondant, perforant et tranchant d'attaques non magiques
- Immunités aux états charmé, épuisement, effrayé, paralysé, empoisonné
- Sens vision véritable 36 m, Perception passive 19
- Résistance légendaire (3/jour). Si la liche échoue à un jet de sauvegarde, elle peut décider de transformer cet échec en réussite.
- Reconstitution. Si elle a un phylactère, une liche détruite récupère un nouveau corps au bout de 1d10 jours, regagnant ainsi tous ses points de vie et redevenant active. Le nouveau corps apparaît à 1,50 mètre autour du phylactère.
- Incantation. La liche est un lanceur de sorts de niveau 18. Sa caractéristique d'incantation est l'Intelligence (jet de sauvegarde contre ses sorts DD 20, +12 au toucher pour les attaques avec un sort). La liche a préparé les sorts de magicien suivants :
  - Sorts mineurs (à volonté) : main de mage, prestidigitation, rayon de givre
  - Niveau 1 (4 emplacements) : détection de la magie, projectile magique, bouclier, vague tonnante
  - Niveau 2 (3 emplacements) : détection des pensées, invisibilité, flèche acide de Melf, image miroir
  - Niveau 3 (3 emplacements) : animation des morts, contresort, dissipation de la magie, boule de feu
  - Niveau 4 (3 emplacements) : flétrissement, porte dimensionnelle
  - Niveau 5 (3 emplacements) : brume mortelle, scrutation
  - Niveau 6 (1 emplacement) : désintégration, globe d'invulnérabilité
  - Niveau 7 (1 emplacement) : doigt de mort, changement de plan
  - Niveau 8 (1 emplacement) : domination de monstre, mot de pouvoir étourdissant
  - Niveau 9 (1 emplacement) : mot de pouvoir mortel
Résistance au renvoi. La liche a un avantage aux jets de sauvegarde pour résister aux effets de renvoi des morts-vivants.</t>
  </si>
  <si>
    <t xml:space="preserve">- Contact paralysant. Attaque au corps à corps avec un sort : +12 au toucher, allonge 1,50 m, une créature. Touché : 10 (3d6) dégâts de froid. La cible doit réussir un jet de sauvegarde de Constitution DD 18 ou être paralysée pendant 1 minute. La cible peut retenter son jet de sauvegarde à la fin de chacun de ses tours, mettant fin à cet effet de paralysie qui l'affecte si elle le réussit.</t>
  </si>
  <si>
    <t xml:space="preserve">- La liche peut effectuer 3 actions légendaires, en choisissant parmi les options suivantes. Une seule action légendaire peut être utilisée à la fois, et seulement à la fin du tour d'une autre créature. La liche récupère les actions légendaires dépensées au début de son tour.
- Sort mineur. La liche lance un sort mineur.
- Contact paralysant (coûte 2 actions). La liche utilise son Contact paralysant.
- Regard effrayant (coûte 2 actions). La liche fixe du regard une créature qu'elle peut voir dans un rayon de 3 mètres autour d'elle. La cible doit réussir un jet de sauvegarde de Sagesse DD 18 contre la magie ou être effrayée pendant 1 minute. La cible effrayée peut retenter son jet de sauvegarde à la fin de chacun de ses tours, mettant fin à l'effet qui l'affecte en cas de réussite. Si le jet de sauvegarde de la cible est une réussite, ou si l'effet se termine pour elle, la cible est immunisée au regard de la liche pour les prochaines 24 heures.
- Perturbation de la vie (coûte 3 actions). Toute créature non morte-vivante située dans un rayon de 6 mètres autour de la liche doit effectuer un jet de sauvegarde de Constitution DD 18 contre la magie, subissant 21 (6d6) dégâts nécrotiques en cas d'échec, ou la moitié de ces dégâts en cas de réussite.</t>
  </si>
  <si>
    <t xml:space="preserve">Licorne</t>
  </si>
  <si>
    <t xml:space="preserve">céleste, elfique, sylvestre, télépathie 18 m</t>
  </si>
  <si>
    <t xml:space="preserve">- Immunités aux dégâts poison
- Immunités aux états charmé, paralysé, empoisonné
- Sens vision dans le noir 18 m, Perception passive 13
- Charge. Si la licorne se déplace d'au moins 6 mètres en ligne droite vers une cible, puis la touche lors d'une attaque avec sa corne dans le même tour, la cible subit 9 (2d8) dégâts supplémentaires de type perforant. Si la cible est une créature, elle doit réussir un jet de sauvegarde de Force DD 15 ou tomber à terre.
- Incantation innée. La caractéristique d'incantation innée de la licorne est le Charisme (jet de sauvegarde contre ses sorts DD 14). La licorne peut lancer les sorts suivants de manière innée, sans avoir besoin d'aucune composante :
  - À volonté : détection du mal et du bien, druidisme, passage sans trace
  - 1/jour chacun : apaisement des émotions, enchevêtrement, dissipation du mal et du bien
- Résistance à la magie. La licorne a un avantage aux jets de sauvegarde contre les sorts et autres effets magiques.
- Armes magiques. Les attaques avec une arme de la licorne sont magiques.</t>
  </si>
  <si>
    <t xml:space="preserve">- Attaques multiples. La licorne effectue deux attaques : une avec ses sabots et une avec sa corne.
- Sabots. Attaque au corps à corps avec une arme : +7 au toucher, allonge 1,50 m, une cible. Touché : 11 (2d6 + 4) dégâts contondants.
- Corne. Attaque au corps à corps avec une arme : +7 au toucher, allonge 1,50 m, une cible. Touché : 8 (1d8 + 4) dégâts perforants.
- Contact guérisseur (3/jour). La licorne touche une autre créature avec sa corne. La cible récupère magiquement 11 (2d8 + 2) points de vie. De plus, le toucher soigne toutes les maladies et neutralise tous les poisons affectant la cible.
- Téléportation (1/jour). La licorne se téléporte magiquement ainsi que jusqu'à trois créatures consentantes qu'elle peut voir à 1,50 mètre d'elle, y compris tous les équipements qu'ils revêtent ou transportent, dans un lieu dont la licorne est familière, à une distance maximale de 1,5 kilomètre.</t>
  </si>
  <si>
    <t xml:space="preserve">- La licorne peut effectuer 3 actions légendaires, en choisissant parmi les options suivantes. Une seule action légendaire peut être utilisée à la fois, et seulement à la fin du tour d'une autre créature. La licorne récupère les actions légendaires dépensées au début de son tour.
- Sabots. La licorne effectue une attaque avec ses sabots.
- Boucliers scintillant (coûte 2 actions). La licorne crée un champ magique scintillant autour d'elle ou d'une autre créature qu'elle peut voir à 18 m d'elle. La cible gagne un bonus de +2 à sa CA jusqu'à la fin du prochain tour de la licorne.
- Soin personnel (coûte 3 actions). La licorne récupère magiquement 11 (2d8 + 2) points de vie.</t>
  </si>
  <si>
    <t xml:space="preserve">Lierreux</t>
  </si>
  <si>
    <t xml:space="preserve">3 m</t>
  </si>
  <si>
    <t xml:space="preserve">Discrétion+1</t>
  </si>
  <si>
    <t xml:space="preserve">- Immunités aux états aveuglé, assourdi
- Sens vision aveugle 18 m (aveugle au-delà de ce rayon), Perception passive 10
- Apparence trompeuse. Tant que le lierre infecté reste immobile, il ne peut être distingué d'un entrelacs de plantes grimpantes.</t>
  </si>
  <si>
    <t xml:space="preserve">- Constriction. Attaque au corps à corps avec une arme : +4 au toucher, allonge 3 m, une cible. Touché : 9 (2d6 + 2) dégâts contondants, et une cible de taille G ou inférieure est agrippée (DD 12 pour s'échapper). Tant qu'elle est agrippée, la cible est entravée, et le lierre infecté ne peut pas effectuer une attaque de constriction contre une autre cible.
- Enchevêtrement des plantes (Recharge 5-6). Des lianes et des racines entortillées poussent dans un rayon de 4,50 mètres centré sur le lierre infecté, et se flétrissent au bout de 1 minute. Pendant toute la durée de l'effet, cette zone est considérée comme un terrain difficile pour les créatures qui ne sont pas de type plante. De plus, toute créature présente dans la zone lorsque les plantes poussent, et que le lierre infecté choisit, doit réussir un jet de sauvegarde de Force DD 12 ou être entravée. Une créature peut utiliser son action pour effectuer un jet de Force DD 12, se libérant elle, ou libérant une autre créature entravée à portée, en cas de réussite.</t>
  </si>
  <si>
    <t xml:space="preserve">Lion</t>
  </si>
  <si>
    <t xml:space="preserve">Discrétion+6
Perception+3</t>
  </si>
  <si>
    <t xml:space="preserve">- Sens Perception passive 13
- Odorat aiguisé. Le lion a un avantage aux jets de Sagesse (Perception) basés sur l'odorat.
- Tactique de groupe. Le lion a un avantage aux jets d'attaque contre une créature si au moins l'un de ses alliés est à 1,50 mètre ou moins de la créature et n'est pas incapable d'agir.
- Bond agressif. Si le lion se déplace d'au moins 6 mètres en ligne droite vers une créature, puis la touche lors d'une attaque avec ses griffes dans le même tour, la cible doit réussir un jet de sauvegarde de Force DD 13 pour ne pas tomber à terre. Si la cible est à terre, le lion peut effectuer une attaque de morsure contre elle en tant qu'action bonus.
- Saut avec élan. S'il peut prendre une course d'élan de 3 mètres, un lion peut sauter jusqu'à 7,50 mètres.</t>
  </si>
  <si>
    <t xml:space="preserve">- Griffes. Attaque au corps à corps avec une arme : +5 au toucher, allonge 1,50 m, une cible. Touché : 6 (1d6 + 3) dégâts tranchants.
- Morsure. Attaque au corps à corps avec une arme : +5 au toucher, allonge 1,50 m, une cible. Touché : 7 (1d8 + 3) dégâts perforants.</t>
  </si>
  <si>
    <t xml:space="preserve">Loup</t>
  </si>
  <si>
    <t xml:space="preserve">- Sens Perception passive 13
- Odorat et ouïe aiguisés. Le loup est avantagé lors des tests de Sagesse (Perception) basés sur l’odorat ou l’ouïe.
- Tactique de groupe. Le loup est avantagé lors d’un jet d’attaque effectué contre une créature si au moins un des alliés du loup, qui n’est pas neutralisé, se trouve à 1,50 mètre ou moins de la créature qu’il attaque.</t>
  </si>
  <si>
    <t xml:space="preserve">- Morsure. Attaque d’arme au corps à corps : +4 pour toucher, allonge 1,50 m, une cible. Touché : 7 (2d4+2) dégâts perforants. Si la cible est une créature, elle doit réussir un jet de sauvegarde de
Force DD 11 pour ne pas être jetée à terre.</t>
  </si>
  <si>
    <t xml:space="preserve">Loup arctique</t>
  </si>
  <si>
    <t xml:space="preserve">Discrétion+3
Perception+5</t>
  </si>
  <si>
    <t xml:space="preserve">commun, géant, loup arctique</t>
  </si>
  <si>
    <t xml:space="preserve">- Immunités aux dégâts froid
- Sens Perception passive 15
- Odorat et ouïe aiguisés. Le loup a un avantage aux jets de Sagesse (Perception) basés sur l'odorat ou l'ouïe.
- Tactique de groupe. Le loup a un avantage aux jets d'attaque contre une créature si au moins l'un de ses alliés est à 1,50 mètre ou moins de la créature et n'est pas incapable d'agir.
- Camouflage dans la neige. Le loup a un avantage aux jets de Dextérité (Discrétion) effectués pour se cacher sur un terrain enneigé.</t>
  </si>
  <si>
    <t xml:space="preserve">- Morsure. Attaque au corps à corps avec une arme : +6 au toucher, allonge 1,50 m, une cible. Touché : 11 (2d6 + 4) dégâts perforants. Si la cible est une créature, elle doit réussir un jet de sauvegarde de Force DD 14 ou tomber à terre.
- Souffle glacé (Recharge 5-6). Le loup exhale un souffle de vent glacial dans un cône de 4,50 mètres. Toute créature dans cette zone doit effectuer un jet de sauvegarde de Dextérité DD 12, subissant 18 (4d8) dégâts de froid en cas d'échec, ou la moitié de ces dégâts en cas de réussite.</t>
  </si>
  <si>
    <t xml:space="preserve">Loup sanguinaire</t>
  </si>
  <si>
    <t xml:space="preserve">37 (5d10+10)</t>
  </si>
  <si>
    <t xml:space="preserve">- Perception passive 13
- Odorat et ouïe aiguisés. Le loup a un avantage aux jets de Sagesse (Perception) basés sur l'odorat ou l'ouïe.
- Tactique de groupe. Le loup a un avantage aux jets d'attaque contre une créature si au moins l'un de ses alliés est à 1,50 mètre ou moins de la créature et n'est pas incapable d'agir.</t>
  </si>
  <si>
    <t xml:space="preserve">Morsure. Attaque au corps à corps avec une arme : +5 au toucher, allonge 1,50 m, une cible. Touché : 10 (2d6 + 3) dégâts perforants. Si la cible est une créature, elle doit réussir un jet de sauvegarde de Force DD 13 pour ne pas être jetée à terre.</t>
  </si>
  <si>
    <t xml:space="preserve">Loup-garou</t>
  </si>
  <si>
    <t xml:space="preserve">Humanoïde (humain, métamorphe)</t>
  </si>
  <si>
    <t xml:space="preserve">11 sous forme humanoïde 12 sous forme de loup ou hybride</t>
  </si>
  <si>
    <t xml:space="preserve">9 m, 12 m sous forme de loup</t>
  </si>
  <si>
    <t xml:space="preserve">Discrétion+3
Perception+4</t>
  </si>
  <si>
    <t xml:space="preserve">commun (ne peut pas parler sous forme de loup)</t>
  </si>
  <si>
    <t xml:space="preserve">-Immunités aux dégâts contondant, perforant et tranchant d'attaques non magiques qui ne sont pas en argent
- Sens Perception passive 14
- Métamorphe. Le loup-garou peut utiliser son action pour se métamorphoser en un hybride loup-humanoïde ou en un loup, ou pour reprendre sa forme véritable (la forme humanoïde). Mise à part sa CA, ses statistiques sont les mêmes quelle que soit sa forme. L'équipement qu'il porte ou transporte ne se transforme pas. Il retrouve sa forme véritable s'il meurt.
- Odorat et ouïe aiguisés. Le loup-garou a un avantage aux jets de Sagesse (Perception) basés sur l'odorat ou l'ouïe.</t>
  </si>
  <si>
    <t xml:space="preserve">- Attaques multiples (forme humanoïde ou hybride uniquement). Le loup-garou effectue deux attaques : deux avec sa lance (forme humanoïde) ou une de morsure et une avec ses griffes (forme hybride).
- Morsure (forme de loup ou hybride uniquement). Attaque au corps à corps avec une arme : +4 au toucher, allonge 1,50 m, une cible. Touché : 6 (1d8 + 2) dégâts perforants. Si la cible est un humanoïde, elle doit réussir un jet de sauvegarde de Constitution DD 12 ou être atteinte de la lycanthropie du loup-garou.
- Griffes (forme hybride uniquement). Attaque au corps à corps avec une arme : +4 au toucher, allonge 1,50 m, une créature. Touché : 7 (2d4 + 2) dégâts tranchants.
- Lance (forme humanoïde uniquement). Attaque au corps à corps ou à distance avec une arme : +4 au toucher, allonge 1,50 m ou portée 6/18 m, une créature. Touché : 5 (1d6 + 2) dégâts perforants, ou 6 (1d8 + 2) dégâts perforants si utilisée à deux mains pour faire une attaque au corps à corps.</t>
  </si>
  <si>
    <t xml:space="preserve">Mage</t>
  </si>
  <si>
    <t xml:space="preserve">Humanoïde (toute race)</t>
  </si>
  <si>
    <t xml:space="preserve">- Sens Perception passive 11
- Incantation. Le mage est un lanceur de sorts de niveau 9. Sa caractéristique d'incantation est l'Intelligence (jet de sauvegarde contre ses sorts DD 14, +6 au toucher pour les attaques avec un sort). Le mage a préparé les sorts de magicien suivants :
  - Sorts mineurs (à volonté) : trait de feu, lumière, main de mage, prestidigitation
  - Niveau 1 (4 emplacements) : armure de mage, bouclier, détection de la magie, projectile magique
  - Niveau 2 (3 emplacements) : foulée brumeuse, suggestion
  - Niveau 3 (3 emplacements) : boule de feu, contresort, vol
  - Niveau 4 (3 emplacements) : invisibilité supérieure, tempête de grêle
  - Niveau 5 (1 emplacement) : cône de froid</t>
  </si>
  <si>
    <t xml:space="preserve">Mage malfaisant</t>
  </si>
  <si>
    <t xml:space="preserve">Arcanes+5
Histoires+5
JS INT+5
JS SAG+3</t>
  </si>
  <si>
    <t xml:space="preserve">commun, draconique, elfe, nain</t>
  </si>
  <si>
    <t xml:space="preserve">- Sens Perception passive 11
- Incantation. Le mage est un lanceur de sorts de niveau 4. Sa caractéristique d’incantation est l’Intelligence (DD du jet de sauvegarde contre les sorts 13, +5 pour toucher avec les  attaques de sort). Le mage connaît les sorts de magicien suivants :
• Tours de magie (à volonté) : lumière, main du mage, poigne électrique
• 1er niveau (4 emplacements) : charme-personne, projectile magique
• 2e niveau (3 emplacements) : immobilisation de personne, pas brumeux</t>
  </si>
  <si>
    <t xml:space="preserve">- Bâton. Attaque d’arme au corps à corps : +1 pour toucher,
allonge 1,50 m, une cible. Touché : 3 (1d8–1) dégâts contondants.</t>
  </si>
  <si>
    <t xml:space="preserve">Magmatique</t>
  </si>
  <si>
    <t xml:space="preserve">9 (2d6+2)</t>
  </si>
  <si>
    <t xml:space="preserve">- Résistances aux dégâts contondant, perforant et tranchant d'attaques non magiques
- Immunités aux dégâts feu
- Sens vision dans le noir 18 m, Perception passive 10
- Mort explosive. Lorsque le magmatique est tué, il éclate dans une explosion de feu et de magma. Chaque créature située dans un rayon de 3 mètres autour de lui doit effectuer un jet de sauvegarde de Dextérité DD 11, subissant 7 (2d6) dégâts de feu en cas d'échec, ou la moitié de ces dégâts en cas de réussite. Les objets inflammables qui ne sont pas portés ou transportés et situés dans la zone prennent feu.
- Illumination enflammée. Par une action bonus, le magmatique peut s'auto-enflammer ou éteindre ses flammes. Tant qu'il brûle, le magmatique émet une lumière vive dans un rayon de 3 mètres et une lumière faible sur 3 mètres supplémentaires.
ACTIONS</t>
  </si>
  <si>
    <t xml:space="preserve">- Contact. Attaque au corps à corps avec une arme : +4 au toucher, allonge 1,50 m, une cible. Touché : 7 (2d6) dégâts de feu. Si la cible est une créature ou un objet inflammable, elle s'embrase. Jusqu'à ce qu'une créature utilise son action pour éteindre les flammes, la cible subit 3 (1d6) dégâts de feu à la fin de chacun de ses tours.</t>
  </si>
  <si>
    <t xml:space="preserve">Maître voleur</t>
  </si>
  <si>
    <t xml:space="preserve">Acrobaties +7
Athlétisme +3
Perception +3
Escamotage +7
Discrétion +7
JS DEX+7
JS INT+3</t>
  </si>
  <si>
    <t xml:space="preserve">une langue au choix et le jargon des voleurs</t>
  </si>
  <si>
    <t xml:space="preserve">- Sens Perception passive 13
- Action fourbe. À chacun de ses tours, le voleur peut utiliser une action bonus pour effectuer les actions Foncer, Se cacher ou Se désengager.
- Évasion. Si le voleur est soumis à un effet qui lui permet d'effectuer un jet de sauvegarde de Dextérité pour ne subir que la moitié des dégâts, il ne subit aucun dégât s'il réussit son jet de sauvegarde, et seulement la moitié des dégâts s'il échoue.
- Attaque sournoise (1/tour). Le voleur inflige 14 (4d6) dégâts supplémentaires quand il touche une cible au cours d'une attaque avec une arme et qu'il a un avantage au jet d'attaque, ou lorsque la cible est à 1,50 mètre ou moins d'un allié du voleur qui n'est pas incapable d'agir et que le voleur n'a pas de désavantage à son jet d'attaque.</t>
  </si>
  <si>
    <t xml:space="preserve">- Attaques multiples. Le voleur effectue trois attaques avec son épée courte.
- Épée courte. Attaque au corps à corps avec une arme : +7 au toucher, allonge 1,50 m, une cible. Touché : 7 (1d6 + 4) dégâts perforants.
- Arbalète légère. Attaque à distance avec une arme : +7 au toucher, portée 24/96 m, une cible. Touché : 8 (1d8 + 4) dégâts perforants.</t>
  </si>
  <si>
    <t xml:space="preserve">- Esquive. Le voleur réduit de moitié les dégâts qu'il subit d'une attaque qui le touche. Le voleur doit être capable de voir l'attaquant</t>
  </si>
  <si>
    <t xml:space="preserve">Malfrat</t>
  </si>
  <si>
    <t xml:space="preserve">- Perception passive 10
- Tactique de groupe. Le malfrat a un avantage aux jets d'attaque contre une créature si au moins l'un de ses alliés est à 1,50 mètre ou moins de la créature et n'est pas incapable d'agir.</t>
  </si>
  <si>
    <t xml:space="preserve">- Attaques multiples. Le malfrat effectue deux attaques au corps à corps.
- Masse d'armes. Attaque au corps à corps avec une arme : +4 au toucher, allonge 1,50 m, une cible. Touché : 5 (1d6 + 2) dégâts contondants.
- Arbalète lourde. Attaque à distance avec une arme : +2 au toucher, portée 30/120 m, une cible. Touché : 5 (1d10) dégâts perforants.</t>
  </si>
  <si>
    <t xml:space="preserve">Mammouth</t>
  </si>
  <si>
    <t xml:space="preserve">- Sens Perception passive 10
- Charge écrasante. Si le mammouth se déplace d'au moins 6 mètres en ligne droite vers une créature, puis la touche lors d'une attaque avec ses défenses dans le même tour, la cible doit réussir un jet de sauvegarde de Force DD 18 pour ne pas être jetée à terre. Si la cible est à terre, le mammouth peut réaliser une attaque de piétinement contre celle-ci par une action bonus.</t>
  </si>
  <si>
    <t xml:space="preserve">- Défenses. Attaque au corps à corps avec une arme : +10 au toucher, allonge 3 m, une cible. Touché : 25 (4d8 + 7) dégâts perforants.
- Piétinement. Attaque au corps à corps avec une arme : +10 au toucher, allonge 1,50 m, une créature à terre. Touché : 29 (4d10 + 7) dégâts contondants.</t>
  </si>
  <si>
    <t xml:space="preserve">Mâne</t>
  </si>
  <si>
    <t xml:space="preserve">- Résistances aux dégâts froid, feu, foudre
- Immunités aux dégâts poison
- Immunités aux états charmé, effrayé, empoisonné
- Sens vision dans le noir 18 m, Perception passive 9</t>
  </si>
  <si>
    <t xml:space="preserve">- Griffes. Attaque au corps à corps avec une arme : +2 au toucher, allonge 1,50 m, une cible. Touché : 5 (2d4) dégâts tranchants.</t>
  </si>
  <si>
    <t xml:space="preserve">Mante obscure</t>
  </si>
  <si>
    <t xml:space="preserve">3 m, vol 9 m</t>
  </si>
  <si>
    <t xml:space="preserve">- Sens vision aveugle 18 m, Perception passive 10
- Écholocalisation. La mante obscure ne peut pas utiliser sa vision aveugle si elle est assourdie.
- Apparence trompeuse. Tant que la mante obscure reste immobile, elle ne peut être distinguée d'un relief caverneux de type stalagmite ou stalactite.</t>
  </si>
  <si>
    <t xml:space="preserve">- Écrasement. Attaque au corps à corps avec une arme : +5 au toucher, allonge 1,50 m, une créature. Touché : 6 (1d6 + 3) dégâts contondants, et la mante obscure s'attache à la cible. Si la cible est une créature de taille M ou inférieure et que la mante obscure a un avantage à son jet d'attaque, elle s'attache à la cible en avalant sa tête, et la cible est également aveuglée et incapable de respirer tant que la mante est attachée de la sorte. Tant qu'elle est attachée à la cible, la mante obscure ne peut attaquer aucune autre créature que celle sur laquelle elle est fixée, mais elle obtient un avantage aux jets d'attaque contre cette créature. La vitesse de la mante obscure tombe également à 0 et elle ne peut bénéficier d'un bonus à la vitesse de déplacement, cependant elle se déplace en même temps que la cible. Une créature peut détacher la mante obscure par une action en réussissant un jet de Force DD 13. Lors de son tour, la mante obscure peut se détacher d'elle-même de la cible en utilisant 1,50 mètre de son mouvement.
- Aura ténébreuse (1/jour). Des ténèbres magiques s'étendent dans un rayon de 4,50 mètres autour de la mante obscure, se déplaçant avec elle et contournant les angles de mur. Les ténèbres restent tant que la mante obscure maintient sa concentration, jusqu'à 10 minutes (comme si elle se concentrait sur un sort). La vision dans le noir ne peut pas pénétrer ces ténèbres, et aucune lumière naturelle ne peut les percer. Si une partie des ténèbres rencontre une zone de lumière créée à partir d'un sort de niveau 2 ou inférieur, le sort produisant la lumière est dissipé.</t>
  </si>
  <si>
    <t xml:space="preserve">Manteleur</t>
  </si>
  <si>
    <t xml:space="preserve">78 (12d10+12)</t>
  </si>
  <si>
    <t xml:space="preserve">- Sens vision dans le noir 18 m, Perception passive 11
- Transfert de dégâts. Tant qu'il est attaché à une créature, le manteleur ne subit que la moitié des dégâts qui lui sont infligés (arrondis à l'entier inférieur), et la créature subit l'autre moitié.
- Apparence trompeuse. Tant que le manteleur reste immobile et que sa face ventrale n'est pas exposée, il ne peut être distingué d'un manteau de cuir noir.
- Sensibilité à la lumière. S'il est exposé à une lumière vive, le manteleur a un désavantage aux jets d'attaque et aux jets de Sagesse (Perception) basés sur la vue.</t>
  </si>
  <si>
    <t xml:space="preserve">- Attaques multiples. La manteleur effectue deux attaques : une de morsure et une avec sa queue.
- Morsure. Attaque au corps à corps avec une arme : +6 au toucher, allonge 1,50 m, une créature. Touché : 10 (2d6 + 3) dégâts perforants, et si la cible est de taille G ou inférieure, la manteleur s'attache à elle. Si le manteleur a un avantage à son jet d'attaque, il s'attache à la cible en avalant sa tête, ainsi la cible est également aveuglée et incapable de respirer tant que le manteleur est attaché. Tant qu'il est attaché à la cible, le manteleur ne peut effectuer cette attaque que contre cette cible, mais il obtient un avantage aux jets d'attaque contre cette créature. Une créature, dont la cible, peut détacher le manteleur par une action en réussissant un jet de Force DD 16. Lors de son tour, le manteleur peut se détacher de lui-même de la cible en utilisant 1,50 mètre de son mouvement.
- Queue. Attaque au corps à corps avec une arme : +6 au toucher, allonge 3 m, une créature. Touché : 7 (1d8 + 3) dégâts tranchants.
- Gémissement. Toute créature située dans un rayon de 18 mètres autour du manteleur, qui peut l'entendre et qui n'est pas une aberration, doit réussir un jet de sauvegarde de Sagesse DD 13 ou être effrayée jusqu'à la fin du prochain tour du manteleur. Si une créature réussit son jet de sauvegarde, elle devient immunisée au gémissement du manteleur pour les prochaines 24 heures.
- Fantasmes (Recharge après un repos court ou long). Le manteleur crée magiquement trois copies illusoires de lui-même s'il n'est pas dans une zone de lumière vive. Les copies se déplacent avec lui et imitent ses actions, modifiant leurs positions de sorte que chaque copie paraisse être le véritable manteleur. Si le manteleur pénètre une zone de lumière vive, les copies disparaissent. Chaque fois qu'une créature cible le manteleur avec une attaque ou un sort nuisible alors qu'il reste des copies, la créature fait un jet aléatoire pour déterminer si elle cible le manteleur ou l'une de ses copies. Une créature n'est pas affectée par cet effet si elle ne peut pas voir ou si elle se sert d'un autre sens que la vue. Une copie a la même CA que le manteleur et utilise ses modificateurs de sauvegarde. Si une attaque touche une copie, ou si une copie échoue son jet de sauvegarde contre un effet qui inflige des dégâts, la copie disparaît.</t>
  </si>
  <si>
    <t xml:space="preserve">Manticore</t>
  </si>
  <si>
    <t xml:space="preserve">9 m, vol 15 m</t>
  </si>
  <si>
    <t xml:space="preserve">- Sens vision dans le noir 18 m, Perception passive 11
- Refloraison de piquants. La manticore possède une queue dotée de 24 piquants. Les piquants utilisés repoussent lorsque la manticore termine un repos long.</t>
  </si>
  <si>
    <t xml:space="preserve">- Attaques multiples. La manticore effectue trois attaques : une de morsure et deux avec ses griffes, ou trois avec sa queue.
- Griffes. Attaque au corps à corps avec une arme : +5 au toucher, allonge 1,50 m, une cible. Touché : 6 (1d6 + 3) dégâts tranchants.
- Morsure. Attaque au corps à corps avec une arme : +5 au toucher, allonge 1,50 m, une cible. Touché : 7 (1d8 + 3) dégâts perforants.
- Piquant. Attaque à distance avec une arme : +5 au toucher, portée 30/60 m, une cible. Touché : 7 (1d8 + 3) dégâts perforants.</t>
  </si>
  <si>
    <t xml:space="preserve">Maride</t>
  </si>
  <si>
    <t xml:space="preserve">2229 (17d10+136)</t>
  </si>
  <si>
    <t xml:space="preserve">9 m, nage 27 m, vol 18 m</t>
  </si>
  <si>
    <t xml:space="preserve">JS DEX+5
JS SAG+7
JS CHA+8</t>
  </si>
  <si>
    <t xml:space="preserve">- Résistances aux dégâts acide, froid, foudre
- Sens vision aveugle 9 m, vision dans le noir 36 m, Perception passive 13
- Amphibien. Le maride peut respirer aussi bien dans l'air que sous l'eau.
- Disparition élémentaire. Si le maride meurt, son corps se désintègre en une explosion d'eau et d'écume, ne laissant derrière lui que l'équipement qu'il portait ou transportait.
- Incantation innée. La caractéristique d'incantation innée du maride est le Charisme (jet de sauvegarde contre ses sorts DD 16, +8 au toucher pour les attaques avec un sort). Il peut lancer les sorts suivants de manière innée, sans avoir besoin de composantes matérielles :
  - À volonté : création ou destruction d'eau, détection du mal et du bien, détection de la magie, nappe de brouillard, purification de nourriture et d'eau
 - 3/jour chacun : don des langues, respiration aquatique, marche sur l'eau
  - 1/jour chacun : invocation d'élémentaire (élémentaire de l'eau uniquement), contrôle de l'eau, forme gazeuse, invisibilité, changement de plan</t>
  </si>
  <si>
    <t xml:space="preserve">- Attaques multiples. Le maride effectue deux attaques avec le trident.
- Trident. Attaque au corps à corps ou à distance avec une arme : +10 au toucher, allonge 1,50 m ou portée 6/18 m, une cible. Touché : 13 (2d6 + 6) dégâts perforants, ou 15 (2d8 + 6) dégâts perforants si utilisé à deux mains pour effectuer une attaque au corps à corps.
- Jet d'eau. Le maride projette par magie de l'eau sur une ligne de 18 mètres de long et de 1,50 mètre de large. Chaque créature se trouvant sur cette ligne doit effectuer un jet de sauvegarde de Dextérité DD 16. En cas d'échec, une cible subit 21 (6d6) dégâts contondants et, si elle est de taille TG ou inférieure, est repoussée de 6 mètres puis jetée à terre. En cas de réussite, une cible ne subit que la moitié des dégâts contondants et elle n'est ni repoussée ni jetée à terre.</t>
  </si>
  <si>
    <t xml:space="preserve">Marilith</t>
  </si>
  <si>
    <t xml:space="preserve">189 (18d10+90)</t>
  </si>
  <si>
    <t xml:space="preserve">JS FOR+9
JS CON+10
JS SAG+8
JS CHA+10</t>
  </si>
  <si>
    <t xml:space="preserve">- Résistances aux dégâts froid, feu, foudre ; contondant, perforant et tranchant non magiques
- Immunités aux dégâts poison
- Immunités aux états empoisonné
- Sens vision véritable 36 m, Perception passive 13
- Résistance à la magie. La marilith a un avantage aux jets de sauvegarde contre les sorts et autres effets magiques.
- Armes magiques. Les attaques avec une arme de la marilith sont magiques.
- Réactif. La marilith peut utiliser une réaction par tour de combat.</t>
  </si>
  <si>
    <t xml:space="preserve">- Attaques multiples. La marilith effectue sept attaques : six avec ses épées longues et une avec sa queue.
- Épée longue. Attaque au corps à corps avec une arme : +9 au toucher, allonge 1,50 m, une cible. Touché : 13 (2d8 + 4) dégâts tranchants.
- Queue. Attaque au corps à corps avec une arme : +9 au toucher, allonge 3 m, une créature. Touché : 15 (2d10 + 4) dégâts contondants. Si la cible est de taille M ou inférieure, elle est agrippée (DD 19 pour s'échapper). Tant qu'elle est agrippée, la cible est entravée, et la marilith peut toucher automatiquement sa cible avec sa queue, mais ne peut pas attaquer d'autres cibles.
- Téléportation. La marilith se téléporte magiquement, avec tout équipement qu'elle porte ou transporte, vers un espace inoccupé qu'elle peut voir et situé dans un rayon de 36 mètres autour d'elle.</t>
  </si>
  <si>
    <t xml:space="preserve">- Parade. La marilith ajoute 5 à sa CA contre une attaque au corps à corps qui la toucherait. Pour ce faire, elle doit voir l'attaquant et avoir en main une arme de corps à corps.</t>
  </si>
  <si>
    <t xml:space="preserve">Mastodonte des ombres</t>
  </si>
  <si>
    <t xml:space="preserve">9 m, creusement 6 m</t>
  </si>
  <si>
    <t xml:space="preserve">mastodonte des ombres</t>
  </si>
  <si>
    <t xml:space="preserve">- Sens vision dans le noir 36 m, perception des vibrations 18 m, Perception passive 10
- Regard déstabilisant. Lorsqu'une créature débute son tour en étant à 9 mètres ou moins du mastodonte des ombres et est capable de voir son regard, le mastodonte des ombres peut la forcer par magie à effectuer un jet de sauvegarde de Charisme DD 15, à moins que le mastodonte des ombres soit incapable d'agir. En cas d'échec, la créature ne peut pas utiliser de réactions jusqu'au début de son tour suivant et lance un d8 pour déterminer ce qu'elle fait pendant ce round. De 1 à 4, la créature ne fait rien. Sur un 5 ou un 6, la créature ne prend aucune action mais se déplace de la totalité de son mouvement dans une direction aléatoire. Sur un 7 ou un 8, la créature effectue une attaque au corps à corps contre une créature choisie au hasard, ou elle ne fait rien si aucune créature n'est à portée. À moins d'être surprise, une créature peut éviter le regard du mastodonte des ombres pour ne pas tenter de jet de sauvegarde au début de son tour. Dans ce cas, elle ne pourra pas voir le mastodonte des ombres jusqu'au début de son prochain tour, et pourra encore choisir à ce moment d'éviter son regard. Si elle regarde le mastodonte des ombres entretemps, elle devra effectuer immédiatement le jet de sauvegarde.
Tunnelier. Le mastodonte des ombres peut creuser à travers la roche en se déplaçant à la moitié de sa vitesse de creusement et laisser sur son passage un tunnel large de 1,50 mètre et haut de 2,40 mètres sur son passage.</t>
  </si>
  <si>
    <t xml:space="preserve">- Attaques multiples. Le mastodonte des ombres effectue trois attaques : deux avec ses griffes et une avec ses mandibules.
- Griffes. Attaque au corps à corps avec une arme : +8 au toucher, allonge 1,50 m, une cible. Touché : 9 (1d8 + 5) dégâts tranchants.
- Mandibules. Attaque au corps à corps avec une arme : +8 au toucher, allonge 1,50 m, une cible. Touché : 14 (2d8 + 5) dégâts tranchants.</t>
  </si>
  <si>
    <t xml:space="preserve">Méduse</t>
  </si>
  <si>
    <t xml:space="preserve">127 (17d8+51)</t>
  </si>
  <si>
    <t xml:space="preserve">Discrétion+5
Intuition+4
Perception+4
Tromperie+5</t>
  </si>
  <si>
    <t xml:space="preserve">- Sens vision dans le noir 18 m, Perception passive 14
- Regard pétrifiant. Si une créature débute son tour à 9 mètres ou moins de la méduse et que chacun peut voir l'autre, la méduse (si elle n'est pas incapable d'agir) peut forcer la créature à effectuer un jet de sauvegarde de Constitution DD 14. En cas d'échec de 5 points ou plus, la créature est immédiatement pétrifiée. En cas de simple échec, elle commence à se changer en pierre et est entravée. Elle doit retenter le jet de sauvegarde à la fin de son prochain tour. En cas de réussite, l'effet se termine. En cas d'échec, la créature est pétrifiée, jusqu'à ce qu'elle soit délivrée par un sort de restauration supérieure ou par une magie similaire. À moins qu'elle ne soit surprise, une créature peut éviter le regard de la méduse pour éviter un jet de sauvegarde au début de son tour. Dans ce cas, elle ne pourra pas voir la méduse jusqu'au début de son prochain tour, et pourra encore choisir à ce moment d'éviter son regard. Si elle regarde la méduse entretemps, elle devra tenter immédiatement le jet de sauvegarde. Si la méduse voit son propre reflet à 9 mètres ou moins dans des conditions de lumière vive, la méduse, du fait de sa malédiction, sera affectée par son propre regard.</t>
  </si>
  <si>
    <t xml:space="preserve">- Attaques multiples. La méduse effectue soit trois attaques au corps à corps (une avec sa chevelure venimeuse et deux avec son épée courte), soit deux attaques à distance avec son arc long.
- Chevelure venimeuse. Attaque au corps à corps avec une arme : +5 au toucher, allonge 1,50 m, une créature. Touché : 4 (1d4 + 2) dégâts perforants + 14 (4d6) de poison.
- Épée courte. Attaque au corps à corps avec une arme : +5 au toucher, allonge 1,50 m, une cible. Touché : 5 (1d6 + 2) dégâts perforants.
- Arc Long. Attaque à distance avec une arme : +5 au toucher, portée 45/180 m, une cible. Touché : 6 (1d8 + 2) dégâts perforants + 7 (2d6) de poison.</t>
  </si>
  <si>
    <t xml:space="preserve">Méphite boueux</t>
  </si>
  <si>
    <t xml:space="preserve">6 m, nage 6 m, vol 6 m</t>
  </si>
  <si>
    <t xml:space="preserve">aquatique, terreux</t>
  </si>
  <si>
    <t xml:space="preserve">- Immunités aux dégâts poison
- Immunités aux états empoisonné
- Sens vision dans le noir 18 m, Perception passive 10
- Mort explosive. Lorsque le méphite meurt, il éclate dans une explosion de boue gluante. Chaque créature de taille M ou inférieure présente dans un rayon de 1,50 mètre autour du méphite doit réussir un jet de sauvegarde de Dextérité DD 11 ou être entravée jusqu'à la fin de son prochain tour.
- Apparence trompeuse. Tant que le méphite reste immobile, il ne peut être distingué d'un tas de boue ordinaire.</t>
  </si>
  <si>
    <t xml:space="preserve">- Poing. Attaque au corps à corps avec une arme : +3 au toucher, allonge 1,50 m, une créature. Touché : 4 (1d6 + 1) dégâts contondants.
- Souffle boueux (Recharge 6). Le méphite éructe une boue visqueuse en direction d'une créature située à 1,50 mètre ou moins de lui. Si la cible est de taille M ou inférieure, elle doit réussir un jet de sauvegarde de Dextérité DD 11 ou être entravée pendant 1 minute. Une créature peut retenter son jet de sauvegarde à la fin de chacun de ses tours, mettant fin à l'effet qui l'affecte en cas de réussite.</t>
  </si>
  <si>
    <t xml:space="preserve">Méphite fumant</t>
  </si>
  <si>
    <t xml:space="preserve">aérien, igné</t>
  </si>
  <si>
    <t xml:space="preserve">- Immunités aux dégâts feu, poison
- Immunités aux états empoisonné
- Sens vision dans le noir 18 m, Perception passive 12
- Mort explosive. Lorsque le méphite meurt, il laisse derrière lui un nuage de fumée qui remplit une sphère de 1,50 mètre de rayon centrée sur sa position. La zone sphérique est énormément obscurcie. Le vent disperse ce nuage, qui reste sinon en place pendant 1 minute.
Incantation innée (1/jour). Le méphite peut lancer de manière innée le sort lumières dansantes, sans avoir besoin de composantes matérielles. Le Charisme est sa caractéristique d'incantation innée</t>
  </si>
  <si>
    <t xml:space="preserve">- Griffes. Attaque au corps à corps avec une arme : +4 au toucher, allonge 1,50 m, une créature. Touché : 4 (1d4 + 2) dégâts tranchants.
- Souffle de cendre (Recharge 6). Le méphite crache un cône de 4,50 mètres de cendres fumantes. Chaque créature dans la zone doit réussir un jet de sauvegarde de Dextérité DD 10 ou être aveuglée jusqu'à la fin du prochain tour du méphite.</t>
  </si>
  <si>
    <t xml:space="preserve">Méphite gelé</t>
  </si>
  <si>
    <t xml:space="preserve">aérien, aquatique</t>
  </si>
  <si>
    <t xml:space="preserve">- Vulnérabilités aux dégâts contondant, feu
- Immunités aux dégâts froid, poison
- Immunités aux états empoisonné
- Sens vision dans le noir 18 m, Perception passive 12
- Mort explosive. Lorsque le méphite meurt, il éclate dans une explosion d'éclats de glace. Chaque créature présente dans un rayon de 1,50 mètre autour du méphite doit effectuer un jet de sauvegarde de Dextérité DD 10, subissant 4 (1d8) dégâts tranchants en cas d'échec, ou la moitié de ces dégâts en cas de réussite.
- Apparence trompeuse. Tant que le méphite reste immobile, il ne peut être distingué d'un morceau de glace ordinaire.
- Incantation innée (1/jour). Le méphite peut lancer de manière innée le sort nappe de brouillard, sans avoir besoin de composantes matérielles. Le Charisme est sa caractéristique d'incantation innée.</t>
  </si>
  <si>
    <t xml:space="preserve">- Griffes. Attaque au corps à corps avec une arme : +3 au toucher, allonge 1,50 m, une créature. Touché : 3 (1d4 + 1) dégâts tranchants + 2 (1d4) dégâts de froid.
- Souffle de givre (Recharge 6). Le méphite crache un cône de 4,50 mètres d'air glacial. Chaque créature dans la zone doit effectuer un jet de sauvegarde de Dextérité DD 10, subissant 5 (2d4) dégâts de froid en cas d'échec, ou la moitié de ces dégâts en cas de réussite.</t>
  </si>
  <si>
    <t xml:space="preserve">Méphite magmatique</t>
  </si>
  <si>
    <t xml:space="preserve">igné, terreux</t>
  </si>
  <si>
    <t xml:space="preserve">- Vulnérabilités aux dégâts froid
- Immunités aux dégâts feu, poison
- Immunités aux états empoisonné
- Sens vision dans le noir 18 m, Perception passive 10
- Mort explosive. Lorsque le méphite meurt, il éclate dans une explosion de lave. Chaque créature présente dans un rayon de 1,50 mètre autour du méphite doit effectuer un jet de sauvegarde de Dextérité DD 11, subissant 7 (2d6) dégâts de feu en cas d'échec, ou la moitié de ces dégâts en cas de réussite.
- Apparence trompeuse. Tant que le méphite reste immobile, il ne peut être distingué d'un monticule de lave ordinaire.
- Incantation innée (1/jour). Le méphite peut lancer de manière innée le sort métal brûlant (jet de sauvegarde contre ses sorts DD 10), sans avoir besoin de composantes matérielles. Le Charisme est sa caractéristique d'incantation innée.</t>
  </si>
  <si>
    <t xml:space="preserve">- Griffes. Attaque au corps à corps avec une arme : +3 au toucher, allonge 1,50 m, une créature. Touché : 3 (1d4 + 1) dégâts tranchants + 2 (1d4) dégâts de feu.
- Souffle de feu (Recharge 6). Le méphite crache un cône de 4,50 mètres de flammes. Chaque créature dans la zone doit effectuer un jet de sauvegarde de Dextérité DD 11, subissant 7 (2d6) dégâts de feu en cas d'échec, ou la moitié de ces dégâts en cas de réussite.</t>
  </si>
  <si>
    <t xml:space="preserve">Méphite poussiéreux</t>
  </si>
  <si>
    <t xml:space="preserve">aérien, terreux</t>
  </si>
  <si>
    <t xml:space="preserve">- Vulnérabilités aux dégâts feu
- Immunités aux dégâts poison
- Immunités aux états empoisonné
- Sens vision dans le noir 18 m, Perception passive 12
- Mort explosive. Lorsque le méphite meurt, il éclate dans une explosion de poussière. Chaque créature présente dans un rayon de 1,50 mètre autour du méphite doit réussir un jet de sauvegarde de Constitution DD 10 ou être aveuglée pendant 1 minute. Une créature aveuglée peut retenter son jet de sauvegarde à chacun de ses tours, mettant fin à l'effet qui l'affecte en cas de réussite.
- Incantation innée (1/jour). Le méphite peut lancer de manière innée le sort sommeil, sans avoir besoin de composantes matérielles. Le Charisme est sa caractéristique d'incantation innée.</t>
  </si>
  <si>
    <t xml:space="preserve">- Griffes. Attaque au corps à corps avec une arme : +4 au toucher, allonge 1,50 m, une créature. Touché : 4 (1d4 + 2) dégâts tranchants.
- Souffle aveuglant (Recharge 6). Le méphite crache un cône de 4,50 mètres de poussière aveuglante. Chaque créature dans la zone doit réussir un jet de sauvegarde de Dextérité DD 10 ou être aveuglée pendant 1 minute. Une créature aveuglée peut retenter son jet de sauvegarde à la fin de chacun de ses tours, mettant fin à l'effet que l'affecte en cas de réussite.</t>
  </si>
  <si>
    <t xml:space="preserve">Méphite vaporeux</t>
  </si>
  <si>
    <t xml:space="preserve">aquatique, igné</t>
  </si>
  <si>
    <t xml:space="preserve">- Immunités aux dégâts feu, poison
- Immunités aux états empoisonné
- Sens vision dans le noir 18 m, Perception passive 10
- Mort explosive. Lorsque le méphite meurt, il explose en un nuage de vapeur. Chaque créature présente dans un rayon de 1,50 mètre autour du méphite doit réussir un jet de sauvegarde de Dextérité DD 10 ou subir 4 (1d8) dégâts de feu.
- Incantation innée (1/jour). Le méphite peut lancer de manière innée le sort flou, sans avoir besoin de composantes matérielles. Le Charisme est sa caractéristique d'incantation innée.</t>
  </si>
  <si>
    <t xml:space="preserve">- Griffes. Attaque au corps à corps avec une arme : +2 au toucher, allonge 1,50 m, une créature. Touché : 2 (1d4) dégâts tranchants + 2 (1d4) dégâts de feu.
- Souffle vaporeux (Recharge 6). Le méphite crache un cône de 4,50 mètres de vapeur brûlante. Chaque créature dans la zone doit effectuer un jet de sauvegarde de Dextérité DD 10, subissant 4 (1d8) dégâts de feu en cas d'échec, ou la moitié de ces dégâts en cas de réussite.</t>
  </si>
  <si>
    <t xml:space="preserve">Merrow</t>
  </si>
  <si>
    <t xml:space="preserve">abyssal, aquatique</t>
  </si>
  <si>
    <t xml:space="preserve">- Sens vision dans le noir 18 m, Perception passive 10
- Amphibien. Le merrow peut respirer aussi bien dans l'air que sous l'eau.</t>
  </si>
  <si>
    <t xml:space="preserve">- Attaques multiples. Le merrow effectue deux attaques : une de morsure et une avec ses griffes ou avec le harpon.
- Griffes. Attaque au corps à corps avec une arme : +6 au toucher, allonge 1,50 m, une cible. Touché : 9 (2d4 + 4) dégâts tranchants.
- Morsure. Attaque au corps à corps avec une arme : +6 au toucher, allonge 1,50 m, une cible. Touché : 8 (1d8 + 4) dégâts perforants.
- Harpon. Attaque au corps à corps ou à distance avec une arme : +6 au toucher, allonge 1,50 m ou portée 6/18 m, une cible. Touché : 11 (2d6 + 4) dégâts perforants. Si la cible est de taille TG ou inférieure, elle doit réussir un jet de Force contre le merrow ou être tirée de 6 mètres vers le merrow.</t>
  </si>
  <si>
    <t xml:space="preserve">Mezzoloth</t>
  </si>
  <si>
    <t xml:space="preserve">abyssal, infernal, télépathie 18 m</t>
  </si>
  <si>
    <t xml:space="preserve">- Résistances aux dégâts froid, feu, foudre ; contondant, perforant et tranchant d'attaques non magiques
- Immunités aux dégâts acide, poison
- Immunités aux états empoisonné
- Sens vision aveugle 18 m, vision dans le noir 18 m, Perception passive 13
- Incantation innée. La caractéristique d'incantation innée du mezzoloth est le Charisme (jet de sauvegarde contre ses sorts DD 11). Le mezzoloth peut lancer les sorts suivants de manière innée, sans avoir besoin de composantes matérielles :
- 2/jour chacun : ténèbres, dissipation de la magie
- 1/jour : brume mortelle
- Résistance à la magie. Le mezzoloth a un avantage aux jets de sauvegarde contre les sorts et autres effets magiques.
- Armes magiques. Les attaques avec une arme du mezzoloth sont magiques.</t>
  </si>
  <si>
    <t xml:space="preserve">- Attaques multiples. Le mezzoloth effectue deux attaques au corps à corps : une avec ses griffes et une avec le trident.
- Griffes. Attaque au corps à corps avec une arme : +7 au toucher, allonge 1,50 m, une cible. Touché : 9 (2d4 + 4) dégâts tranchants.
- Trident. Attaque au corps à corps ou à distance avec une arme : +7 au toucher, allonge 1,50 m ou portée 6/18 m, une cible. Touché : 7 (1d6 + 4) dégâts perforants, ou 8 (1d8 + 4) dégâts perforants si utilisé à deux mains pour faire une attaque au corps à corps.
- Téléportation. Le mezzoloth se téléporte magiquement, avec tout l'équipement qu'il porte ou transporte, vers un espace inoccupé qu'il peut voir et situé dans un rayon de 18 mètres autour de lui.</t>
  </si>
  <si>
    <t xml:space="preserve">Mille-pattes géant</t>
  </si>
  <si>
    <t xml:space="preserve">4 (1d6+1)</t>
  </si>
  <si>
    <t xml:space="preserve">- Sens vision aveugle 9 m, Perception passive 8</t>
  </si>
  <si>
    <t xml:space="preserve">- Morsure. Attaque au corps à corps avec une arme : +4 au toucher, allonge 1,50 m, une créature. Touché : 4 (1d4 + 2) dégâts perforants, et la cible doit réussir un jet de sauvegarde de Constitution DD 11 ou subir 10 (3d6) dégâts de poison. Si le poison réduit les points de vie de la cible à 0, celle-ci est stable mais empoisonnée durant 1 heure, même si elle récupère des points de vie par la suite, et paralysée tant qu'elle est empoisonnée de cette manière.</t>
  </si>
  <si>
    <t xml:space="preserve">Mimique</t>
  </si>
  <si>
    <t xml:space="preserve">Monstruosité (métamorphe)</t>
  </si>
  <si>
    <t xml:space="preserve">4,5 m</t>
  </si>
  <si>
    <t xml:space="preserve">Discrétion +5</t>
  </si>
  <si>
    <t xml:space="preserve">- Immunités aux dégâts acide
- Immunités aux états à terre
- Sens vision dans le noir 18 m, Perception passive 11
-Métamorphe. La mimique peut utiliser son action pour se métamorphoser en un objet, ou pour reprendre son aspect véritable informe. Ses statistiques sont les mêmes quelle que soit sa forme. L'équipement qu'elle porte ou transporte ne se transforme pas. Elle retrouve sa forme véritable lorsqu'elle meurt.
- Collant (forme d'objet uniquement). La mimique adhère à tout ce qui la touche. Une créature de taille TG ou inférieure collée à la mimique est également agrippée par elle (DD 13 pour s'échapper). Les jets de caractéristique effectués pour s'échapper de cette prise ont un désavantage.
-Apparence trompeuse (forme d'objet uniquement). Tant que la mimique reste immobile, elle ne peut être distinguée d'un objet ordinaire.
- Lutteur. La mimique a un avantage aux jets d'attaque effectués contre une créature qu'elle agrippe.</t>
  </si>
  <si>
    <t xml:space="preserve">- Pseudopode. Attaque au corps à corps avec une arme : +5 au toucher, allonge 1,50 m, une cible. Touché : 7 (1d8 + 3) dégâts contondants. Si la mimique est sous forme d'objet, la cible est affectée par le trait Collant.
- Morsure. Attaque au corps à corps avec une arme : +5 au toucher, allonge 1,50 m, une cible. Touché : 7 (1d8 + 3) dégâts perforants + 4 (1d8) dégâts d'acide.</t>
  </si>
  <si>
    <t xml:space="preserve">Minotaure</t>
  </si>
  <si>
    <t xml:space="preserve">76 (9d10+27)</t>
  </si>
  <si>
    <t xml:space="preserve">Perception+7</t>
  </si>
  <si>
    <t xml:space="preserve">- Sens vision dans le noir 18 m, Perception passive 17
- Charge. Si le minotaure se déplace d'au moins 3 mètres en ligne droite vers  une cible, puis la touche lors d'une attaque avec sa corne dans le même tour, la cible subit 9 (2d8) dégâts perforants supplémentaires. Si la cible est une créature, elle doit réussir un jet de sauvegarde de Force DD 14 ou être repoussée de 3 mètres et tomber à terre.
- Mémoire de labyrinthe. Le minotaure se souvient parfaitement des chemins qu'il a empruntés.
- Téméraire. Au début de son tour, le minotaure peut obtenir un avantage à tous les jets d'attaque au corps à corps avec une arme pendant ce tour, mais les attaques contre lui ont un avantage jusqu'au début de son prochain tour.</t>
  </si>
  <si>
    <t xml:space="preserve">- Hache à deux mains. Attaque au corps à corps avec une arme : +6 au toucher, allonge 1,50 m, une cible. Touché : 17 (2d12 + 4) dégâts tranchants.
- Corne. Attaque au corps à corps avec une arme : +6 au toucher, allonge 1,50 m, une cible. Touché : 13 (2d8 + 4) dégâts perforants.</t>
  </si>
  <si>
    <t xml:space="preserve">Moisissure violette</t>
  </si>
  <si>
    <t xml:space="preserve">1,5 m</t>
  </si>
  <si>
    <t xml:space="preserve">- Immunités aux états aveuglé, assourdi, effrayé
- Sens vision aveugle 9 m (aveugle au-delà de ce rayon), Perception passive 6
- Apparence trompeuse. Tant que la moisissure violette reste immobile, elle ne peut être distinguée d'un champignon ordinaire.</t>
  </si>
  <si>
    <t xml:space="preserve">- Attaques multiples. La moisissure effectue 1d4 attaques de Contact pourrissant.
- Contact pourrissant. Attaque au corps à corps avec une arme : +2 au toucher, allonge 3 m, une créature. Touché : 4 (1d8) dégâts nécrotiques.</t>
  </si>
  <si>
    <t xml:space="preserve">Moloch</t>
  </si>
  <si>
    <t xml:space="preserve">253 (22d10+132)</t>
  </si>
  <si>
    <t xml:space="preserve">Intimidation +13
Perception +11
Tromperie +13
JS DEX+11
JS CON+13
JS SAG+11
JS CHA+13</t>
  </si>
  <si>
    <t xml:space="preserve">- Résistances aux dégâts froid ; contondant, perforant et tranchant d'attaques non magiques qui ne sont pas en argent
- Immunités aux dégâts feu, poison
- Immunités aux états charmé, épuisement, effrayé, empoisonné
- Sens vision dans le noir 36 m, Perception passive 21
- Incantation innée. La caractéristique d'incantation innée de Moloch est le Charisme (jet de sauvegarde contre ses sorts DD 21). Il peut lancer les sorts suivants de manière innée, sans avoir besoin de composantes matérielles :
  - À volonté : modification d'apparence (peut être de catégorie de taille M lorsqu'il change d'apparence), animation des morts, mains brûlantes (lancé comme un sort de niveau 7), confusion, détection de la magie, vol, quête, image majeure, nuage nauséabond, suggestion, mur de feu
  - 1/jour chacun : colonne de flamme, symbole (étourdissant uniquement)
- Résistance légendaire (3/jour). Si Moloch échoue à un jet de sauvegarde, il peut décider de transformer cet échec en réussite.
- Résistance à la magie. Moloch a un avantage aux jets de sauvegarde contre les sorts et autres effets magiques.
- Armes magiques. Les attaques avec une arme de Moloch sont magiques.
- Régénération. Moloch récupère 20 points de vie au début de son tour. S'il subit des dégâts radiants, ce trait ne fonctionne pas au début de son prochain tour. Moloch ne meurt que s'il débute son tour avec 0 point de vie et qu'il ne se régénère pas.</t>
  </si>
  <si>
    <t xml:space="preserve">Attaques multiples. Moloch effectue trois attaques : une de morsure, une avec ses griffes et une avec son fouet.
  - Morsure. Attaque au corps à corps avec une arme : +15 au toucher, allonge 1,50 m, une cible. Touché : 26 (4d8 + 8) dégâts perforants.
  - Griffes. Attaque au corps à corps avec une arme : +15 au toucher, allonge 3 m, une cible. Touché : 17 (2d8 + 8) dégâts tranchants.
  - Fouet aux innombrables queues. Attaque au corps à corps avec une arme : +15 au toucher, allonge 9 m, une cible. Touché : 13 (2d4 + 8) dégâts tranchants + 11 (2d10) dégâts de foudre. Si la cible est une créature, elle doit réussir un jet de sauvegarde de Force DD 24 ou être attirée vers Moloch en ligne droite sur une distance de 9 mètres maximum.
- Souffle du désespoir (Recharge 5-6). L'attaque de souffle de Moloch remplit un cube de 9 mètres de côté. Chaque créature se trouvant dans cette zone doit réussir un jet de sauvegarde de Sagesse DD 21 ou subir 27 (5d10) dégâts psychiques, lâcher tout ce qu'elle tient et être effrayée pendant 1 minute. Tant qu'elle est effrayée de la sorte, une créature doit utiliser l'action Foncer et s'éloigner le plus possible de Moloch en suivant le chemin le plus sécurisé possible, et ce à chacun de ses tours, à moins qu'elle n'ait nulle part où aller, auquel cas elle n'a pas besoin d'utiliser l'action Foncer. Si la créature termine son tour à un endroit où elle n'a plus Moloch en ligne de mire, la créature peut retenter son jet de sauvegarde. En cas de réussite, l'effet prend fin.
- Téléportation. Moloch se téléporte magiquement, avec tout l'équipement qu'il porte ou transporte, vers un espace inoccupé qu'il peut voir et situé dans un rayon de 36 mètres autour de lui.</t>
  </si>
  <si>
    <t xml:space="preserve">Moloch peut effectuer 3 actions légendaires, en choisissant parmi les options suivantes. Une seule action légendaire peut être effectuée à la fois, et seulement à la fin du tour d'une autre créature. Moloch récupère les actions légendaires dépensées au début de son tour.
- Nuage nauséabond. Moloch lance le sort nuage nauséabond.
- Téléportation. Moloch utilise son action Téléportation.
- Fouet. Moloch effectue une attaque avec son fouet.</t>
  </si>
  <si>
    <t xml:space="preserve">Molosse</t>
  </si>
  <si>
    <t xml:space="preserve">- Sens Perception passive 13
- Odorat et ouïe aiguisés. Le molosse a un avantage aux jets de Sagesse (Perception) basés sur l'odorat ou l'ouïe.</t>
  </si>
  <si>
    <t xml:space="preserve">- Morsure. Attaque au corps à corps avec une arme : +3 au toucher, allonge 1,50 m, une cible. Touché : 4 (1d6 + 1) dégâts perforants. Si la cible est une créature, elle doit réussir un jet de sauvegarde de Force DD 11 pour ne pas tomber à terre.</t>
  </si>
  <si>
    <t xml:space="preserve">Molosse des ombres</t>
  </si>
  <si>
    <t xml:space="preserve">Perception+3
Discrétion+6</t>
  </si>
  <si>
    <t xml:space="preserve">- Résistances aux dégâts contondant, perforant et tranchant d'attaques non magiques s'il est dans une lumière faible ou des ténèbres
- Sens vision dans le noir 18 m, Perception passive 13
- Conscience éthérée. Le molosse des ombres peut voir des créatures et des objets éthérés.
- Odorat et ouïe aiguisés. Le molosse des ombres a un avantage aux jets de Sagesse (Perception) basés sur l'odorat ou l'ouïe.
- Mélange d'ombre. Dans une lumière faible ou dans les ténèbres, le molosse des ombres peut utiliser une action bonus pour devenir invisible, avec tout ce qu'il porte. L'invisibilité dure jusqu'à ce que le molosse des ombres utilise une action bonus pour y mettre fin ou jusqu'à ce qu'il attaque, soit exposé à une lumière vive ou soit incapable d'agir.
- Impuissance face à la lumière du soleil. S'il est exposé à la lumière du soleil, le molosse des ombres a un désavantage aux jets d'attaque, de caractéristique et de sauvegarde.</t>
  </si>
  <si>
    <t xml:space="preserve">- Morsure. Attaque au corps à corps avec une arme : +5 au toucher, allonge 1,50 m, une cible. Touché : 10 (2d6 + 3) dégâts perforants. Si la cible est une créature, elle doit réussir un jet de sauvegarde de Force DD 13 ou tomber à terre.</t>
  </si>
  <si>
    <t xml:space="preserve">Momie</t>
  </si>
  <si>
    <t xml:space="preserve">JS SAG+2</t>
  </si>
  <si>
    <t xml:space="preserve">- Vulnérabilités aux dégâts feu
- Résistances aux dégâts contondant, perforant et tranchant d'attaques non magiques
- Immunités aux dégâts nécrotique, poison
- Immunités aux états charmé, épuisement, effrayé, paralysé, empoisonné
- Sens vision dans le noir 18 m, Perception passive 10</t>
  </si>
  <si>
    <t xml:space="preserve">- Attaques multiples. Le seigneur momie peut utiliser son Regard d'épouvante et effectuer une attaque avec ses poings putréfiants.
- Poings putréfiants. Attaque au corps à corps avec une arme : +5 au toucher, allonge 1,50 m, une cible. Touché : 10 (2d6 + 3) dégâts contondants + 10 (3d6) dégâts nécrotiques. Si la cible est une créature, elle doit réussir un jet de sauvegarde de Constitution DD 12 ou être frappée par la malédiction de la putréfaction de la momie. La cible de la malédiction ne peut pas regagner de points de vie, et son maximum de points de vie est réduit de 10 (3d6) chaque 24 heures qui s'écoulent. Si la malédiction réduit le maximum de points de vie de la cible à 0, la cible meurt et son corps devient poussière. La malédiction dure jusqu'à ce qu'elle soit supprimée par un sort de délivrance des malédictions ou autre magie.
- Regard d'épouvante. La momie cible une créature qu'elle peut voir dans les 18 mètres autour d'elle. Si la cible peut voir la momie, elle doit réussir un jet de sauvegarde de Sagesse DD 11 contre cette magie ou devenir effrayée jusqu'à la fin du prochain tour de la momie. Si le jet de sauvegarde échoue de 5 ou plus, la cible est de plus paralysée pour la même durée. Une cible qui réussit le jet de sauvegarde est immunisée du Regard d'épouvante de toutes les momies (mais pas des seigneurs momies) pour les prochaines 24 heures.</t>
  </si>
  <si>
    <t xml:space="preserve">Monodrone</t>
  </si>
  <si>
    <t xml:space="preserve">monodron</t>
  </si>
  <si>
    <t xml:space="preserve">- Sens vision véritable 36 m, Perception passive 10
- Esprit axiomatique. Le monodrone ne peut être contraint à agir d'une manière contraire à sa nature ou aux instructions qu'il a reçues.
- Désintégration. Si le monodrone meurt, son corps se désintègre et tombe en poussière, ne laissant derrière lui que ses armes et tout ce qu'il portait..</t>
  </si>
  <si>
    <t xml:space="preserve">- Dague. Attaque au corps à corps avec une arme : +3 au toucher, allonge 1,50 m, une cible. Touché : 3 (1d4 + 1) dégâts perforants.
- Javeline. Attaque au corps à corps ou à distance avec une arme : +2 au toucher, allonge 1,50 m ou portée 9/36 m, une cible. Touché : 3 (1d6) dégâts perforants.</t>
  </si>
  <si>
    <t xml:space="preserve">Morkoth</t>
  </si>
  <si>
    <t xml:space="preserve">130 (20d8+40)</t>
  </si>
  <si>
    <t xml:space="preserve">7,50 m, nage 15 m</t>
  </si>
  <si>
    <t xml:space="preserve">Arcanes+9
Histoire+9
Perception+10
Discrétion+6
JS DEX+6
JS INT+9
JS SAG+6</t>
  </si>
  <si>
    <t xml:space="preserve">télépathie 36 m</t>
  </si>
  <si>
    <t xml:space="preserve">- Résistances aux dégâts contondant, perforant et tranchant d'attaques non magiques
- Sens vision aveugle 9 m, vision dans le noir 36 m, Perception passive 20
- Amphibien. Le morkoth peut respirer aussi bien dans l'air que sous l'eau.
- Incantation. Le morkoth est un lanceur de sorts de niveau 11. Sa caractéristique d'incantation est l'Intelligence (jet de sauvegarde contre ses sorts DD 17, +9 au toucher pour les attaques avec un sort). Le morkoth a préparé les sorts de magicien suivants :
  - Sorts mineurs (à volonté) : aspersion d'acide, main de mage, réparation, rayon de givre, poigne électrique
  - Niveau 1 (4 emplacements) : détection de la magie, identification, bouclier, trait ensorcelé
  - Niveau 2 (3 emplacements) : ténèbres, détection des pensées, fracassement
  - Niveau 3 (3 emplacements) : dissipation de la magie,  éclair, communication à distance
  - Niveau 4 (3 emplacements) : porte dimensionnelle, tentacules noirs d'Evard
  - Niveau 5 (3 emplacements) : quête, scrutation
  - Niveau 6 (1 emplacement) : chaîne d'éclairs</t>
  </si>
  <si>
    <t xml:space="preserve">- Attaques multiples. Le morkoth effectue trois attaques : deux de morsure et une avec ses tentacules ou trois de morsure.
- Morsure. Attaque au corps à corps avec une arme : +6 au toucher, allonge 1,50 m, une cible. Touché : 9 (2d6 + 2) dégâts tranchants.
- Tentacules. Attaque au corps à corps avec une arme : +6 au toucher, allonge 1,50 m, une cible. Touché : 15 (3d8 + 2) dégâts contondants, et la cible est agrippée (évasion DD 14) si c'est une créature de taille G ou plus petite. Tant qu'elle est agrippée, la cible est entravée et subit 15 (3d8 + 2) dégâts contondants au début de chacun des tours du morkoth, et le morkoth ne peut pas utiliser ses tentacules sur une autre cible.
- Hypnose. Le morkoth projette un cône de 9 mètres d'énergie magique. Toute créature dans cette zone doit effectuer un jet de sauvegarde de Sagesse DD 17. En cas d'échec, la créature est charmée par le morkoth pendant 1 minute. Tant qu'elle est charmée de cette manière, la cible essaie de se rapprocher le plus possible du morkoth, en utilisant ses actions pour Foncer jusqu'à ce qu'elle soit à 1,50 mètre ou moins du morkoth. Une cible charmée peut répéter le jet de sauvegarde à la fin de chacun de ses tours et chaque fois qu'elle subit des dégâts, mettant fin à l'effet qui l'affecte en cas de succès. Si le jet de sauvegarde d'une créature réussit ou si l'effet se termine, la créature a un avantage aux jets de sauvegarde contre l'hypnose du morkoth pendant 24 heures.</t>
  </si>
  <si>
    <t xml:space="preserve">- Renvoi de sort. Si le morkoth réussit un jet de sauvegarde contre un sort, ou si une attaque magique le manque, le morkoth peut choisir une autre créature (dont celle qui a lancé le sort) qu'il peut voir dans un rayon de 36 mètres autour de lui. Le sort cible alors cette créature à la place du morkoth. Si le sort demandait un jet de sauvegarde, la créature doit en faire un. Si le sort était une attaque, un jet d'attaque est lancé contre la créature ciblée.</t>
  </si>
  <si>
    <t xml:space="preserve">Mormesk L'âme-en-peine</t>
  </si>
  <si>
    <t xml:space="preserve">0 m, vol 18 m</t>
  </si>
  <si>
    <t xml:space="preserve">commun, infernal</t>
  </si>
  <si>
    <t xml:space="preserve">- Sens vision dans le noir 18 m, Perception passive 12 
- Résistance aux dégâts d’acide, de feu, de foudre, de froid et de tonnerre ; contondants, perforants et tranchants infligés par des armes non-magiques qui ne sont pas en argent
- Immunité contre les dégâts de poison et nécrotiques
- Immunité contre les états à terre, charmé, empoigné,
empoisonné, entravé, paralysé et pétrifié
- Déplacement intangible. L’âme-en-peine peut traverser créatures et objets mais ne peut pas s’arrêter dans les emplacements qu’ils occupent.
- Sensibilité à la lumière du soleil. L’âme-en-peine est désavantagée lors des jets d’attaque et des tests de Sagesse (Perception) basés sur la vue lorsqu’elle est exposée à la lumière du soleil.</t>
  </si>
  <si>
    <t xml:space="preserve">- Absorption de vie. Attaque d’arme au corps à corps : +5 pour
toucher, allonge 1,50 m, une créature. Touché : 16 (3d8+3) dégâts
nécrotiques, et la cible doit réussir un jet de sauvegarde de
Constitution DD 13 pour ne pas voir son maximum de points de vie
réduit d’un montant égal aux dégâts subis. Cette réduction persiste
jusqu’au moment où la créature termine une période de repos long.
La cible meurt si cet effet réduit à 0 son maximum de points de vie.</t>
  </si>
  <si>
    <t xml:space="preserve">Mule</t>
  </si>
  <si>
    <t xml:space="preserve">- Sens Perception passive 10
- Bête de somme. La mule est considérée comme un animal de taille G pour déterminer sa capacité de charge.
- Pied sûr. La mule a un avantage aux jets de sauvegarde de Force et Dextérité effectués pour ne pas tomber à terre.</t>
  </si>
  <si>
    <t xml:space="preserve">- Sabots. Attaque au corps à corps avec une arme : +2 au toucher, allonge 1,50 m, une cible. Touché : 4 (1d4 + 2) dégâts contondants.</t>
  </si>
  <si>
    <t xml:space="preserve">Myconide, adulte</t>
  </si>
  <si>
    <t xml:space="preserve">- Sens vision dans le noir 36 m, Perception passive 11
- Spores de détresse. Lorsque le myconide subit des dégâts, tous les autres myconides à 72 mètres à la ronde peuvent ressentir sa douleur.
- Maladie solaire. Lorsqu'il se trouve exposé à la lumière du soleil, le myconide a un désavantage aux jets de caractéristique, jets d'attaque et jets de sauvegarde. Le myconide meurt s'il est exposé directement à la lumière du soleil pendant plus d'une heure.</t>
  </si>
  <si>
    <t xml:space="preserve">- Poing. Attaque au corps à corps avec une arme : +2 au toucher, allonge 1,50 m, une cible. Touché : 5 (2d4) dégâts contondants + 5 (2d4) dégâts de poison.
- Spores pacificatrices (3/jour). Le myconide projette des spores sur une créature qu'il peut voir et se trouvant à 1,50 mètre de lui. La cible doit réussir un jet de sauvegarde de Constitution DD 11 ou être étourdie pendant 1 minute. La cible peut retenter son jet de sauvegarde à la fin de chacun de ses tours, mettant fin à l'effet qui l'affecte en cas de réussite.
- Spores de communication (3/jour). Des spores sont envoyées dans toutes les directions dans un rayon de 6 mètres autour du myconide. Ces spores contournent les angles de mur et n'affectent que les créatures possédant une valeur d'Intelligence de 2 ou supérieure et qui ne sont ni des morts-vivants, ni des artificiels, ni des élémentaires. Les créatures affectées peuvent communiquer par télépathie avec une autre créature affectée tant qu'elles se trouvent à 9 mètres ou moins l'une de l'autre. Cet effet reste effectif pendant 1 heure.</t>
  </si>
  <si>
    <t xml:space="preserve">Myconide, pousse</t>
  </si>
  <si>
    <t xml:space="preserve">- Sens vision dans le noir 36 m, Perception passive 10
- Spores de détresse. Lorsque le myconide subit des dégâts, tous les autres myconides à 72 mètres à la ronde peuvent ressentir sa douleur.
- Maladie solaire. Lorsqu'il se trouve exposé à la lumière du soleil, le myconide a un désavantage aux jets de caractéristique, jets d'attaque et jets de sauvegarde. Le myconide meurt s'il est exposé directement à la lumière du soleil pendant plus d'une heure.</t>
  </si>
  <si>
    <t xml:space="preserve">- Poing. Attaque au corps à corps avec une arme : +1 au toucher, allonge 1,50 m, une cible. Touché : 1 (1d4 - 1) dégâts contondants + 2 (1d4) dégâts de poison.
- Spores de communication (3/jour). Des spores sont envoyées dans toutes les directions dans un rayon de 3 mètres autour du myconide. Ces spores contournent les angles de mur et n'affectent que les créatures possédant une valeur d'Intelligence de 2 ou supérieure et qui ne sont ni des morts-vivants, ni des artificiels, ni des élémentaires. Les créatures affectées peuvent communiquer par télépathie avec une autre créature affectée tant qu'elles se trouvent à 9 mètres ou moins l'une de l'autre. Cet effet reste effectif pendant 1 heure.</t>
  </si>
  <si>
    <t xml:space="preserve">Myconide, souverain</t>
  </si>
  <si>
    <t xml:space="preserve">60 (8d10+16)</t>
  </si>
  <si>
    <t xml:space="preserve">- Sens vision dans le noir 36 m, Perception passive 12
- Spores de détresse. Lorsque le myconide subit des dégâts, tous les autres myconides à 72 mètres à la ronde peuvent ressentir sa douleur.
- Maladie solaire. Lorsqu'il se trouve exposé à la lumière du soleil, le myconide a un désavantage aux jets de caractéristique, jets d'attaque et jets de sauvegarde. Le myconide meurt s'il est exposé directement à la lumière du soleil pendant plus d'une heure.</t>
  </si>
  <si>
    <t xml:space="preserve">- Attaques multiples. Le myconide utilise soit ses Spores Hallucinatoires soit ses Spores de Pacification, puis effectue une attaque de coup.
- Poing. Attaque au corps à corps avec une arme : +3 au toucher, allonge 1,50 m, une cible. Touché : 8 (3d4 + 1) dégâts contondants + 7 (3d4) dégâts de poison.
- Spores réanimatrices (3/jour). Le myconide cible le cadavre d'un humanoïde ou d'une bête de taille G ou inférieure et se trouvant à 1,50 mètre de lui maximum et déverse des spores sur cette dépouille. En 24 heures, le cadavre se relève et devient un serviteur des spores. Le cadavre reste animé pendant 1d4 + 1 semaines ou jusqu'à ce qu'il soit détruit, et ne peut plus être réanimé par ce procédé.
- Spores hallucinogènes. Le myconide projette les spores sur une créature qu'il peut voir et se trouvant à 1,50 mètre de lui. La cible doit réussir un jet de sauvegarde de Constitution DD 12 ou être empoisonnée pendant 1 minute. Une cible empoisonnée de la sorte est incapable d'agir tant qu'elle est sous l'emprise de ces hallucinations. La cible peut retenter son jet de sauvegarde à la fin de chacun de ses tours, mettant fin à l'effet qui l'affecte en cas de réussite.
- Spores pacificatrices. Le myconide projette des spores sur une créature qu'il peut voir et se trouvant à 1,50 mètre de lui. La cible doit réussir un jet de sauvegarde de Constitution DD 12 ou être étourdie pendant 1 minute. La cible peut retenter son jet de sauvegarde à la fin de chacun de ses tours, mettant fin à l'effet qui l'affecte en cas de réussite.
- Spores de communication. Des spores sont envoyées dans toutes les directions dans un rayon de 9 mètres autour du myconide. Ces spores contournent les angles de mur et n'affectent que les créatures possédant une valeur d'Intelligence de 2 ou supérieure et qui ne sont ni des morts-vivants, ni des artificiels, ni des élémentaires. Les créatures affectées peuvent communiquer par télépathie avec une autre créature affectée tant qu'elles se trouvent à 9 mètres ou moins l'une de l'autre. Cet effet reste effectif pendant 1 heure. </t>
  </si>
  <si>
    <t xml:space="preserve">Naga corrupteur</t>
  </si>
  <si>
    <t xml:space="preserve">JS DEX+6
JS CON+5
JS SAG+5
JS CHA+6</t>
  </si>
  <si>
    <t xml:space="preserve">- Immunités aux dégâts poison
- Immunités aux états charmé, empoisonné
- Sens vision dans le noir 18 m, Perception passive 12
- Reconstitution. S'il meurt, le naga revient à la vie en 1d6 jours et retrouve tous ses points de vie. Seul un sort de souhait peut empêcher ce trait de fonctionner.
- Incantation. Le naga est un lanceur de sorts de niveau 10. Sa caractéristique d'incantation est l'Intelligence (jet de sauvegarde contre ses sorts DD 14, +6 au toucher pour les attaques avec un sort). Le naga n'a besoin que des composantes verbales pour lancer ses sorts. Il a préparé les sorts de magicien suivants :
  - Sorts mineurs (à volonté) : main de mage, illusion mineure, rayon de givre
  - Niveau 1 (4 emplacements) : charme-personne, détection de la magie, sommeil
  - Niveau 2 (3 emplacements) : détection des pensées, immobilisation de personne
  - Niveau 3 (3 emplacements) : éclair, respiration aquatique
  - Niveau 4 (3 emplacements) : flétrissement, porte dimensionnelle
  - Niveau 5 (2 emplacements) : domination de personne</t>
  </si>
  <si>
    <t xml:space="preserve">- Morsure. Attaque au corps à corps avec une arme : +7 au toucher, allonge 3 m, une créature. Touché : 7 (1d6 + 4) dégâts perforants, et la cible doit effectuer un jet de sauvegarde de Constitution DD 13, subissant 31 (7d8) dégâts de poison en cas d'échec, ou la moitié de ces dégâts en cas de réussite.</t>
  </si>
  <si>
    <t xml:space="preserve">Naga gardien</t>
  </si>
  <si>
    <t xml:space="preserve">JS DEX+8
JS CON+7
JS INT+7
JS SAG+8
JS CHA+8</t>
  </si>
  <si>
    <t xml:space="preserve">céleste, commun</t>
  </si>
  <si>
    <t xml:space="preserve">- Immunités aux dégâts poison
- Immunités aux états charmé, empoisonné
- Sens vision dans le noir 18 m, Perception passive 14
- Reconstitution. S'il meurt, le naga revient à la vie en 1d6 jours et retrouve tous ses points de vie. Seul un sort de souhait peut empêcher ce trait de fonctionner.
- Incantation. Le naga est un lanceur de sorts de niveau 11. Sa caractéristique d'incantation est la Sagesse (jet de sauvegarde contre ses sorts DD 16, +8 au toucher pour les attaques avec un sort). Le naga n'a besoin que des composantes verbales pour lancer ses sorts. Il a préparé les sorts de clerc suivants :
  - Sorts mineurs (à volonté) : réparation, flamme sacrée, thaumaturgie
  - Niveau 1 (4 emplacements) : injonction, soins, bouclier de la foi
  - Niveau 2 (3 emplacements) : apaisement des émotions, immobilisation de personne
  - Niveau 3 (3 emplacements) : malédiction, clairvoyance
  - Niveau 4 (3 emplacements) : bannissement, liberté de mouvement
  - Niveau 5 (2 emplacements) : colonne de flamme, quête
  - Niveau 6 (1 emplacement) : vision suprême</t>
  </si>
  <si>
    <t xml:space="preserve">- Morsure. Attaque au corps à corps avec une arme : +8 au toucher, allonge 3 m, une créature. Touché : 8 (1d8 + 4) dégâts perforants, et la cible doit effectuer un jet de sauvegarde de Constitution DD 15, subissant 45 (10d8) dégâts de poison en cas d'échec, ou la moitié de ces dégâts en cas de réussite.
- Crachat empoisonné. Attaque à distance avec une arme : +8 au toucher, portée 4,50/9 m, une créature. Touché : la cible doit effectuer un jet de sauvegarde de Constitution DD 15, subissant 45 (10d8) dégâts de poison en cas d'échec, ou la moitié de ces dégâts en cas de réussite.</t>
  </si>
  <si>
    <t xml:space="preserve">Naga osseux</t>
  </si>
  <si>
    <t xml:space="preserve">58 (9d10+9)</t>
  </si>
  <si>
    <t xml:space="preserve">commun plus une autre langue</t>
  </si>
  <si>
    <t xml:space="preserve">- Immunités aux dégâts poison
- Immunités aux états charmé, épuisement, paralysé, empoisonné
- Sens vision dans le noir 18 m, Perception passive 12
- Incantation. Le naga est un lanceur de sorts de niveau 5 (jet de sauvegarde contre ses sorts DD 12, +4 au toucher pour les attaques avec un sort) qui n'a besoin que des composantes verbales pour lancer ses sorts.
Si le naga était un naga gardien lorsqu'il était en vie, sa caractéristique d'incantation est la Sagesse, et il a préparé les sorts de clerc suivants :
  - Sorts mineurs (à volonté) : réparation, flamme sacrée, thaumaturgie
  - Niveau 1 (4 emplacements) : injonction, bouclier de la foi
  - Niveau 2 (3 emplacements) : apaisement des émotions, immobilisation de personne
  - Niveau 3 (2 emplacements) : malédiction
- Si le naga était un naga corrupteur lorsqu'il était en vie, sa caractéristique d'incantation est l'Intelligence, et il a préparé les sorts de magicien suivants :
  - Sorts mineurs (à volonté) : main de mage, illusion mineure, rayon de givre
  - Niveau 1 (4 emplacements) : charme-personne, sommeil
  - Niveau 2 (3 emplacements) : détection des pensées, immobilisation de personne
  - Niveau 3 (2 emplacements) : éclair</t>
  </si>
  <si>
    <t xml:space="preserve">- Morsure. Attaque au corps à corps avec une arme : +5 au toucher, allonge 3 m, une créature. Touché : 10 (2d6 + 3) dégâts perforants + 10 (3d6) dégâts de poison.</t>
  </si>
  <si>
    <t xml:space="preserve">Nalfeshnie</t>
  </si>
  <si>
    <t xml:space="preserve">184 (16d10+96)</t>
  </si>
  <si>
    <t xml:space="preserve">6 m, vol 9 m</t>
  </si>
  <si>
    <t xml:space="preserve">JS CON+11
JS INT+9
JS SAG+6
JS CHA+7</t>
  </si>
  <si>
    <t xml:space="preserve">- Résistances aux dégâts froid, feu, foudre ; contondant, perforant et tranchant d'attaques non magiques
- Immunités aux dégâts poison
- Immunités aux états empoisonné
- Sens vision véritable 36 m, Perception passive 11
- Résistance à la magie. La nalfeshnie a un avantage aux jets de sauvegarde contre les sorts et autres effets magiques</t>
  </si>
  <si>
    <t xml:space="preserve">- Attaques multiples. La nalfeshnie utilise Nimbe d'horreur si elle le peut. Elle effectue alors trois attaques : une de morsure et deux avec ses griffes.
- Griffes. Attaque au corps à corps avec une arme : +10 au toucher, allonge 3 m, une cible. Touché : 15 (3d6 + 5) dégâts tranchants.
- Morsure. Attaque au corps à corps avec une arme : +10 au toucher, allonge 1,50 m, une cible. Touché : 32 (5d10 + 5) dégâts perforants.
- Nimbe d'horreur (Recharge 5-6). La nalfeshnie émet magiquement une lumière multicolore et scintillante. Toute créature située à 4,50 mètres ou moins de la nalfeshnie et qui peut voir cette lumière doit réussir un jet de sauvegarde de Sagesse DD 15 ou être effrayée pendant 1 minute. Les créatures affectées peuvent relancer le jet de sauvegarde à la fin de chacun de leurs tours, une réussite mettant fin à l'effet. Si une créature réussit son jet de sauvegarde ou si l'effet se termine pour elle, cette créature est immunisée aux effets de la Nimbe d'horreur de la nalfeshnie pour les 24 heures suivantes.
- Téléportation. La nalfeshnie se téléporte magiquement, avec tout équipement qu'elle porte ou transporte, vers un espace inoccupé qu'elle peut voir et situé dans un rayon de 36 mètres autour d'elle.</t>
  </si>
  <si>
    <t xml:space="preserve">Narzugon</t>
  </si>
  <si>
    <t xml:space="preserve">Perception+7
JS DEX+5
JS CON+8
JS CHA+9</t>
  </si>
  <si>
    <t xml:space="preserve">commun, infernal, télépathie 36 m</t>
  </si>
  <si>
    <t xml:space="preserve">- Résistances aux dégâts acide, froid ; contondant, perforant et tranchant d'attaques non magiques qui ne sont pas en argent
- Immunités aux dégâts feu, poison
- Immunités aux états charmé, effrayé, empoisonné
- Sens vision dans le noir 36 m, Perception passive 17
- Sens diaboliques. Le narzugon a un avantage aux jets de Sagesse (Perception) effectués pour repérer des créatures d'alignement bon.
- Harnachement infernal. Le narzugon est équipé d'éperons qui font partis d'un harnachement infernal lui permettant d'invoquer son compagnon destrier noir.
- Résistance à la magie. Le narzugon a un avantage aux jets de sauvegarde contre les sorts et autres effets magiques.</t>
  </si>
  <si>
    <t xml:space="preserve">- Attaques multiples. Le narzugon utilise son Commandement infernal ou son Commandement terrifiant. Il effectue également trois attaques de lance d'arçon des feux de l'enfer.
  - Lance d'arçon des feux de l'enfer. Attaque au corps à corps avec une arme : +10 au toucher, allonge 3 m, une cible. Touché : 11 (1d12 + 5) dégâts perforants + 16 (3d10) dégâts de feu. Si ces dégâts tuent une créature, l'âme de la créature surgit, au bout de 1d4 heures, de la rivière Styx d'Avernus sous la forme d'un lémure. Si la créature n'est pas ressuscitée avant que cela ne se produise, le seul moyen de ramener la créature à la vie est de lancer un sort de souhait ou de tuer le lémure puis de lancer le sort résurrection suprême sur la dépouille originelle de la créature.
  - Commandement infernal. Chaque allié présent dans un rayon de 18 mètres autour du narzugon ne peut pas être charmé ni effrayé jusqu'à la fin du prochain tour du narzugon.
  - Commandement terrifiant. Chaque créature qui n'est pas un fiélon, se trouvant dans un rayon de 18 mètres autour du narzugon et qui peut l'entendre, doit réussir un jet de sauvegarde de Charisme DD 17 ou être effrayée pendant 1 minute. Une créature peut retenter son jet de sauvegarde à la fin de chacun de ses tours, mettant fin à l'effet qui l'affecte en cas de réussite. Une créature qui réussit son jet de sauvegarde est immunisée au Commandement terrifiant de ce narzugon pour les 24 prochaines heures.
- Guérison (1/jour). Le narzugon, ou une créature qu'il touche, récupère jusqu'à 100 points de vie</t>
  </si>
  <si>
    <t xml:space="preserve">Nécromant</t>
  </si>
  <si>
    <t xml:space="preserve">- Résistances aux dégâts nécrotique
- Sens Perception passive 11
- Incantation. Le nécromant est un lanceur de sorts de niveau 12. Sa caractéristique d'incantation est l'Intelligence (jet de sauvegarde contre ses sorts DD 15, +7 au toucher pour les attaques avec un sort). Il a préparé les sorts de magicien suivants :
  - Sorts mineurs (à volonté) : contact-glacial, lumières dansantes, main de mage, réparation
  - Niveau 1 (4 emplacements) : simulacre de vie*, armure de mage, rayon empoisonné*
  - Niveau 2 (3 emplacements) : cécité/surdité*, rayon affaiblissant*, toile d'araignée
  - Niveau 3 (3 emplacements) : animation des morts*, malédiction*, toucher du vampire*
  - Niveau 4 (3 emplacements) : flétrissement*, porte dimensionnelle, peau de pierre
  - Niveau 5 (2 emplacements) : main de Bigby, brume mortelle
  - Niveau 6 (1 emplacement) : cercle de mort*
* sort de nécromancie de niveau 1 ou supérieur
Sinistre moisson (1/tour). Lorsque le nécromancien tue une créature qui n'est ni un mort-vivant ni un artificiel avec un sort de niveau 1 ou supérieur, le nécromancien récupère un nombre de points de vie égal à deux fois le niveau du sort ou trois fois s'il s'agit d'un sort de nécromancie.</t>
  </si>
  <si>
    <t xml:space="preserve">- Toucher flétrissant. Attaque au corps à corps avec un sort : +7 au toucher, allonge 1,50 m, une cible. Touché : 5 (2d4) dégâts nécrotiques.</t>
  </si>
  <si>
    <t xml:space="preserve">Nécrophage</t>
  </si>
  <si>
    <t xml:space="preserve">- Résistances aux dégâts nécrotique ; contondant, perforant et tranchant d'attaques non magiques qui ne sont pas en argent
- Immunités aux dégâts poison
- Immunités aux états épuisement, empoisonné
- Sens vision dans le noir 18 m, Perception passive 13
- Sensibilité au soleil. S'il est exposé à la lumière du soleil, le nécrophage a un désavantage aux jets d'attaque et aux jets de Sagesse (Perception) basés sur la vue.</t>
  </si>
  <si>
    <t xml:space="preserve">- Attaques multiples. Le nécrophage effectue deux attaques à l'épée longue ou deux attaques à l'arc long. Il peut utiliser Absorption de vie à la place d'une attaque à l'épée longue.
- Absorption de vie. Attaque au corps à corps avec une arme : +4 au toucher, allonge 1,50 m, une créature. Touché : 5 (1d6 + 2) dégâts nécrotiques. La cible doit réussir un jet de sauvegarde de Constitution DD 13 pour ne pas subir une diminution de son maximum de points de vie égale aux dégâts subis. Cette diminution perdure jusqu'à ce que la cible termine un repos long. La cible meurt si cet effet réduit son maximum de points de vie à 0. Un humanoïde tué par cette attaque se relève 24 heures plus tard comme un zombi sous le contrôle du nécrophage, à moins que l'humanoïde ne soit ramené à la vie ou que son corps ne soit détruit. Le nécrophage ne peut avoir plus de douze zombis sous son contrôle à un moment donné.
- Épée longue. Attaque au corps à corps avec une arme : +4 au toucher, allonge 1,50 m, une cible. Touché : 6 (1d8 + 2) dégâts tranchants, ou 7 (1d10 + 2) dégâts tranchants si utilisée à deux mains.
- Arc long. Attaque à distance avec une arme : +4 au toucher, portée 45/180 m, une cible. Touché : 6 (1d8 + 2) dégâts perforants.</t>
  </si>
  <si>
    <t xml:space="preserve">Néogi</t>
  </si>
  <si>
    <t xml:space="preserve">33 (6d6+12)</t>
  </si>
  <si>
    <t xml:space="preserve">Intimidation+4
Perception+3</t>
  </si>
  <si>
    <t xml:space="preserve">commun, profond, commun des profondeurs</t>
  </si>
  <si>
    <t xml:space="preserve">- Sens vision dans le noir 18 m, Perception passive 13
- Résistance mentale. Le néogi a un avantage aux jets de sauvegarde pour ne pas être charmé ou effrayé, et la magie ne peut pas l'endormir.
- Pattes d'araignée. Le néogi peut escalader des surfaces difficiles et être au plafond la tête en bas sans avoir besoin d'effectuer un jet de caractéristique.</t>
  </si>
  <si>
    <t xml:space="preserve">- Attaques multiples. Le néogi effectue deux attaques : une de morsure et une avec ses griffes.
- Morsure. Attaque au corps à corps avec une arme : +5 au toucher, allonge 1,50 m, une cible. Touché : 6 (1d6 + 3) dégâts perforants + 14 (4d6) dégâts de poison, et la cible doit réussir un jet de sauvegarde de Constitution DD 12 ou être empoisonnée pendant 1 minute. La cible peut retenter son jet de sauvegarde à la fin de chacun de ses tours, mettant fin à l'effet qui l'affecte en cas de réussite.
- Griffes. Attaque au corps à corps avec une arme : +5 au toucher, allonge 1,50 m, une cible. Touché : 8 (2d4 + 3) dégâts tranchants.
- Asservissement (Recharge après un repos court ou long). Le néogi cible une créature qu'il peut voir dans un rayon de 9 mètres autour de lui. La cible doit réussir un jet de sauvegarde de Sagesse DD 14 ou être charmée magiquement par le néogi pendant 1 jour, ou jusqu'à ce que le néogi meurt ou qu'il se trouve à plus de 1,5 kilomètre de la cible. La créature charmée obéit aux ordres du néogi, ne peut pas utiliser de réaction, et le néogi et la cible peuvent communiquer entre eux par télépathie tant que la distance qui les sépare ne dépasse pas 1,5 kilomètre. Chaque fois que la créature charmée subit des dégâts, elle peut retenter son jet de sauvegarde, mettant fin à l'effet qui l'affecte en cas de réussite.</t>
  </si>
  <si>
    <t xml:space="preserve">Néogi, larve</t>
  </si>
  <si>
    <t xml:space="preserve">7 (3d4)</t>
  </si>
  <si>
    <t xml:space="preserve">- Sens vision dans le noir 18 m, Perception passive 10
- Résistance mentale. Le néogi a un avantage aux jets de sauvegarde pour ne pas être charmé ou effrayé, et la magie ne peut pas l'endormir.
- Pattes d'araignée. Le néogi peut escalader des surfaces difficiles et être au plafond la tête en bas sans avoir besoin d'effectuer un jet de caractéristique.</t>
  </si>
  <si>
    <t xml:space="preserve">- Morsure. Attaque au corps à corps avec une arme : +3 au toucher, allonge 1,50 m, une cible. Touché : 3 (1d4 + 1) dégâts perforants + 7 (2d6) dégâts de poison, et la cible doit réussir un jet de sauvegarde de Constitution DD 10 ou être empoisonnée pendant 1 minute. La cible peut retenter son jet de sauvegarde à la fin de chacun de ses tours, mettant fin à l'effet qui l'affecte en cas de réussite.</t>
  </si>
  <si>
    <t xml:space="preserve">Néogi, maître</t>
  </si>
  <si>
    <t xml:space="preserve">71 (11d8+22)</t>
  </si>
  <si>
    <t xml:space="preserve">Arcanes+5
Tromperie+6
Intimidation+6
Perception+3
Persuasion+6
JS SAG+3</t>
  </si>
  <si>
    <t xml:space="preserve">commun, profond, commun des profondeurs, télépathie 9 m</t>
  </si>
  <si>
    <t xml:space="preserve">- Sens vision dans le noir 36 m (traverse les ténèbres magiques), Perception passive 13
- Résistance mentale. Le néogi a un avantage aux jets de sauvegarde pour ne pas être charmé ou effrayé, et la magie ne peut pas l'endormir.
- Pattes d'araignée. Le néogi peut escalader des surfaces difficiles et être au plafond la tête en bas sans avoir besoin d'effectuer un jet de caractéristique.
- Incantation. Le neogi est un lanceur de sorts de niveau 7. Sa caractéristique d'incantation est le Charisme (jet de sauvegarde contre ses sorts DD 14, +6 au toucher pour les attaques avec un sort). Il regagne ses emplacements de sorts dépensés lorsqu'il termine un repos court ou long. Il connaît les sorts d'occultiste suivants :
  - Sorts mineurs (à volonté) : décharge occulte (portée 90 mètres, bonus de +4 à chaque jet de dégâts), assistance, main de mage, illusion mineure, prestidigitation, moquerie cruelle
  - Niveaux 1-4 (2 emplacements de niveau 4) : tentacules de Hadar, contresort, porte dimensionnelle, peur, immobilisation de personne, voracité de Hadar, invisibilité, serviteur invisible</t>
  </si>
  <si>
    <t xml:space="preserve">Néothélide</t>
  </si>
  <si>
    <t xml:space="preserve">325 (21d20+105)</t>
  </si>
  <si>
    <t xml:space="preserve">JS INT+1
JS SAG+8
JS CHA+6</t>
  </si>
  <si>
    <t xml:space="preserve">- Sens vision aveugle 36 m, Perception passive 13
- Perception des créatures. Le néothélide est conscient de la présence des créatures se trouvant dans un rayon de 1,5 kilomètre autour de lui et qui ont une valeur d'Intelligence de 4 ou plus. Il connait la distance et la direction de chacune de ces créatures, ainsi que leur valeur d'Intelligence respective, mais il ne peut rien percevoir d'autre d'elles. Une créature protégée par le sort esprit impénétrable, le sort non-détection ou une magie similaire ne peut pas être perçue par ce trait.
- Incantation innée (psioniques). La caractéristique d'incantation innée du néothélide est la Sagesse (jet de sauvegarde contre ses sorts DD 16). Il peut lancer les sorts suivants de manière innée, sans avoir besoin d'aucune composante :
  - À volonté : lévitation
  - 1/jour chacun : confusion, esprit faible, télékinésie
- Résistance à la magie. Le néothélide a un avantage aux jets de sauvegarde contre les sorts et autres effets magiques.</t>
  </si>
  <si>
    <t xml:space="preserve">- Tentacules. Attaque au corps à corps avec une arme : +13 au toucher, allonge 4,50 m, une cible. Touché : 21 (3d8 + 8) dégâts contondants + 13 (3d8) dégâts psychiques. Si la cible est une créature de taille G ou inférieure, elle doit réussir un jet de sauvegarde de Force DD 18 ou être avalée par le néothélide. Une créature avalée est aveuglée et entravée, elle bénéficie d'un abri total contre les attaques et effets provenant de l'extérieur du néothélide, et elle subit 35 (10d6) dégâts d'acide au début de chacun des tours du néothélide. Si le néothélide subit 30 points de dégâts ou plus en un seul tour de la part d'une créature avalée, il doit réussir un jet de sauvegarde de Constitution DD 18 à la fin de ce tour ou régurgiter toutes les créatures qu'il a avalées, qui se retrouvent alors à terre dans un rayon de 3 mètres autour du néothélide. Si le néothélide meurt, une créature avalée n'est plus entravée et peut s'échapper du cadavre du monstre en utilisant 6 mètres de mouvement ; elle en sort et se retrouve à terre.
- Souffle d'acide (Recharge 5-6). Le néothélide crache des vapeurs d'acide dans un cône de 18 mètres. Chaque créature présente dans la zone doit effectuer un jet de sauvegarde de Dextérité DD 18, subissant 35 (10d6) dégâts d'acide en cas d'échec, ou la moitié de ces dégâts en cas de réussite.</t>
  </si>
  <si>
    <t xml:space="preserve">Nezznar l'araignée noire</t>
  </si>
  <si>
    <t xml:space="preserve">Arcanes+5
Discrétion+3
Perception+4
JS IN+5
JS SAG+4</t>
  </si>
  <si>
    <t xml:space="preserve">commun des profondeurs, elfe</t>
  </si>
  <si>
    <t xml:space="preserve">- Sens vision dans le noir 36 m, Perception passive 14
- Sensibilité à la lumière du soleil. Nezznar est désavantagé lors des jets d’attaque lorsque lui ou sa cible est exposé à la lumière du soleil.
- Ascendance féerique. Nezznar est avantagé lors des jets de sauvegarde contre l’état charmé et la magie ne peut pas l’endormir.
- Incantation innée. Nezznar peut lancer les sorts suivants de manière innée sans aucune composante matérielle :
• À volonté : lumières dansantes
• 1/jour chacun : lueurs féeriques (DD du jet de sauvegarde 12), ténèbres</t>
  </si>
  <si>
    <t xml:space="preserve">- Bâton de l’araignée. Attaque d’arme au corps à corps : +1 pour toucher, allonge 1,50 m, une cible. Touché : 2 (1d6–1) dégâts contondants, plus 3 (1d6) dégâts de poison.
- Incantation. Nezznar est un lanceur de sorts de niveau 4. Sa caractéristique d’incantation est l’Intelligence (DD du jet de sauvegarde contre les sorts 13, +5 pour toucher avec les attaques
de sort). Voici la liste des sorts de magicien préparés par Nezznar :
• Tours de magie (à volonté) : main du mage, poigne électrique,
rayon de givre
• 1er niveau (4 emplacements) : armure du mage, bouclier,
projectile magique
• 2e niveau (3 emplacements) : invisibilité, suggestion</t>
  </si>
  <si>
    <t xml:space="preserve">Nielleux</t>
  </si>
  <si>
    <t xml:space="preserve">- Vulnérabilité aux dégâts de feu
- Immunité contre les états assourdi et aveuglé
- Sens vision aveugle 18 m (aveugle au-delà de cette distance), Perception passive 9
- Faux-semblant. Aussi longtemps que le buisson malade reste immobile, il est impossible de le distinguer d’un arbuste mort et il peut ainsi se cacher sans avoir besoin d’être dissimulé.</t>
  </si>
  <si>
    <t xml:space="preserve">- Griffes. Attaque d’arme au corps à corps : +3 pour toucher, allonge
1,50 m, une cible. Touché : 3 (1d4+1) dégâts perforants.
</t>
  </si>
  <si>
    <t xml:space="preserve">Nilbog</t>
  </si>
  <si>
    <t xml:space="preserve">Humanoïde (goblinoïde)</t>
  </si>
  <si>
    <t xml:space="preserve">- Sens vision dans le noir 18 m, Perception passive 9
- Incantation innée. La caractéristique d'incantation innée du nilbog est le Charisme (jet de sauvegarde contre ses sorts DD 12). Il peut lancer les sorts suivants de manière innée, sans avoir besoin de composantes matérielles :
  - À volonté : main de mage, fou rire de Tasha, moquerie cruelle
  - 1/jour : confusion
- Nilbogisme. Toute créature qui tente d'infliger des dégâts aux nilbog doit d'abord réussir un jet de sauvegarde de Charisme DD 12 ou être charmée jusqu'à la fin du prochain tour de la créature. Une créature charmée de la sorte doit utiliser son action pour effectuer une prière pour le nilbog. Le nilbog ne peut pas récupérer de points de vie, y compris via des soins magiques, excepté grâce à sa réaction Revers de fortune.
- Fuite agile. Le nilbog peut Se cacher ou Se désengager à chacun de ses tours en utilisant une action bonus.</t>
  </si>
  <si>
    <t xml:space="preserve">- Sceptre du sot. Attaque au corps à corps avec une arme : +4 au toucher, allonge 1,50 m, une cible. Touché : 5 (1d6 + 2) dégâts contondants.
- Arc court. Attaque à distance avec une arme : +4 au toucher, portée 24/96 m, une cible. Touché : 5 (1d6 + 2) dégâts perforants.</t>
  </si>
  <si>
    <t xml:space="preserve">- Revers de fortune. Si le nilbog subit des dégâts d'une autre créature, le nilbog réduit les dégâts qu'il subit à 0 et récupère 1d6 points de vie.</t>
  </si>
  <si>
    <t xml:space="preserve">Noble</t>
  </si>
  <si>
    <t xml:space="preserve">Intuition+4
Persuasion+5
Tromperie+5</t>
  </si>
  <si>
    <t xml:space="preserve">- Rapière. Attaque au corps à corps avec une arme : +3 au toucher, allonge 1,50 m, une cible. Touché : 5 (1d8 + 1) dégâts perforants.</t>
  </si>
  <si>
    <t xml:space="preserve">- Parade. Le noble ajoute 2 à sa CA contre une attaque au corps à corps qui le toucherait. Pour ce faire, il doit voir l'attaquant et avoir en main une arme de corps à corps.</t>
  </si>
  <si>
    <t xml:space="preserve">Nothic</t>
  </si>
  <si>
    <t xml:space="preserve">Arcanes+3
Discrétion+5
Intuition+4
Perception+2</t>
  </si>
  <si>
    <t xml:space="preserve">- Sens vision parfaite 36 m, Perception passive 12
- Vue aiguisée. Le nothic est avantagé sur les tests de Sagesse (Perception) basés sur la vue.</t>
  </si>
  <si>
    <t xml:space="preserve">- Attaques multiples. Le nothic peut faire deux attaques de griffes.
Griffes. Attaque d’arme au corps à corps : +4 pour toucher, allonge 1,50 m, une cible. Touché : 6 (1d6+3) dégâts tranchants.
- Étrange intuition. Le nothic vise une créature située dans son champ de vision et dans un rayon de 9 mètres. La cible doit
réussir un test de Charisme (Tromperie) opposé au test de Sagesse (Intuition) du nothic. Si ce dernier l’emporte, il apprend
par magie un fait ou un secret concernant la cible.
- Regard décomposeur. Le nothic vise une créature située dans son champ de vision et dans un rayon de 9 mètres. La cible doit
réussir un jet de sauvegarde de Constitution DD 12 contre cette magie ou subir 10 (3d6) dégâts nécrotiques.</t>
  </si>
  <si>
    <t xml:space="preserve">Nuée de chauves-souris</t>
  </si>
  <si>
    <t xml:space="preserve">Nuée de bêtes</t>
  </si>
  <si>
    <t xml:space="preserve">0 m, vol 9 m</t>
  </si>
  <si>
    <t xml:space="preserve">- Résistances aux dégâts contondant, perforant, tranchant
- Immunités aux états à terre, agrippé, charmé, effrayé, entravé, étourdi, paralysé, pétrifié
- Sens vision aveugle 18 m, Perception passive 11
- Écholocalisation. La nuée ne peut pas utiliser sa vision aveugle si elle est assourdie.
- Ouïe aiguisée. La nuée a un avantage aux jets de Sagesse (Perception) basés sur l'ouïe.
- Nuée. La nuée peut occuper l'espace d'une créature et vice versa, et peut passer par une ouverture suffisamment grande pour une chauve-souris de taille TP. La nuée ne peut pas regagner de points de vie ou gagner des points de vie temporaires.</t>
  </si>
  <si>
    <t xml:space="preserve">- Morsures. Attaque au corps à corps avec une arme : +4 au toucher, allonge 0 m, une créature dans l'espace de la nuée. Touché : 5 (2d4) dégâts perforants, ou 2 (1d4) dégâts perforants si la nuée ne possède plus que la moitié ou moins de ses points de vie.</t>
  </si>
  <si>
    <t xml:space="preserve">Nuée de corbeaux</t>
  </si>
  <si>
    <t xml:space="preserve">24 (7d8-7)</t>
  </si>
  <si>
    <t xml:space="preserve">- Résistances aux dégâts contondant, perforant, tranchant
- Immunités aux états à terre, agrippé, charmé, effrayé, entravé, étourdi, paralysé, pétrifié
- Sens Perception passive 15
- Nuée. La nuée peut occuper l'espace d'une créature et vice versa, et peut passer par une ouverture suffisamment grande pour un corbeau de taille TP. La nuée ne peut pas regagner de points de vie ou gagner des points de vie temporaires.</t>
  </si>
  <si>
    <t xml:space="preserve">- Becs. Attaque au corps à corps avec une arme : +4 au toucher, allonge 1,50 m, une cible dans l'espace de la nuée. Touché : 7 (2d6) dégâts perforants, ou 3 (1d6) dégâts perforants si la nuée ne possède plus que la moitié ou moins de ses points de vie.</t>
  </si>
  <si>
    <t xml:space="preserve">Nuée de piranhas</t>
  </si>
  <si>
    <t xml:space="preserve">28 (8d8-8)</t>
  </si>
  <si>
    <t xml:space="preserve">- Résistances aux dégâts contondant, perforant, tranchant
- Immunités aux états à terre, agrippé, charmé, effrayé, entravé, étourdi, paralysé, pétrifié
- Sens vision dans le noir 18 m, Perception passive 8
- Frénésie sanguinaire. La nuée a un avantage aux jets d'attaque au corps à corps contre une créature qui n'a pas tous ses points de vie.
- Nuée. La nuée peut occuper l'espace d'une créature et vice versa, et peut passer par une ouverture suffisamment grande pour un piranha de taille TP. La nuée ne peut pas regagner de points de vie ou gagner des points de vie temporaires.
- Respiration aquatique. La nuée ne peut respirer que sous l'eau.</t>
  </si>
  <si>
    <t xml:space="preserve">- Morsures. Attaque au corps à corps avec une arme : +5 au toucher, allonge 0 m, une créature dans l'espace de la nuée. Touché : 14 (4d6) dégâts perforants, ou 7 (2d6) dégâts perforants si la nuée ne possède plus que la moitié ou moins de ses points de vie.</t>
  </si>
  <si>
    <t xml:space="preserve">Nuée de rats</t>
  </si>
  <si>
    <t xml:space="preserve">24 (7d8+7)</t>
  </si>
  <si>
    <t xml:space="preserve">- Résistances aux dégâts contondant, perforant, tranchant
- Immunités aux états à terre, agrippé, charmé, effrayé, entravé, étourdi, paralysé, pétrifié
- Sens vision dans le noir 9 m, Perception passive 10
- Odorat aiguisé. La nuée a un avantage aux jets de Sagesse (Perception) basés sur l'odorat.
- Nuée. La nuée peut occuper l'espace d'une créature et vice versa, et peut passer par une ouverture suffisamment grande pour un rat de taille TP. La nuée ne peut pas regagner de points de vie ou gagner des points de vie temporaires.</t>
  </si>
  <si>
    <t xml:space="preserve">Morsures. Attaque au corps à corps avec une arme : +2 au toucher, allonge 0 m, une cible dans l'espace de la nuée. Touché : 7 (2d6) dégâts perforants, ou 3 (1d6) si la nuée ne possède plus que la moitié ou moins de ses points de vie.</t>
  </si>
  <si>
    <t xml:space="preserve">Nuée de rats-crâne</t>
  </si>
  <si>
    <t xml:space="preserve">télépathie 9 m</t>
  </si>
  <si>
    <t xml:space="preserve">- Résistances aux dégâts contondant, perforant, tranchant
- Immunités aux états charmé, effrayé, agrippé, paralysé, pétrifié, à terre, entravé, étourdi
- Sens vision dans le noir 9 m, Perception passive 10
- Éclairage. En tant qu'action bonus, la nuée peut émettre une lumière faible de ses cerveaux dans un rayon de 1,50 mètre, augmenter l'illumination à une lumière vive dans un rayon de 1,50 à 6 mètres (et une lumière faible sur un nombre de mètres égal au rayon choisi), ou éteindre la lumière.
- Incantation innée (psioniques). La caractéristique d'incantation innée de la nuée est l'Intelligence (jet de sauvegarde contre ses sorts DD 13). Tant qu'il lui reste plus de la moitié de ses points de vie, la nuée peut lancer les sorts suivants de manière innée, sans avoir besoin d'aucune composante :
  - À volonté : injonction, compréhension des langues, détection des pensées
  - 1/jour chacun : confusion, domination de monstre
- Nuée. La nuée peut occuper l'espace d'une créature et vice versa, et peut passer par une ouverture suffisamment grande pour un rat de taille TP. La nuée ne peut pas regagner de points de vie ou gagner des points de vie temporaires.
- Voile télépathique. La nuée est immunisée contre tout effet qui pourrait ressentir ses émotions ou lire ses pensées, ainsi que contre tous les sorts de divination.</t>
  </si>
  <si>
    <t xml:space="preserve">- Morsure. Attaque au corps à corps avec une arme : +5 au toucher, allonge O m, une cible dans l'espace de l'essaim. Touché : 14 (4d6) dégâts perforants, ou 7 (2d6) dégâts perforants si l'essaim n'a plus que la moitié de ses points de vie ou moins.</t>
  </si>
  <si>
    <t xml:space="preserve">Nuée de serpents venimeux</t>
  </si>
  <si>
    <t xml:space="preserve">- Résistances aux dégâts contondant, perforant, tranchant
- Immunités aux états à terre, agrippé, charmé, effrayé, entravé, étourdi, paralysé, pétrifié
- Sens vision aveugle 3 m, Perception passive 10
- Nuée. La nuée peut occuper l'espace d'une créature et vice versa, et peut passer par une ouverture suffisamment grande pour un serpent de taille TP. La nuée ne peut pas regagner de points de vie ou gagner des points de vie temporaires.</t>
  </si>
  <si>
    <t xml:space="preserve">- Morsures. Attaque au corps à corps avec une arme : +6 au toucher, allonge 0 m, une créature dans l'espace de la nuée. Touché : 7 (2d6) dégâts perforants, ou 3 (1d6) dégâts perforants si la nuée ne possède plus que la moitié ou moins de ses points de vie. La cible doit réaliser un jet de sauvegarde de Constitution DD 10, subissant 14 (4d6) dégâts de poison en cas d'échec, ou la moitié de ces dégâts en cas de réussite.</t>
  </si>
  <si>
    <t xml:space="preserve">Nuée de vers putrides</t>
  </si>
  <si>
    <t xml:space="preserve">- Résistances aux dégâts perforant, tranchant
- Immunités aux états à terre, agrippé, charmé, effrayé, entravé, paralysé, pétrifié
- Sens vision aveugle 3 m, Perception passive 6
- Nuée. La nuée peut occuper l'espace d'une créature et vice versa, et peut passer par une ouverture suffisamment grande pour un ver de taille TP. La nuée ne peut pas regagner de points de vie ou gagner des points de vie temporaires.</t>
  </si>
  <si>
    <t xml:space="preserve">- Morsures. Attaque au corps à corps avec une arme : +0 au toucher, allonge 0 m, une créature dans l'espace de la nuée. Touché : la cible est infestée par 1d4 vers putrides. Au début de chacun des tours de la cible, celle-ci subit 1d6 dégâts perforants par ver qui l'infecte. Appliquer du feu sur la plaie avant la fin du tour suivant inflige 1 dégât de feu à la cible et tue ces vers putrides. Passé ce délai, ces vers putrides sont trop enfoncés sous la peau pour être brûlés. Si une cible infestée par des vers putrides termine son tour avec 0 point de vie, les vers putrides s'enfoncent dans son cœur et la tuent. Tout effet qui guérit les maladies tue tous les vers putrides qui infestent la cible.</t>
  </si>
  <si>
    <t xml:space="preserve">Nuée d'insectes</t>
  </si>
  <si>
    <t xml:space="preserve">- Résistances aux dégâts contondant, perforant, tranchant
- Immunités aux états à terre, agrippé, charmé, effrayé, entravé, étourdi, paralysé, pétrifié
- Sens vision aveugle 3 m, Perception passive 8
- Nuée. La nuée peut occuper l'espace d'une créature et vice versa, et peut passer par une ouverture suffisamment grande pour un insecte de taille TP. La nuée ne peut pas regagner de points de vie ou gagner des points de vie temporaires.</t>
  </si>
  <si>
    <t xml:space="preserve">- Morsures. Attaque au corps à corps avec une arme : +3 au toucher, allonge 0 m, une cible dans l'espace de la nuée. Touché : 10 (4d4) dégâts perforants, ou 5 (2d4) dégâts perforants si la nuée ne possède plus que la moitié ou moins de ses points de vie.</t>
  </si>
  <si>
    <t xml:space="preserve">Nycaloth</t>
  </si>
  <si>
    <t xml:space="preserve">Discrétion+4
Intimidation+6
Perception+4</t>
  </si>
  <si>
    <t xml:space="preserve">- Résistances aux dégâts froid, feu, foudre ; contondant, perforant et tranchant d'attaques non magiques
- Immunités aux dégâts acide, poison
- Immunités aux états empoisonné
- Sens vision aveugle 18 m, vision dans le noir 18 m, Perception passive 14
- Incantation innée. La caractéristique d'incantation innée du nycaloth est le Charisme. Le nycaloth peut lancer les sorts suivants de manière innée, sans avoir besoin de composantes matérielles :
  - À volonté : ténèbres, détection de la magie, dissipation de la magie, invisibilité (personnel uniquement), image miroir
- Résistance à la magie. Le nycaloth a un avantage aux jets de sauvegarde contre les sorts et autres effets magiques.
- Armes magiques. Les attaques avec une arme du nycaloth sont magiques.</t>
  </si>
  <si>
    <t xml:space="preserve">- Attaques multiples. Le nycaloth effectue deux attaques au corps à corps, ou effectue une attaque au corps à corps et une téléportation avant ou après avoir attaqué.
- Griffes. Attaque au corps à corps avec une arme : +9 au toucher, allonge 1,50 m, une cible. Touché : 12 (2d6 + 5) dégâts tranchants. Si la cible est une créature, elle doit réussir un jet de sauvegarde de Constitution DD 16 ou subir 5 (2d4) dégâts tranchants au début de chacun de ses tours à cause de cette blessure fiélone. Chaque fois que le nycaloth touche avec cette attaque la cible blessée, les dégâts qu'elle subit à chaque tour augmentent de 5 (2d4). Toute créature peut utiliser son action pour soigner la blessure en réussissant un jet de Sagesse (Médecine) DD 13. La blessure se referme également si la cible reçoit des soins magiques.
- Hache à deux mains. Attaque au corps à corps avec une arme : +9 au toucher, allonge 1,50 m, une cible. Touché : 18 (2d12 + 5) dégâts tranchants.
- Téléportation. Le nycaloth se téléporte magiquement, avec tout l'équipement qu'il porte ou transporte, vers un espace inoccupé qu'il peut voir et situé dans un rayon de 18 mètres autour de lui.</t>
  </si>
  <si>
    <t xml:space="preserve">Occultiste d'archifée</t>
  </si>
  <si>
    <t xml:space="preserve">49 (11d8)</t>
  </si>
  <si>
    <t xml:space="preserve">Arcanes+2
Tromperie+6
Nature+2
Persuasion+6
JS SAG+3
JS CHA+6</t>
  </si>
  <si>
    <t xml:space="preserve">deux langues au choix (généralement sylvestre)</t>
  </si>
  <si>
    <t xml:space="preserve">- Immunités aux états charmé
- Sens Perception passive 11
- Incantation innée. La caractéristique d'incantation innée de l'occultiste est le Charisme (jet de sauvegarde contre ses sorts DD 15). Il peut lancer les sorts suivants de manière innée, sans avoir besoin de composantes matérielles :
  - À volonté : déguisement, armure de mage (personnel uniquement), image silencieuse, communication avec les animaux
  - 1/jour : invocation de fée
- Incantation. L'occultiste est un lanceur de sorts de niveau 11. Sa caractéristique d'incantation est le Charisme (jet de sauvegarde contre ses sorts DD 14, +6 au toucher pour les attaques avec un sort). Il récupère les emplacements de sorts dépensés lorsqu'il termine un repos court ou long. Il connait les sorts d'occultiste suivants :
  - Sorts mineurs (à volonté) : décharge occulte, amis, lumières dansantes, main de mage, illusion mineure, prestidigitation, moquerie cruelle
  - Niveau 1-5 (3 emplacements de niveau 5) : clignotement, charme-personne, porte dimensionnelle, domination de bête, lueurs féeriques, peur, immobilisation de monstre, foulée brumeuse, force fantasmagorique, sommeil, apparence trompeuse</t>
  </si>
  <si>
    <t xml:space="preserve">- Dague. Attaque au corps à corps ou à distance avec une arme : +3 au toucher, allonge 1,50 m ou portée 6/18 m, une cible. Touché : 4 (1d4 + 2) dégâts perforants.</t>
  </si>
  <si>
    <t xml:space="preserve">- Échappatoire brumeuse (Recharge après un repos court ou long). Lorsqu'il subit des dégâts, l'occultiste devient invisible et se téléporte à 18 mètres maximum dans un espace inoccupé qu'il peut voir. Il reste invisible jusqu'au début de son prochain tour ou jusqu'à ce qu'il attaque, effectue un jet de dégâts ou lance un sort.</t>
  </si>
  <si>
    <t xml:space="preserve">Occultiste d'Archifée</t>
  </si>
  <si>
    <t xml:space="preserve">Arcanes +2
Tromperie +6
Nature +2
Persuasion +6
JS SAG+3
JS CHA+6</t>
  </si>
  <si>
    <t xml:space="preserve">- Immunités aux états charmé
- Sens Perception passive 11</t>
  </si>
  <si>
    <t xml:space="preserve">- Attaques multiples. L'occultiste effectue deux attaques de rapière ou utilise deux fois Mot déconcertant.
  - Rapière. Attaque au corps à corps avec une arme : +5 au toucher, allonge 1,50 mètre, une cible. Touché : 7 (1d8 + 3) dégâts perforants plus 7 (2d6) dégâts de force.
  - Mot déconcertant. L'occultiste prononce un mot magique déconcertant, ciblant une créature qu'il peut voir dans un rayon de 18 mètres autour de lui. La cible doit réussir un jet de sauvegarde de Sagesse DD 14 ou subir 9 (2d8) dégâts psychiques et avoir un désavantage aux jets d'attaque jusqu'à la fin du prochain tour du démoniste.
- Incantation. L'occultiste lance l'un des sorts suivants, en utilisant le Charisme comme caractéristique d'incantation (sauvegarde contre les sorts DD 14) :
  - À volonté : lumières dansantes, déguisement, armure de mage (personnel uniquement), main de mage, illusion mineure, prestidigitation, communication avec les animaux
  - 1/jour chacun : charme-personne, porte dimensionnelle, immobilisation de monstre</t>
  </si>
  <si>
    <t xml:space="preserve">- Échappatoire brumeuse (Recharge après un repos court ou long). En réponse à des dégâts subis, l'occultiste devient invisible et se téléporte, avec tout l'équipement qu'il porte, jusqu'à 18 mètres dans un espace inoccupé qu'il peut voir. Il reste invisible jusqu'au début de son prochain tour ou jusqu'à ce qu'il attaque, fasse un jet de dégâts ou lance un sort.</t>
  </si>
  <si>
    <t xml:space="preserve">Occultiste de fiélon</t>
  </si>
  <si>
    <t xml:space="preserve">Arcanes+4
Persuasion+7
Religion+4
Tromperie+7
JS SAG+4
JS CHA+7</t>
  </si>
  <si>
    <t xml:space="preserve">deux langues au choix (généralement abyssal ou infernal)</t>
  </si>
  <si>
    <t xml:space="preserve">- Résistances aux dégâts tranchant d'attaques non magiques qui ne sont pas en argent
- Sens vision dans le noir 18 m, Perception passive 11
- Incantation innée. La caractéristique d'incantation innée de l'occultiste est le Charisme (jet de sauvegarde contre ses sorts DD 15). Il peut lancer les sorts suivants de manière innée, sans avoir besoin de composantes matérielles :
  - À volonté : modification d'apparence, simulacre de vie, lévitation (personnel uniquement), armure de mage (personnel uniquement), image silencieuse
  - 1/jour chacun : esprit faible, doigt de mort, changement de plan
- Incantation. L'occultiste est un lanceur de sorts de niveau 17. Sa caractéristique d'incantation est le Charisme (jet de sauvegarde contre ses sorts DD 15, +7 au toucher pour les attaques avec un sort) et il regagne ses emplacements de sorts dépensés lorsqu'il finit un repos court ou long. Il connait les sorts d'occultiste suivants :
  - Sorts mineurs (à volonté) : décharge occulte, trait de feu, amis, main de mage, illusion mineure, prestidigitation, poigne électrique
  - Niveaux 1 à 5 (4 emplacements de niveau 5) : bannissement, mains brûlantes, colonne de flamme, représailles infernales, cercle magique, rayon ardent, scrutation, nuage nauséabond, suggestion, mur de feu
- Chance du ténébreux (Recharge après un repos court ou long). Lorsque l'occultiste fait un jet de caractéristique ou de sauvegarde, il peut ajouter un d10 au jet. Il peut le faire après avoir lancé le dé, mais avant que les effets du jet ne soient annoncés.</t>
  </si>
  <si>
    <t xml:space="preserve">- Masse d'armes. Attaque au corps à corps avec une arme : +3 au toucher, allonge 1,50 m, une cible. Touché : 3 (1d6) dégâts contondants + 10 (3d6) dégâts de feu.</t>
  </si>
  <si>
    <t xml:space="preserve">Occultiste de Fiélon</t>
  </si>
  <si>
    <t xml:space="preserve">Arcanes +4
Persuasion +7
Religion +4
Tromperie +7
JS SAG+4
JS CHA+7</t>
  </si>
  <si>
    <t xml:space="preserve">- Résistances aux dégâts feu
- Sens vision dans le noir 18 m, Perception passive 11
- Chance du ténébreux (Recharge après un repos court ou long). Lorsque l'occultiste effectue un jet de caractéristique ou de sauvegarde, il peut ajouter un d10 au jet. Il peut le faire après que le jet soit effectué mais avant que l'un des effets du jet ne se produise.</t>
  </si>
  <si>
    <t xml:space="preserve">- Attaques multiples. L'occultiste effectue trois attaques de cimeterre.
  - Cimeterre. Attaque au corps à corps avec une arme : +6 au toucher, allonge 1,50 mètre, une cible. Touché : 6 (1d6 + 3) dégâts contondants plus 14 (4d6) dégâts de feu.
- Feu de l'enfer. Une flamme verte explose dans une sphère de 3 mètres de rayon centrée sur un point à 36 mètres ou moins de l'occultiste. Chaque créature dans cette zone doit effectuer un jet de sauvegarde de Dextérité DD 15, subissant 16 (3d10) dégâts de feu et 11 (2d10) dégâts nécrotiques en cas d'échec, ou la moitié de ces dégâts en cas de réussite.
- Incantation. L'occultiste lance l'un des sorts suivants, en utilisant le Charisme comme caratéristique d'incantation (sauvegarde contre les sorts DD 15) :
  - À volonté : modification d'apparence, armure de mage (personnel uniquement), main de mage, illusion mineure, prestidigitation
  - 1/jour chacun : bannissement, changement de plan, suggestion</t>
  </si>
  <si>
    <t xml:space="preserve">- Représailles fiélonnes (3/jour). En réponse à des dégâts subis causés par une créature visible dans un rayon de 18 mètres autour de lui, l'occultiste force cette créature à effectuer un jet de sauvegarde de Constitution DD 15, subissant 22 (4d10) dégâts nécrotiques en cas d'échec, ou la moitié de ces dégâts en cas de réussite.</t>
  </si>
  <si>
    <t xml:space="preserve">Occultiste de grand ancien</t>
  </si>
  <si>
    <t xml:space="preserve">Arcanes+4
Histoire+4
JS SAG+4
JS CHA+7</t>
  </si>
  <si>
    <t xml:space="preserve">deux langues au choix, télépathie 9 m</t>
  </si>
  <si>
    <t xml:space="preserve">- Résistances aux dégâts psychique
- Sens vision dans le noir 18 m, Perception passive 11
- Langues deux langues au choix, télépathie 9 m
- Incantation innée. La caractéristique d'incantation innée de l'occultiste est le Charisme (jet de sauvegarde contre ses sorts DD 15). Il peut lancer les sorts suivants de manière innée, sans avoir besoin de composantes matérielles :
  - À volonté : détection de la magie, saut, lévitation, armure de mage (personnel uniquement), communication avec les morts
  - 1/jour chacun : vision suprême, portail magique
- Incantation. L'occultiste est un lanceur de sorts de niveau 14. Sa caractéristique d'incantation est le Charisme (jet de sauvegarde contre ses sorts DD 15, +7 au toucher pour les attaques avec un sort). Il récupère les emplacements de sorts dépensés lorsqu'il termine un repos court ou long. Il connait les sorts d'occultiste suivants :
  - Sorts mineurs (à volonté) : contact glacial, décharge occulte, assistance, main de mage, illusion mineure, prestidigitation, poigne électrique
  - Niveau 1-5 (3 emplacements de niveau 5) : armure d'Agathys, tentacules de Hadar, couronne du dément, clairvoyance, contact avec un autre plan, détection des pensées, porte dimensionnelle, murmures dissonants, domination de bête, télékinésie, toucher du vampire
- Aura chuchotante. Au début de chacun des tours de l'occultiste, chaque créature choisie par l'occultiste et se trouvant dans un rayon de 1,50 mètre autour de lui doit réussir un jet de sauvegarde de Sagesse DD 15 ou subir 10 (3d6) dégâts psychiques, à condition que l'occultiste ne soit pas incapable d'agir.</t>
  </si>
  <si>
    <t xml:space="preserve">Occultiste de Grand Ancien</t>
  </si>
  <si>
    <t xml:space="preserve">Arcanes +4
Histoire +4
JS SAG+4
JS CON+7</t>
  </si>
  <si>
    <t xml:space="preserve">- Résistances aux dégâts psychique
- Sens vision dans le noir 18 m, Perception passive 11
- Aura chuchotante. Au début de chacun des tours de l'occultiste, chaque créature de son choix dans un rayon de 3 mètres autour de lui doit réussir un jet de sauvegarde de Sagesse DD 15 ou subir 10 (3d6) dégâts psychiques, à condition que l'occultiste ne soit pas incapable d'agir.</t>
  </si>
  <si>
    <t xml:space="preserve">- Attaques multiples. L'occultiste effectue deux attaques de dague.
  - Dague. Attaque au corps à corps ou à distance avec une arme : +6 au toucher, allonge 1,50 m ou portée 6/18 m, une cible. Touché : 5 (1d4 + 3) dégâts perforants plus 10 (3d6) dégâts psychiques.
- Vide hurlant. L'occultiste ouvre une faille extraplanaire momentanée à 18 mètres ou moins de lui. La faille est un cube de 6 mètres d'arète rempli de cris. Chaque créature dans cette zone doit effectuer un jet de sauvegarde de Sagesse DD 15. En cas d'échec, une créature subit 9 (2d8) dégâts psychiques et est effrayée par l'occultiste jusqu'au début du prochain tour de celui-ci. En cas de réussite, une créature ne subit que la moitié de ces dégâts et n'est pas effrayée.
- Incantation. L'occultiste lance l'un des sorts suivants, en utilisant le Charisme comme caractéristique d'incantation (sauvegarde contre les sorts DD 15) :
  - À volonté : détection de la magie, assistance, lévitation, armure de mage (personnel uniquement), main de mage, illusion mineure, prestidigitation, communication avec les morts
  - 1/jour chacun : portail magique, détection des pensées, vision suprême</t>
  </si>
  <si>
    <t xml:space="preserve">Ogre</t>
  </si>
  <si>
    <t xml:space="preserve">- Sens vision dans le noir 18 m, Perception passive 8</t>
  </si>
  <si>
    <t xml:space="preserve">- Javeline. Attaque d’arme au corps à corps ou à distance : +6 pour toucher, allonge 1,50 m ou portée 9/36 m, une cible. Touché : 11 (2d6+4) dégâts perforants.
Massue. Attaque d’arme au corps à corps : +6 pour toucher, allonge 1,50 m, une cible. Touché : 13 (2d8+4) dégâts contondants.</t>
  </si>
  <si>
    <t xml:space="preserve">Ombre</t>
  </si>
  <si>
    <t xml:space="preserve">Discrétion +4 (ou +6 dans une lumière faible ou dans les ténèbres)</t>
  </si>
  <si>
    <t xml:space="preserve">- Vulnérabilités aux dégâts radiant
- Résistances aux dégâts acide, froid, feu, foudre, tonnerre ; contondant, perforant et tranchant d'attaques non magiques
- Immunités aux dégâts nécrotique, poison
- Immunités aux états épuisement, effrayé, agrippé, paralysé, pétrifié, empoisonné, à terre, entravé
- Sens vision dans le noir 18 m, Perception passive 10
- Informe. L'ombre peut se déplacer au travers d'espaces larges de 2,50 cm sans être considérée comme passant dans un espace étroit.
- Discrétion dans les ombres. Si elle se trouve dans des ténèbres ou est exposée à une lumière faible, l'ombre peut effectuer l'action Se cacher en utilisant une action bonus.
- Impuissance face à la lumière du soleil. Si elle est exposée à la lumière du soleil, l'ombre a un désavantage aux jets d'attaque, de caractéristique et de sauvegarde.</t>
  </si>
  <si>
    <t xml:space="preserve">- Absorption de Force. Attaque au corps à corps avec une arme : +4 au toucher, allonge 1,50 m, une créature. Touché : 9 (2d6 + 2) dégâts nécrotiques, et la valeur de Force de la cible est réduite de 1d4. La cible meurt si cet effet réduit sa Force à 0. Sinon, la réduction de Force dure jusqu'à ce que la cible termine un repos court ou long. Si un humanoïde non mauvais meurt de cette attaque, une nouvelle ombre surgit de son corps 1d4 heures plus tard.</t>
  </si>
  <si>
    <t xml:space="preserve">Oni</t>
  </si>
  <si>
    <t xml:space="preserve">9m , vol 9 m</t>
  </si>
  <si>
    <t xml:space="preserve">Arcanes+5
Perception+4
Tromperie+8
JS DEX+3
JS CON+6
JS SAG+4
JS CHA+5</t>
  </si>
  <si>
    <t xml:space="preserve">- Sens vision dans le noir 18 m, Perception passive +4
- Incantation innée. La caractéristique d'incantation innée de l'oni est le Charisme (jet de sauvegarde contre ses sorts DD 13). L'oni peut lancer les sorts suivants de manière innée, sans avoir besoin de composantes matérielles :
  - À volonté : ténèbres, invisibilité
  - 1/jour chacun : charme-personne, cône de froid, forme gazeuse, sommeil
- Armes magiques. Les attaques avec une arme de l'oni sont magiques.
- Régénération. L'oni récupère 10 points de vie au début de son tour s'il possède au moins 1 point de vie.</t>
  </si>
  <si>
    <t xml:space="preserve">- Attaques multiples. L'oni effectue deux attaques, avec ses griffes ou avec sa coutille.
- Griffes (forme d'oni uniquement). Attaque au corps à corps avec une arme : +7 au toucher, allonge 1,50 m, une cible. Touché : 8 (1d8 + 4) dégâts tranchants.
- Coutille. Attaque au corps à corps avec une arme : +7 au toucher, allonge 3 m, une cible. Touché : 15 (2d10 + 4) dégâts tranchants, ou 9 (1d10 + 4) dégâts tranchants sous forme de taille M ou P.
- Changement de forme. L'oni se métamorphose magiquement en un humanoïde de taille P ou M, en un géant de taille G, ou bien retrouve sa forme véritable. Mise à part sa taille, ses statistiques restent les mêmes quelle que soit sa forme. La seule partie de son équipement qui est également transformée est sa coutille, qui se rétrécit avec lui et peut donc lui servir sous forme humanoïde. Si l'oni meurt, il retrouve sa forme véritable, et sa coutille retrouve sa taille normale.</t>
  </si>
  <si>
    <t xml:space="preserve">Orc</t>
  </si>
  <si>
    <t xml:space="preserve">Humanoïde (orc)</t>
  </si>
  <si>
    <t xml:space="preserve">15 (2D8+6)</t>
  </si>
  <si>
    <t xml:space="preserve">commun, orc</t>
  </si>
  <si>
    <t xml:space="preserve">- Sens vision dans le noir 18 m, Perception passive 10
- Agressif. Par une action bonus, l’orc peut se déplacer d’une distance maximale égale à sa vitesse vers une créature hostile dans son champ de vision.</t>
  </si>
  <si>
    <t xml:space="preserve">- Hache à deux mains. Attaque d’arme au corps à corps : +5 pour toucher, allonge 1,50 m, une cible. Touché : 9 (1d12+3) dégâts tranchants.
Javeline. Attaque d’arme au corps à corps ou à distance : +5 pour toucher, allonge 1,50 m ou portée 9/36 m, une cible. Touché : 6 (1d6+3) dégâts perforants.</t>
  </si>
  <si>
    <t xml:space="preserve">Orc, chef de guerre</t>
  </si>
  <si>
    <t xml:space="preserve">Intimidation+5
JS FOR+6
JS CON+6
JS SAG+2</t>
  </si>
  <si>
    <t xml:space="preserve">- Sens vision dans le noir 18 m, Perception passive 10
- Agressif. Par une action bonus, l'orc peut se déplacer de sa vitesse vers une créature hostile qu'il peut voir.
- Furie de Gruumsh. L'orc inflige 4 (1d8) dégâts supplémentaires lorsqu'il touche une cible lors d'une attaque avec une arme (ce bonus est inclus ci-dessous).</t>
  </si>
  <si>
    <t xml:space="preserve">- Attaques multiples. L'orc effectue deux attaques avec la hache à deux mains ou la lance.
- Hache à deux mains. Attaque au corps à corps avec une arme : +6 au toucher, allonge 1,50 m, une cible. Touché : 15 (1d12 + 4 plus 1d8) dégâts tranchants.
- Lance. Attaque au corps à corps ou à distance avec une arme : +6 au toucher, allonge 1,50 m ou portée 6/18 m une cible. Touché : 12 (1d6 + 4 plus 1d8) dégâts perforants, ou 13 (2d8 + 4) dégâts perforants si utilisée à deux mains pour effectuer une attaque au corps à corps.
- Cri de guerre (1/jour). Chaque créature que le chef de guerre choisie et qui se trouve à 9 mètres ou moins de lui, qui peut l'entendre, et qui n'est pas déjà affectée par un Cri de guerre, gagne un avantage aux jets d'attaque jusqu'au début du prochain tour du chef de guerre. Le chef de guerre peut ensuite effectuer une attaque en utilisant son action bonus.</t>
  </si>
  <si>
    <t xml:space="preserve">Orc, croc rouge de Shargaas</t>
  </si>
  <si>
    <t xml:space="preserve">Intimidation+1
Perception+2
Discrétion+5</t>
  </si>
  <si>
    <t xml:space="preserve">- Sens vision dans le noir 18 m, Perception passive 12
- Ruse. À chacun de ses tours, l'orc peut utiliser une action bonus pour effectuer l'action Foncer, Se désengager ou Se cacher.
- Main de Shargaas. L'orc inflige 2 dés supplémentaires de dégâts lorsqu'il touche une cible lors d'une attaque avec une arme (inclus dans ses attaques ci-dessous).
- Vision de Shargaas. Les ténèbres magiques ne bloquent pas la vision dans le noir des orcs.
- Tueur. Au premier round d'un combat, l'orc a un avantage aux jets d'attaque contre toute créature qui n'a pas encore joué son tour. Si l'orc touche durant ce round une créature qui a été surprise, le coup est automatiquement un coup critique.</t>
  </si>
  <si>
    <t xml:space="preserve">- Cimeterre. Attaque au corps à corps avec une arme : +5 au toucher, allonge 1,50 m, une cible. Touché : 13 (3d6 + 3) dégâts tranchants.
- Fléchette. Attaque à distance avec une arme : +5 au toucher, portée 6/18 m, une cible. Touché : 10 (3d4 + 3) dégâts perforants.
- Voile de Shargaas (Recharge après un repos court ou long). L'orc lance ténèbres sans aucune composantes. La Sagesse est sa caractéristique d'incantation.</t>
  </si>
  <si>
    <t xml:space="preserve">Orc, griffe de Luthic</t>
  </si>
  <si>
    <t xml:space="preserve">Intimidation+2
Médecine+4
Survie+4</t>
  </si>
  <si>
    <t xml:space="preserve">- Sens vision dans le noir 18 m, Perception passive 12
- Agressif. Par une action bonus, l'orc peut se déplacer de sa vitesse vers une créature hostile qu'il peut voir.
- Incantation. L'orc est un lanceur de sorts de niveau 5. Sa caractéristique d'incantation est la Sagesse (jet de sauvegarde contre ses sorts DD 12, +4 au toucher pour les attaques avec un sort). L'orc a préparé les sorts de clerc suivants :
  - Sorts mineurs (à volonté) : assistance, réparation, résistance, thaumaturgie
  - Niveau 1 (4 emplacements) : fléau, soins, éclair traçant
  - Niveau 2 (3 emplacements) : augure, lien de protection
  - Niveau 3 (2 emplacements) : malédiction, création de nourriture et d'eau</t>
  </si>
  <si>
    <t xml:space="preserve">- Attaques multiples. L'orc effectue deux attaques avec ses griffes, ou quatre attaques avec ses griffes s'il lui reste moins de la moitié de ses points de vie.
- Griffes. Attaque au corps à corps avec une arme : +4 au toucher, allonge 1,50 m, une cible. Touché : 6 (1d8 + 2) dégâts tranchants.</t>
  </si>
  <si>
    <t xml:space="preserve">Orc, lame d'Ilneval</t>
  </si>
  <si>
    <t xml:space="preserve">Intimidation+4
Intuition+3
Perception+3
JS SAG+3</t>
  </si>
  <si>
    <t xml:space="preserve">- Sens vision dans le noir 18 m, Perception passive 13
- Agressif. Par une action bonus, l'orc peut se déplacer de sa vitesse vers une créature hostile qu'il peut voir.
- Châtieur d'ennemis d'Ilneval. L'orc inflige un dé supplémentaire de dégâts s'il touche lors d'une attaque à l'épée longue (inclus dans l'attaque ci-dessous).</t>
  </si>
  <si>
    <t xml:space="preserve">- Attaques multiples. L'orc effectue deux attaques au corps à corps avec son épée longue ou deux attaques à distance avec ses javelines. Si l'Injonction d'Ilneval est disponible, l'orc peut l'utiliser après ces attaques.
- Épée longue. Attaque au corps à corps avec une arme : +5 au toucher, allonge 1,50 m, une cible. Touché : 12 (2d8 + 3) dégâts tranchants, ou 14 (2d10 + 3) dégâts tranchants si utilisée à deux mains.
- Javeline. Attaque au corps à corps ou à distance avec une arme : +5 au toucher, allonge 1,50 m ou portée 9/36 m, une cible. Touché : 6 (1d6 + 3) dégâts perforants.
- Injonction d'Ilneval (Recharge 4-6). Jusqu'à trois orcs alliés à 36 mètres ou moins de cet orc et qui peuvent l'entendre peuvent utiliser leurs réactions pour effectuer chacun une attaque avec une arme.</t>
  </si>
  <si>
    <t xml:space="preserve">Orc, main de Yurtrus</t>
  </si>
  <si>
    <t xml:space="preserve">30 (4d8+12)</t>
  </si>
  <si>
    <t xml:space="preserve">Arcanes+2
Intimidation+1
Médecine+4
Religion+2</t>
  </si>
  <si>
    <t xml:space="preserve">commun, orc (compris)</t>
  </si>
  <si>
    <t xml:space="preserve">- Sens vision dans le noir 18 m, Perception passive 12
- Agressif. Par une action bonus, l'orc peut se déplacer de sa vitesse vers une créature hostile qu'il peut voir.
- Incantation. L'orc est un lanceur de sorts de niveau 4. Sa caractéristique d'incantation est la Sagesse (jet de sauvegarde contre ses sorts DD 12, +4 au toucher pour les attaques avec un sort). Il n'a pas besoin de composantes verbales pour lancer ses sorts. L'orc a préparé les sorts de clerc suivants :
  - Sorts mineurs (à volonté) : assistance, réparation, résistance, thaumaturgie
  - Niveau 1 (4 emplacements) : fléau, détection de la magie, blessure, protection contre le mal et le bien
  - Niveau 2 (3 emplacements) : cécité/surdité, silence</t>
  </si>
  <si>
    <t xml:space="preserve">- Toucher de la Main blanche. Attaque au corps à corps avec une arme : +3 au toucher, allonge 1,50 m, une cible. Touché : 9 (2d8) dégâts nécrotiques.</t>
  </si>
  <si>
    <t xml:space="preserve">Orc, oeil de Gruumsh</t>
  </si>
  <si>
    <t xml:space="preserve">Intimidation+3
Religion+1</t>
  </si>
  <si>
    <t xml:space="preserve">- Sens vision dans le noir 18 m, Perception passive 11
- Agressif. Par une action bonus, l'orc peut se déplacer de sa vitesse vers une créature hostile qu'il peut voir.
- Furie de Gruumsh. L'orc inflige 4 (1d8) dégâts supplémentaires lorsqu'il touche une cible lors d'une attaque avec une arme (inclus dans l'attaque ci-dessous).
- Incantation. L'orc est un lanceur de sorts de niveau 3. Sa caractéristique d'incantation est la Sagesse (jet de sauvegarde contre ses sorts DD 11, +3 au toucher pour les attaques avec un sort). L'orc a préparé les sorts de clerc suivants :
  - Sorts mineurs (à volonté) : assistance, résistance, thaumaturgie
  - Niveau 1 (4 emplacements) : bénédiction, injonction
  - Niveau 2 (2 emplacements) : augure, arme spirituelle (lance)</t>
  </si>
  <si>
    <t xml:space="preserve">- Lance. Attaque au corps à corps ou à distance avec une arme : +5 au toucher, allonge 1,50 m ou portée 6/18 m, une cible. Touché : 11 (1d6 + 3 + 1d8) dégâts perforants, ou 12 (2d8 + 3) dégâts perforants si utilisée à deux mains pour faire une attaque au corps à corps.</t>
  </si>
  <si>
    <t xml:space="preserve">Orcus</t>
  </si>
  <si>
    <t xml:space="preserve">17 (20 avec la baguette d'Orcus)</t>
  </si>
  <si>
    <t xml:space="preserve">405 (30d12+210)</t>
  </si>
  <si>
    <t xml:space="preserve">Arcanes +12
Perception +12
JS DEX+10
JS CON+15
JS SAG+13</t>
  </si>
  <si>
    <t xml:space="preserve">- Résistances aux dégâts froid, feu, foudre
- Immunités aux dégâts nécrotique, poison ; contondant, perforant et tranchant non magiques
- Immunités aux états charmé, épuisement, effrayé, empoisonné
- Baguette d'Orcus. La baguette a 7 charges, et chacune de ses propriétés qui requiert un jet de sauvegarde a un DD de 18. Tant qu'il la tient, Orcus peut utiliser une action pour lancer le sort animation des morts, flétrissement ou communication avec les morts. Par ailleurs, il peut dépenser 1 charge ou plus de la baguette pour lancer l'un des sorts suivants : cercle de mort (1 charge), doigt de mort (1 charge) ou mot de pouvoir mortel (2 charges). La baguette récupère 1d4 + 3 charges chaque jour à l'aube. Tant qu'il tient la baguette, Orcus peut utiliser une action pour invoquer des créatures mortes-vivantes dont le total de points de vie cumulés ne dépasse pas 500. Ces morts-vivants surgissent par magie du sol, ou de toute autre forme, dans des espaces inoccupés situés à 90 mètres d'Orcus maximum et obéissent à ses ordres jusqu'à ce qu'ils soient détruits ou qu'il les renvoie par une action. Une fois que cette propriété de la baguette a été utilisée, la propriété ne peut être réactivée avant l'aube suivante.
- Incantation innée. La caractéristique d'incantation d'Orcus est le Charisme (jet de sauvegarde contre ses sorts DD 23, +15 au toucher pour les attaques avec un sort). Il peut lancer les sorts suivants de manière innée, sans avoir besoin de composantes matérielles :
  - À volonté : contact glacial (niveau 17), détection de la magie
  - 3/jour chacun : création de mort-vivant, dissipation de la magie
  - 1/jour : arrêt du temps
- Résistance légendaire (3/jour). Si Orcus échoue à un jet de sauvegarde, il peut décider de transformer cet échec en réussite.
- Résistance à la magie. Orcus a un avantage aux jets de sauvegarde contre les sorts et autres effets magiques.
- Armes magiques. Les attaques avec une arme d'Orcus sont magiques.
- Maître des morts-vivants. Lorsque Orcus lance les sorts animation des morts ou création de mort-vivant, il choisit le niveau auquel le sort est lancé, et les créatures ainsi créées restent sous son contrôle indéfiniment. De plus, il peut lancer création de mort-vivant même lorsque ce n'est pas la nuit.</t>
  </si>
  <si>
    <t xml:space="preserve">- Attaques multiples. Orcus effectue deux attaques avec la baguette d'Orcus.
  - Baguette d'Orcus. Attaque au corps à corps avec une arme : +19 au toucher, allonge 3 m, une cible. Touché : 21 (3d8 + 8) dégâts contondants + 13 (2d12) dégâts nécrotiques.
  - Queue. Attaque au corps à corps avec une arme : +17 au toucher, allonge 3 m, une cible. Touché : 21 (3d8 + 8) dégâts perforants + 18 (4d8) dégâts de poison.</t>
  </si>
  <si>
    <t xml:space="preserve">Orcus peut effectuer 3 actions légendaires, en choisissant parmi les options suivantes. Une seule action légendaire peut être utilisée à la fois, et seulement à la fin du tour d'une autre créature. Orcus récupère les actions légendaires dépensées au début de son tour.
- Queue. Orcus effectue une attaque avec sa queue.
- Un avant-goût de la non-mort. Orcus lance le sort contact glacial (niveau 17).
- Mort rampante (coûte 2 actions). Orcus choisit un point au sol qu'il peut voir et situé à 30 mètres ou moins de lui. Un cylindre d'énergie nécrotique tourbillonnante, haut de 18 mètres et d'un rayon de 3 mètres, apparaît en ce point et y reste jusqu'à la fin du prochain tour d'Orcus. Toute créature dans la zone est vulnérable aux dégâts nécrotiques.</t>
  </si>
  <si>
    <t xml:space="preserve">Orog</t>
  </si>
  <si>
    <t xml:space="preserve">42 (5d8+20)</t>
  </si>
  <si>
    <t xml:space="preserve">Intimidation+5
Survie+2</t>
  </si>
  <si>
    <t xml:space="preserve">- Sens vision dans le noir 18 m, Perception passive 10
- Agressif. Par une action bonus, l'orog peut se déplacer de sa vitesse vers une créature hostile qu'il peut voir.</t>
  </si>
  <si>
    <t xml:space="preserve">- Attaques multiples. L'orog effectue deux attaques avec la hache à deux mains.
- Hache à deux mains. Attaque au corps à corps avec une arme : +6 au toucher, allonge 1,50 m, une cible. Touché : 10 (1d12 + 4) dégâts tranchants.
- Javeline. Attaque au corps à corps ou à distance avec une arme : +6 au toucher, allonge 1,50 m ou portée 9/36 m, une cible. Touché : 7 (1d6 + 4) dégâts perforants.</t>
  </si>
  <si>
    <t xml:space="preserve">Otyugh</t>
  </si>
  <si>
    <t xml:space="preserve">JS CON+7</t>
  </si>
  <si>
    <t xml:space="preserve">otyugh</t>
  </si>
  <si>
    <t xml:space="preserve">- Sens vision dans le noir 36 m, Perception passive 11
- Télépathie limitée. L'otyugh peut transmettre par magie des messages et des images simples à toute créature capable de comprendre un langage dans un rayon de 36 mètres autour de lui. Cette forme de télépathie ne permet pas à la créature qui reçoit le message de répondre télépathiquement.</t>
  </si>
  <si>
    <t xml:space="preserve">- Attaques multiples. L'otyugh effectue trois attaques : une de morsure et deux avec ses tentacules.
- Morsure. Attaque au corps à corps avec une arme : +6 au toucher, allonge 1,50 m, une cible. Touché : 12 (2d8 + 3) dégâts perforants. Si la cible est une créature, elle doit réussir un jet de sauvegarde de Constitution DD 15 contre la maladie ou être empoisonnée jusqu'à ce que la maladie soit soignée. Chaque fois que 24 heures viennent de s'écouler, la cible doit relancer ce jet de sauvegarde, réduisant son maximum de points de vie de 5 (1d10) en cas d'échec. Cette maladie est soignée en cas de réussite. La cible meurt si la maladie réduit son maximum de points de vie à 0. Cette réduction du maximum de points de vie de la cible est effective jusqu'à ce que la maladie soit soignée.
- Tentacule. Attaque au corps à corps avec une arme : +6 au toucher, allonge 3 m, une cible. Touché : 7 (1d8 + 3) dégâts contondants + 4 (1d8) dégâts perforants. Si la cible est de taille M ou inférieure, elle est agrippée (évasion DD 13) et entravée jusqu'à ce qu'elle ne soit plus agrippée. L'otyugh a deux tentacules, chacune d'elle peut agripper une cible.
- Frappe tentaculaire. L'otyugh frappe les créatures agrippées entre elles ou sur une surface solide. Chaque créature doit réussir un jet de sauvegarde de Constitution DD 14, ou subir 10 (2d6 + 3) dégâts contondants et être étourdie jusqu'à la fin du prochain tour de l'otyugh. En cas de jet de sauvegarde réussi, les cibles ne subissent que la moitié des dégâts contondants et ne sont pas étourdies.</t>
  </si>
  <si>
    <t xml:space="preserve">Ours brun</t>
  </si>
  <si>
    <t xml:space="preserve">34 (4d10+12)</t>
  </si>
  <si>
    <t xml:space="preserve">- Sens Perception passive 13
- Odorat aiguisé. L'ours a un avantage aux jets de Sagesse (Perception) basés sur l'odorat.</t>
  </si>
  <si>
    <t xml:space="preserve">- Attaques multiples. L'ours réalise deux attaques : une avec ses griffes et une de morsure.
- Griffes. Attaque au corps à corps avec une arme : +6 au toucher, allonge 1,50 m, une cible. Touché : 11 (2d6 + 4) dégâts tranchants.
- Morsure. Attaque au corps à corps avec une arme : +6 au toucher, allonge 1,50 m, une cible. Touché : 8 (1d8 + 4) dégâts perforants.</t>
  </si>
  <si>
    <t xml:space="preserve">Ours noir</t>
  </si>
  <si>
    <t xml:space="preserve">- Attaques multiples. L'ours réalise deux attaques : une avec ses griffes et une de morsure.
- Griffes. Attaque au corps à corps avec une arme : +4 au toucher, allonge 1,50 m, une cible. Touché : 7 (2d4 + 2) dégâts tranchants.
- Morsure. Attaque au corps à corps avec une arme : +4 au toucher, allonge 1,50 m, une cible. Touché : 5 (1d6 + 2) dégâts perforants.</t>
  </si>
  <si>
    <t xml:space="preserve">Ours polaire</t>
  </si>
  <si>
    <t xml:space="preserve">42 (5d10+15)</t>
  </si>
  <si>
    <t xml:space="preserve">12 m, nage 9 m</t>
  </si>
  <si>
    <t xml:space="preserve">- Attaques multiples. L'ours réalise deux attaques : une avec ses griffes et une de morsure.
- Griffes. Attaque au corps à corps avec une arme : +7 au toucher, allonge 1,50 m, une cible. Touché : 12 (2d6 + 5) dégâts tranchants.
- Morsure. Attaque au corps à corps avec une arme : +7 au toucher, allonge 1,50 m, une cible. Touché : 9 (1d8 + 5) dégâts perforants.</t>
  </si>
  <si>
    <t xml:space="preserve">Ours-garou</t>
  </si>
  <si>
    <t xml:space="preserve">10 (humanoÏde) 11 (ours ou hybride)</t>
  </si>
  <si>
    <t xml:space="preserve">9 m (12 m, escalade 9m sous forme hybride et sous forme d'ours)</t>
  </si>
  <si>
    <t xml:space="preserve">commun (ne peut parler sous forme d'ours)</t>
  </si>
  <si>
    <t xml:space="preserve">- Sens Perception passive 17
- Métamorphe. L'ours-garou peut utiliser son action pour se métamorphoser en un hybride ours-humanoïde de taille G ou en un ours de taille G, ou pour reprendre sa forme véritable (la forme humanoïde). Mises à part sa CA et sa taille, ses statistiques sont les mêmes quelle que soit sa forme. L'équipement qu'il porte ou transporte ne se transforme pas. Il retrouve sa forme véritable s'il meurt.
- Odorat aiguisé. L'ours-garou a un avantage aux jets de Sagesse (Perception) basés sur l'odorat.</t>
  </si>
  <si>
    <t xml:space="preserve">- Attaques multiples. Sous forme d'ours, l'ours garou effectue deux attaques avec ses griffes. Sous forme humanoïde, il effectue deux attaques avec la hache à deux mains. Sous forme hybride, il peut attaquer comme un ours ou comme un humanoïde.
- Morsure (forme d'ours ou hybride uniquement). Attaque au corps à corps avec une arme : +7 au toucher, allonge 1,50 m, une cible. Touché : 15 (2d10 + 4) dégâts perforants. Si la cible est un humanoïde, elle doit réussir un jet de sauvegarde de Constitution DD 14 ou être atteinte de la lycanthropie d'ours-garou.
- Griffes (forme d'ours ou hybride uniquement). Attaque au corps à corps avec une arme : +7 au toucher, allonge 1,50 m, une cible. Touché : 13 (2d8 + 4) dégâts tranchants.
- Hache à deux mains (forme humanoïde ou hybride uniquement). Attaque au corps à corps avec une arme : +7 au toucher, allonge 1,50 m, une cible. Touché : 10 (1d12 + 4) dégâts tranchants.</t>
  </si>
  <si>
    <t xml:space="preserve">Ours-Hibou</t>
  </si>
  <si>
    <t xml:space="preserve">- Sens vision dans le noir 18 m, Perception passive 13
- Odorat et vue aiguisés. Le hibours est avantagé lors des tests de Sagesse (Perception) basés sur l’odorat ou la vue.</t>
  </si>
  <si>
    <t xml:space="preserve">- Attaques multiples. Le hibours effectue deux attaques : une avec son bec et une avec ses griffes.
- Bec. Attaque d’arme au corps à corps : +7 pour toucher, allonge 1,50 m, une cible. Touché : 10 (1d10+5) dégâts perforants.
- Griffes. Attaque d’arme au corps à corps : +7 pour toucher, allonge 1,50 m, une cible. Touché : 14 (2d8+5) dégâts tranchants.</t>
  </si>
  <si>
    <t xml:space="preserve">Oxydeur</t>
  </si>
  <si>
    <t xml:space="preserve">- Sens vision dans le noir 18 m, Perception passive 11
- Odorat ferreux. Grâce à son odorat, l'oxydeur peut localiser avec précision les métaux ferreux se situant dans un rayon de 9 mètres autour de lui.
- Oxydation. Toute arme non magique constituée de métal qui touche l'oxydeur se met à rouiller. Après avoir infligé les dégâts, l'arme subit une pénalité permanente et cumulative de -1 aux jets de dégâts. Si la pénalité arrive à -5, l'arme est détruite. Les munitions non magiques constituées de métal qui touchent l'oxydeur sont détruites après avoir infligé leurs dégâts.</t>
  </si>
  <si>
    <t xml:space="preserve">- Morsure. Attaque au corps à corps avec une arme : +3 au toucher, allonge 1,50 m, une cible. Touché : 5 (1d8 + 1) dégâts perforants.
- Antennes. L'oxydeur corrode un objet ferreux non magique qu'il peut voir se trouvant à 1,50 de lui. Si l'objet n'est pas porté ou transporté, le contact de ses antennes détruit 30 cm cube de celui-ci. Si l'objet est porté ou transporté par une créature, celle-ci peut effectuer un jet de sauvegarde de Dextérité DD 11 pour éviter le contact de l'oxydeur. Si l'objet touché est une armure ou un bouclier de métal porté ou transporté, il subit une pénalité permanente et cumulative de -1 à la CA qu'il offre. Une armure réduite à une CA de 10 ou un bouclier qui offre un bonus de +0 est détruit. Si l'objet touché est une arme métallique tenue en main, elle rouille comme décrit dans le trait Oxydation.</t>
  </si>
  <si>
    <t xml:space="preserve">Panthère</t>
  </si>
  <si>
    <t xml:space="preserve">- Sens Perception passive 14
- Odorat aiguisé. La panthère a un avantage aux jets de Sagesse (Perception) basés sur l'odorat.
- Bond agressif. Si la panthère se déplace d'au moins 6 mètres en ligne droite vers une créature, puis la touche lors d'une attaque avec ses griffes dans le même tour, la cible doit réussir un jet de sauvegarde de Force DD 12 pour ne pas tomber à terre. Si la cible est à terre, la panthère peut effectuer une attaque de morsure contre elle en tant qu'action bonus.</t>
  </si>
  <si>
    <t xml:space="preserve">- Griffes. Attaque au corps à corps avec une arme : +4 au toucher, allonge 1,50 m, une cible. Touché : 4 (1d4 + 2) dégâts tranchants.
- Morsure. Attaque au corps à corps avec une arme : +4 au toucher, allonge 1,50 m, une cible. Touché : 5 (1d6 + 2) dégâts perforants.</t>
  </si>
  <si>
    <t xml:space="preserve">Pégase</t>
  </si>
  <si>
    <t xml:space="preserve">Perception+6
JS DEX+4
JS SAG+4
JS CHA+3</t>
  </si>
  <si>
    <t xml:space="preserve">céleste, commun, elfique, sylvestre (compris)</t>
  </si>
  <si>
    <t xml:space="preserve">- Sens Perception passive 16</t>
  </si>
  <si>
    <t xml:space="preserve">Péline, L'espionne</t>
  </si>
  <si>
    <t xml:space="preserve">Discré +4Escamo +4Investiga +5Percep +6Perspi +4Persua +5Superc +5Pp passive 16</t>
  </si>
  <si>
    <t xml:space="preserve">Aux Choix</t>
  </si>
  <si>
    <t xml:space="preserve">POSSESSIONS
Anneau de protection, fiole de 5 doses de poison (venin de vipère), 150 po.
22</t>
  </si>
  <si>
    <t xml:space="preserve">CAPACITÉS
Action fourbe. Bonus : se désengager ou se cacher.
Attaque sournoise (1/tour). +2d6 dégâts si avantage ou allié conscient à 1,50 m, sans désavantage.
Poison (venin). 1 dose/repos court sur épée. JS CON DD 11 : échec 1d6 poison + désavantage prochaine action, réussite ½ dégâts.
ACTIONS
Attaques multiples. 2 attaques de corps à corps.
Épée courte. Mêlée +4, 1d6+2 perforants.
Arbalète de poing. Distance +4, 9/36 m, 1d6+2 perforants.</t>
  </si>
  <si>
    <t xml:space="preserve">Pentadrone</t>
  </si>
  <si>
    <t xml:space="preserve">- Sens vision véritable 36 m, Perception passive 14
- Esprit axiomatique. Le pentadrone ne peut être contraint à agir d'une manière contraire à sa nature ou aux instructions qu'il a reçues.
- Désintégration. Si le pentadrone meurt, son corps se désintègre et tombe en poussière, ne derrière lui que ses armes et tout ce qu'il portait.</t>
  </si>
  <si>
    <t xml:space="preserve">- Attaques multiples. Le pentadrone effectue cinq attaques d'appendice.
- Appendice. Attaque au corps à corps avec une arme : +4 au toucher, allonge 1,50 m, une cible. Touché : 5 (1d6 + 2) dégâts contondants.
- Gaz paralysant (Recharge 5-6). Le pentadrone exhale du gaz dans un cône de 9 mètres. Chaque créature présente dans cette zone doit réussir un jet de sauvegarde de Constitution DD 11 ou être paralysée pendant 1 minute. Une créature peut retenter son jet de sauvegarde à la fin de chacun de ses tours, mettant fin à l'effet qui l'affecte en cas de réussite.</t>
  </si>
  <si>
    <t xml:space="preserve">Perceur</t>
  </si>
  <si>
    <t xml:space="preserve">22 (3d8+9)</t>
  </si>
  <si>
    <t xml:space="preserve">1,50 m, escalade 1,50 m</t>
  </si>
  <si>
    <t xml:space="preserve">- Sens vision aveugle 9 m, vision dans le noir 18 m, Perception passive 8
- Apparence trompeuse. Tant que le perceur reste immobile au plafond, il ne peut être distingué d'une stalactite normale.
- Pattes d'araignée. Le perceur peut escalader des surfaces difficiles et être au plafond la tête en bas sans avoir besoin d'effectuer un jet de caractéristique.</t>
  </si>
  <si>
    <t xml:space="preserve">- Plongeon. Attaque au corps à corps avec une arme : +3 au toucher, une créature située directement au-dessous du perceur. Touché : 3 (1d6) dégâts perforants tous les 3 mètres de chute, jusqu'à 21 (6d6). Échec : le perceur subit la moitié des dégâts normaux qu'une créature devrait subir pour une distance de chute équivalente.</t>
  </si>
  <si>
    <t xml:space="preserve">Péryton</t>
  </si>
  <si>
    <t xml:space="preserve">commun, elfique (compris)</t>
  </si>
  <si>
    <t xml:space="preserve">- Résistances aux dégâts contondant, perforant et tranchant d'attaques non magiques
- Sens Perception passive 15
- Attaque en piquée. Si le péryton est en train de voler et pique droit sur une cible située à au moins 9 mètres et la touche avec une attaque au corps à corps avec une arme, alors l'attaque inflige 9 (2d8) dégâts supplémentaires à la cible.
- Repli aérien. Le péryton ne provoque pas d'attaques d'opportunité lorsqu'il quitte l'allonge d'un ennemi en volant.
- Odorat et vue aiguisés. Le péryton a un avantage aux jets de Sagesse (Perception) basés sur la vue ou l'odorat.</t>
  </si>
  <si>
    <t xml:space="preserve">- Attaques multiples. Le péryton effectue une attaque avec sa corne et une attaque avec ses serres.
- Corne. Attaque au corps à corps avec une arme : +5 au toucher, allonge 1,50 m, une cible. Touché : 7 (1d8 +3) dégâts perforants.
- Serres. Attaque au corps à corps avec une arme : +5 au toucher, allonge 1,50 m, une cible. Touché : 8 (2d4 + 3) dégâts perforants.</t>
  </si>
  <si>
    <t xml:space="preserve">Piégeur</t>
  </si>
  <si>
    <t xml:space="preserve">Monstuosité</t>
  </si>
  <si>
    <t xml:space="preserve">- Apparence trompeuse. Tant que le piégeur est attaché au plafond, au sol ou sur un mur, il ne peut pratiquement pas être distingué d'une section ordinaire de plafond, de sol ou de mur. Une créature qui peut la voir et réussit un jet d'Intelligence (Investigation) ou d'Intelligence (Nature) DD 20 peut discerner sa présence.
- Pattes d'araignée. Le piégeur peut escalader des surfaces difficiles et être au plafond la tête en bas sans avoir besoin d'effectuer un jet de caractéristique.</t>
  </si>
  <si>
    <t xml:space="preserve">- Étouffement. Une créature de taille G ou plus petite à 1,50 mètre ou moins du piégeur doit réussir un jet de sauvegarde de Dextérité DD 14 ou être agrippée (évasion DD 14). Tant qu'elle est agrippée, la cible subit 17 (4d6 + 3) dégâts contondants + 3 (1d6) dégâts d'acide au début de chacun de ses tours. Agrippée ainsi, la cible est entravée, aveuglée et risque d'étouffer. Le piègeur ne peut étouffer qu'une seule créature à la fois.</t>
  </si>
  <si>
    <t xml:space="preserve">Pieuvre</t>
  </si>
  <si>
    <t xml:space="preserve">1,50 m, nage 9 m</t>
  </si>
  <si>
    <t xml:space="preserve">- Sens vision dans le noir 9 m, Perception passive 12
- Apnée. La pieuvre peut retenir son souffle durant 30 minutes hors de l'eau.
- Camouflage dans l'eau. La pieuvre a un avantage aux jets de Dextérité (Discrétion) réalisés lorsqu'elle se trouve sous l'eau.
- Respiration aquatique. La pieuvre ne peut respirer que sous l'eau..</t>
  </si>
  <si>
    <t xml:space="preserve">- Tentacules. Attaque au corps à corps avec une arme : +4 au toucher, allonge 1,50 m, une cible. Touché : 1 dégât contondant et la cible est agrippée (évasion DD 10). Tant qu'elle reste agrippée, la pieuvre ne peut utiliser ses tentacules contre une autre cible.
- Nuage d'encre (Recharges après un repos court ou long). Un nuage d'encre de 1,50 mètre de rayon s'étend tout autour de la pieuvre si elle est sous l'eau. La visibilité dans la zone est nulle pendant 1 minute, mais un courant important peut disperser l'encre. Après avoir relâché l'encre, la pieuvre peut utiliser l'action Foncer en tant qu'action bonus.</t>
  </si>
  <si>
    <t xml:space="preserve">Pieuvre géante</t>
  </si>
  <si>
    <t xml:space="preserve">52 (8d10+8)</t>
  </si>
  <si>
    <t xml:space="preserve">3 m, nage 18 m</t>
  </si>
  <si>
    <t xml:space="preserve">- Sens vision dans le noir 18 m, Perception passive 14
- Apnée. La pieuvre peut retenir son souffle durant 1 heure hors de l'eau.
- Camouflage dans l'eau. La pieuvre a un avantage aux jets de Dextérité (Discrétion) réalisés lorsqu'elle se trouve sous l'eau.
- Respiration aquatique. La pieuvre ne peut respirer que sous l'eau.</t>
  </si>
  <si>
    <t xml:space="preserve">- Tentacules. Attaque au corps à corps avec une arme : +5 au toucher, allonge 4,50 m, une cible. Touché : 10 (2d6 + 3) dégâts contondants, et la cible est agrippée (DD 16 pour s'échapper). Tant qu'elle est agrippée, la créature est entravée, et la pieuvre ne peut pas utiliser ses tentacules contre une autre cible.
- Nuage d'encre (Recharge après un repos court ou long). Un nuage d'encre de 6 mètres de rayon s'étend autours de la pieuvre si elle se trouve sous l'eau. La visibilité dans la zone est nulle pendant 1 minute, bien qu'un fort courant puisse disperser l'encre. Après avoir projeté son nuage d'encre, la pieuvre peut réaliser l'action Foncer en tant qu'action bonus.</t>
  </si>
  <si>
    <t xml:space="preserve">Piranha</t>
  </si>
  <si>
    <t xml:space="preserve">- Sens vision dans le noir 18 m, Perception passive 8
- Frénésie sanguinaire. Le piranha a un avantage aux jets d'attaque au corps à corps contre une créature qui n'a pas tous ses points de vie.
- Respiration aquatique. Le piranha ne peut respirer que sous l'eau..</t>
  </si>
  <si>
    <t xml:space="preserve">Pixie</t>
  </si>
  <si>
    <t xml:space="preserve">- Sens Perception passive 14
- Résistance à la magie. La pixie a un avantage aux jets de sauvegarde contre les sorts et autres effets magiques.
- Incantation innée. La caractéristique d'incantation innée de la pixie est le Charisme (jet de sauvegarde contre ses sorts DD 12). Elle peut lancer les sorts suivants de manière innée, mais n'a besoin que de poussière de pixie comme composante matérielle :
  - À volonté : druidisme
  - 1/jour chacun : confusion, lumières dansantes, détection du mal et du bien, détection des pensées, dissipation de la magie, enchevêtrement, vol, force fantasmagorique, métamorphose, sommeil</t>
  </si>
  <si>
    <t xml:space="preserve">- Invisibilité supérieure. La pixie devient invisible par magie jusqu'à ce que sa concentration s'arrête (comme si elle se concentrait sur un sort). Tout l'équipement que la pixie porte ou transporte est également invisible.</t>
  </si>
  <si>
    <t xml:space="preserve">Planétar</t>
  </si>
  <si>
    <t xml:space="preserve">200 (16d10+112)</t>
  </si>
  <si>
    <t xml:space="preserve">12 m, vol 36 m</t>
  </si>
  <si>
    <t xml:space="preserve">Perception+11
JS CON+12
JS SAG+11
JS CHA+12</t>
  </si>
  <si>
    <t xml:space="preserve">- Résistances aux dégâts radiant ; contondant, perforant et tranchant d'attaques non magiques
- Immunités aux états charmé, effrayé, épuisement
- Sens vision véritable 36 m, Perception passive 21
- Armes angéliques. Les attaques avec une arme du planétar sont magiques. Lorsque le planétar touche avec n'importe quelle arme, l'arme inflige 5d8 dégâts radiants supplémentaires (inclus dans l'attaque ci-dessous).
- Conscience divine. Le planétar sait quand il entend un mensonge.
- Incantation innée. La caractéristique d'incantation innée du planétar est le Charisme (jet de sauvegarde contre ses sorts DD 20). Le planétar peut lancer les sorts suivants de manière innée, sans avoir besoin de composantes matérielles :
  - À volonté : détection du mal et du bien, invisibilité (personnel uniquement)
  - 3/jour chacun : barrière de lames, colonne de flamme, dissipation du mal et du bien, rappel à la vie
  - 1/jour chacun : communion, contrôle du climat, fléau d'insectes
- Résistance à la magie. Le planétar a un avantage aux jets de sauvegarde contre les sorts et autres effets magiques.</t>
  </si>
  <si>
    <t xml:space="preserve">- Attaques multiples. Le planétar effectue deux attaques au corps à corps.
- Épée à deux mains. Attaque au corps à corps avec une arme : +12 au toucher, allonge 1,50 m, une cible. Touché : 21 (4d6 + 7) dégâts tranchants + 22 (5d8) dégâts radiants.
- Contact guérisseur (4/jour). Le planétar touche une autre créature. La cible récupère par magie 30 (6d8 + 3) points de vie et est guérie de toutes malédictions, maladies, poisons, aveuglement ou assourdissement.</t>
  </si>
  <si>
    <t xml:space="preserve">Plésiosaure</t>
  </si>
  <si>
    <t xml:space="preserve">- Sens Perception passive 13
- Apnée. Le plésiosaure peut retenir son souffle durant 1 heure.</t>
  </si>
  <si>
    <t xml:space="preserve">- Morsure. Attaque au corps à corps avec une arme : +6 au toucher, allonge 3 m, une cible. Touché : 14 (3d6 + 4) dégâts perforants.</t>
  </si>
  <si>
    <t xml:space="preserve">Poney</t>
  </si>
  <si>
    <t xml:space="preserve">- Sabots. Attaque au corps à corps avec une arme : +4 au toucher, allonge 1,50 m, une cible. Touché : 7 (2d4 + 2) dégâts contondants.</t>
  </si>
  <si>
    <t xml:space="preserve">Pouding noir</t>
  </si>
  <si>
    <t xml:space="preserve">- Immunités aux dégâts acide, froid, foudre, tranchant
- Immunités aux états aveuglé, charmé, assourdi, épuisement, effrayé, à terre
- Sens vision aveugle 18 m (aveugle au-delà de ce rayon), Perception passive 8
- Informe. Le pouding peut se déplacer au travers d'espaces larges de 2,50 cm sans être considéré comme passant dans un espace étroit.
- Forme corrosive. Une créature qui touche le pouding ou le frappe au corps à corps, et se trouvant à 1,50 mètre ou moins de lui, subit 4 (1d8) dégâts d'acide. Toute arme non magique faite de métal ou de bois qui touche le pouding se corrode. Après avoir infligé ses dégâts, l'arme subit une diminution permanente et cumulable de -1 aux dégâts. Si sa diminution atteint -5, l'arme est détruite. Une munition non magique faite de métal ou de bois et qui touche le pouding est détruite après avoir infligé ses dégâts. Le pouding peut absorber jusqu'à 5 cm d'épaisseur de bois ou de métal non magique en 1 tour.
- Pattes d'araignée. Le pouding peut escalader des surfaces difficiles et être au plafond la tête en bas sans avoir besoin d'effectuer un jet de caractéristique.</t>
  </si>
  <si>
    <t xml:space="preserve">- Pseudopode. Attaque au corps à corps avec une arme : +5 au toucher, allonge 1,50 m, une cible. Touché : 6 (1d6 + 3) dégâts contondants + 18 (4d8) dégâts d'acide. De plus, une armure non magique portée par la cible est en partie dissoute et subit une diminution permanente et cumulable de -1 à la CA qu'elle confère. L'armure est détruite si la diminution de CA fait tomber la CA de l'armure à 10.</t>
  </si>
  <si>
    <t xml:space="preserve">- Division. Lorsqu'un pouding de taille M ou supérieure subit des dégâts de foudre ou des dégâts tranchants, il se divise en 2 nouveaux poudings s'il lui reste au moins 10 points de vie. Chaque nouveau pouding possède la moitié des points de vie de l'original, arrondis à l'entier inférieur. Les nouveaux poudings font une taille de moins que le pouding original.</t>
  </si>
  <si>
    <t xml:space="preserve">Prestelet</t>
  </si>
  <si>
    <t xml:space="preserve">36 m</t>
  </si>
  <si>
    <t xml:space="preserve">Acrobaties+8
Escamotage+8
Discrétion+8
Perception+5</t>
  </si>
  <si>
    <t xml:space="preserve">- Sens vision dans le noir 18 m, Perception passive 15
- Mouvement flou. Les jets d'attaque contre le prestelet ont un désavantage à moins que le prestelet ne soit incapable d'agir ou entravé.
- Esquive totale. Si le prestelet est soumis à un effet qui lui permet d'effectuer un jet de sauvegarde pour ne subir que la moitié des dégâts, il ne subit aucun dégât s'il réussit son jet de sauvegarde, et seulement la moitié des dégâts s'il échoue.</t>
  </si>
  <si>
    <t xml:space="preserve">- Attaques multiples. Le prestelet effectue trois attaques de dague.
- Dague. Attaque au corps à corps ou à distance avec une arme : +8 au toucher, allonge 1,50 m ou portée 6/18 m, une cible. Touché : 8 (1d4 + 6) dégâts perforants.</t>
  </si>
  <si>
    <t xml:space="preserve">Prêtre</t>
  </si>
  <si>
    <t xml:space="preserve">Médecine+7
Persuasion+3
Religion+5</t>
  </si>
  <si>
    <t xml:space="preserve">- Sens Perception passive 13
- Distinction divine. Par une action bonus, un prêtre peut dépenser un emplacement de sort pour que ses attaques au corps à corps avec une arme fassent magiquement 10 (3d6) dégâts radiants supplémentaires à une cible qu'il touche. Cet avantage se poursuit jusqu'à la fin du tour. Si le prêtre dépense un emplacement de sort de niveau 2 ou plus, les dégâts supplémentaires augmentent de 1d6 pour chaque niveau au-dessus du 1er.
- Incantation. Le prêtre est un lanceur de sorts de niveau 5. Sa caractéristique d'incantation est la Sagesse (jet de sauvegarde contre ses sorts DD 13, +5 au toucher pour les attaques avec un sort). Le prêtre a préparé les sorts de clerc suivants :
  - Sorts mineurs (à volonté) : flamme sacrée, lumière, thaumaturgie
  - Niveau 1 (4 emplacements) : éclair traçant, sanctuaire, soins
  - Niveau 2 (3 emplacements) : arme spirituelle, restauration partielle
  - Niveau 3 (2 emplacements) : dissipation de la magie, esprits gardiens</t>
  </si>
  <si>
    <t xml:space="preserve">- Masse d'armes. Attaque au corps à corps avec une arme : +2 au toucher, allonge 1,50 m, une cible. Touché : 3 (1d6) dégâts contondants.</t>
  </si>
  <si>
    <t xml:space="preserve">Prêtre de guerre</t>
  </si>
  <si>
    <t xml:space="preserve">Humanoïde (clerc)</t>
  </si>
  <si>
    <t xml:space="preserve">117 (18d8+36)</t>
  </si>
  <si>
    <t xml:space="preserve">Intimidation +5
Religion +4
CON+6
SAG+7</t>
  </si>
  <si>
    <t xml:space="preserve">- Attaques multiples. Le prêtre de guerre effectue deux attaques de maillet et utilise Feu sacré.
  - Maillet. Attaque au corps à corps avec une arme : +7 au toucher, allonge 1,50 m, une cible. Touché : 10 (2d6 +3) dégâts contondants plus 10 (3d6) dégâts radiants.
  - Feu sacré. Le prêtre de guerre cible une créature qu'il peut voir à 18 mètres ou moins de lui. La cible doit effectuer un jet de sauvegarde de Sagesse DD 15. En cas d'échec, la cible subit 12 (2d8 + 3) dégâts radiants et est aveuglée jusqu'au début du prochain tour du prêtre de guerre. En cas de sauvegarde réussie, la cible ne subit que la moitié de ces dégâts et n'est pas aveuglée.
- Incantation. Le prêtre de guerre lance l'un des sorts suivants, utilisant la Sagesse comme caractéristique d'incantation (sauvegarde contre ses sorts DD 15) :
  - À volonté : lumière, stabilisation, thaumaturgie
  - 1/jour chacun : bannissement, injonction, dissipation de la magie, colonne de flamme, gardien de la foi, immobilisation de personne, restauration partielle, retour à la vie
ACTIONS BONUS
- Lumière de guérison (Recharge 4-6). Le prêtre de guerre ou une créature de son choix dans un rayon de 18 mètres récupère 12 (2d8 + 3) points de vie.</t>
  </si>
  <si>
    <t xml:space="preserve">Intimidation+5
Religon+4
JS CON+6
JS SAG+7</t>
  </si>
  <si>
    <t xml:space="preserve">- Sens Perception passive 13
- Incantation. Le prêtre de guerre est un lanceur de sorts de niveau 9. Sa caractéristique d'incantation est la Sagesse (jet de sauvegarde contre ses sorts DD 15, +7 au toucher pour les attaques avec un sort). Il a préparé les sorts de clerc suivants :
  - Sorts mineurs (à volonté) : lumière, réparation, flamme sacrée, stabilisation
  - Niveau 1 (4 emplacements) : faveur divine, éclair traçant, mot de guérison, bouclier de la foi
  - Niveau 2 (3 emplacements) : restauration partielle, arme magique, prière de guérison, silence, arme spirituelle
  - Niveau 3 (3 emplacements) : lueur d'espoir, aura du croisé, dissipation de la magie, retour à la vie, esprits gardiens, marche sur l'eau
  - Niveau 4 (3 emplacements) : bannissement, liberté de mouvement, gardien de la foi, peau de pierre
  - Niveau 5 (1 emplacement) : colonne de flamme, soins de groupe, immobilisation de monstre</t>
  </si>
  <si>
    <t xml:space="preserve">- Attaques multiples. Le prêtre effectue deux attaques au corps à corps.
- Maillet. Attaque au corps à corps avec une arme : +7 au toucher, allonge 1,50 m, une cible. Touché : 10 (2d6 +3) dégâts contondants.</t>
  </si>
  <si>
    <t xml:space="preserve">- Frappe guidée (Recharge après un repos court ou long). Le prêtre accorde un bonus de +10 à un jet d'attaque fait par lui-même ou par une autre créature à 9 mètres ou moins de lui. Le prêtre peut faire ce choix après que le jet soit lancé mais avant de savoir s'il touche ou rate.</t>
  </si>
  <si>
    <t xml:space="preserve">Prêtre du Kraken</t>
  </si>
  <si>
    <t xml:space="preserve">- Résistances aux dégâts contondant, perforant et tranchant d'attaques non magiques
- Sens Perception passive 15
- Amphibien. Le prêtre peut respirer aussi bien dans l'air que sous l'eau.
- Incantation innée. La caractéristique d'incantation innée du prêtre est la Sagesse (jet de sauvegarde contre ses sorts DD 13, +5 au toucher pour les attaques avec un sort). Il peut lancer les sorts suivants de manière innée, sans avoir besoin de composantes matérielles :
  - À volonté : injonction, création ou destruction d'eau
  - 3/jour chacun : contrôle de l'eau, ténèbres, respiration aquatique, marche sur l'eau
  - 1/jour chacun : appel de la foudre, tentacules noirs d'Evardt.</t>
  </si>
  <si>
    <t xml:space="preserve">- Contact tonitruant. Attaque au corps à corps avec un sort : +5 au toucher, allonge 1,50 m, une créature. Touché : 27 (5d10) dégâts de tonnerre.
- Voix du kraken (Recharge après un repos court ou long). Le kraken parle au travers du prêtre d'une voix tempétueuse audible à 90 mètres à la ronde. Les créatures choisies par le prêtre et qui peuvent entendre les paroles du kraken (qui sont prononcées en abyssal, en infernal ou en primaire) doivent réussir un jet de sauvegarde de Charisme DD 14 ou être effrayées pendant 1 minute. Une cible effrayée peut retenter son jet de sauvegarde à la fin de chacun de ses tours, mettant fin à l'effet qui l'affecte en cas de réussite.</t>
  </si>
  <si>
    <t xml:space="preserve">Prêtre du kraken</t>
  </si>
  <si>
    <t xml:space="preserve">- Sens Perception passive 15
- Amphibien. Le prêtre peut respirer aussi bien dans l'air que sous l'eau.</t>
  </si>
  <si>
    <t xml:space="preserve">- Attaques multiples. Le prêtre effectue trois attaques avec Contact tonitruant ou Coup de tonnerre.
  - Contact tonitruant. Attaque au corps à corps avec un sort : +5 au toucher, allonge 1,50 m, une cible. Touché : 27 (5d10) dégâts de tonnerre.
  - Coup de tonnerre. Attaque à distance avec un sort : +5 au toucher, distance 18 m, une cible. Touché : 11 (2d10) dégâts de foudre plus 11 (2d10) dégâts de tonnerre, et la cible tombe à terre.
- Incantation innée. Le prêtre lance les sorts suivants, utilisant la Sagesse comme caractéristique d'incantation (jet de sauvegarde contre ses sorts DD 13) et sans avoir besoin de composantes matérielles :
  - À volonté : injonction, création ou destruction d'eau
  - 3/jour chacun : contrôle de l'eau, ténèbres, respiration aquatique, marche sur l'eau
  - 1/jour : tentacules noirs d'Evard
- Voix du kraken (Recharge après un repos court ou long). Le kraken parle au travers du prêtre d'une voix tempétueuse audible à 90 mètres à la ronde. Les créatures choisies par le prêtre et qui peuvent entendre les paroles du kraken (qui sont prononcées en abyssal, en infernal ou en primaire) doivent réussir un jet de sauvegarde de Charisme DD 14 ou être effrayées pendant 1 minute. Une cible effrayée peut retenter son jet de sauvegarde à la fin de chacun de ses tours, mettant fin à l'effet qui l'affecte en cas de réussite.</t>
  </si>
  <si>
    <t xml:space="preserve">Pseudodragon</t>
  </si>
  <si>
    <t xml:space="preserve">7 (2d4+2)</t>
  </si>
  <si>
    <t xml:space="preserve">4,50 m, vol 18 m</t>
  </si>
  <si>
    <t xml:space="preserve">commun et draconique (compris)</t>
  </si>
  <si>
    <t xml:space="preserve">- Sens vision aveugle 3 m, vision dans le noir 18 m, Perception passive 13
- Sens aiguisés. Le pseudodragon a un avantage aux jets de Sagesse (Perception) basés sur la vue, l'ouïe ou l'odorat.
Résistance à la magie. Le pseudodragon a un avantage aux jets de sauvegarde contre les sorts et autres effets magiques.
- Télépathie limitée. Le pseudodragon peut communiquer par magie des idées, des émotions, et des images simples par télépathie à toute créature capable de comprendre un langage dans un rayon de 30 mètres autour de lui.</t>
  </si>
  <si>
    <t xml:space="preserve">- Morsure. Attaque au corps à corps avec une arme : +4 au toucher, allonge 1,50 m, une cible. Touché : 4 (1d4 + 2) dégâts tranchants.
- Dard. Attaque au corps à corps avec une arme : +4 au toucher, allonge 1,50 m, une créature. Touché : 4 (1d4 + 2) dégâts perforants, et la cible doit réussir un jet de sauvegarde de Constitution DD 11 ou être empoisonnée pendant 1 heure. Si le jet de sauvegarde échoue de 5 ou plus, la cible tombe inconsciente pour la même durée, ou jusqu'à ce qu'elle subisse des dégâts ou qu'une autre créature utilise une action pour la réveiller.</t>
  </si>
  <si>
    <t xml:space="preserve">Ptéranodon</t>
  </si>
  <si>
    <t xml:space="preserve">- Sens Perception passive 11
- Repli aérien. Le ptéranodon ne provoque pas d'attaques d'opportunité lorsqu'il quitte l'allonge d'un ennemi en volant.</t>
  </si>
  <si>
    <t xml:space="preserve">- Morsure. Attaque au corps à corps avec une arme : + 3 au toucher, allonge 1,50 m, une cible. Touché : 6 (2d4 + 1) dégâts perforants.</t>
  </si>
  <si>
    <t xml:space="preserve">Quadrone</t>
  </si>
  <si>
    <t xml:space="preserve">- Sens vision véritable 36 m, Perception passive 12
- Esprit axiomatique. Le quadrone ne peut être contraint à agir d'une manière contraire à sa nature ou aux instructions qu'il a reçues.
- Désintégration. Si le quadrone meurt, son corps se désintègre et tombe en poussière, ne laissant derrière lui que ses armes et tout ce qu'il portait.</t>
  </si>
  <si>
    <t xml:space="preserve">- Attaques multiples. Le quadrone effectue deux attaques de coup ou quatre attaques avec l'arc court.
- Coup. Attaque au corps à corps avec une arme : +3 au toucher, allonge 1,50 m, une cible. Touché : 3 (1d4 + 1) dégâts contondants.
- Arc court. Attaque à distance avec une arme : +4 au toucher, portée 24/96 m, une cible. Touché : 5 (1d6 + 2) dégâts perforants.</t>
  </si>
  <si>
    <t xml:space="preserve">Quaggoth</t>
  </si>
  <si>
    <t xml:space="preserve">Humanoïde (quaggoth)</t>
  </si>
  <si>
    <t xml:space="preserve">Athlétisme+5</t>
  </si>
  <si>
    <t xml:space="preserve">- Immunités aux dégâts poison
- Immunités aux états empoisonné
- Sens vision dans le noir 36 m, Perception passive 11
- Fureur du blessé. Tant qu'il est à 10 points de vie ou moins, le qaggoth a un avantage aux jets d'attaque. De plus, il inflige 7 (2d6) dégâts supplémentaires à chaque cible qu'il touche avec une attaque au corps à corps.</t>
  </si>
  <si>
    <t xml:space="preserve">- Attaques multiples. Le quaggoth effectue deux attaques avec ses griffes.
- Griffes. Attaque au corps à corps avec une arme : +5 au toucher, allonge 1,50 m, une cible. Touché : 6 (1d6 + 3) dégâts tranchants.</t>
  </si>
  <si>
    <t xml:space="preserve">Quaggoth, serviteur des spores</t>
  </si>
  <si>
    <t xml:space="preserve">- Immunités aux dégâts poison
- Immunités aux états aveuglé, charmé, effrayé, paralysé, empoisonné
- Sens vision aveugle 9 m (aveugle au-delà de ce rayon), Perception passive 8</t>
  </si>
  <si>
    <t xml:space="preserve">- Attaques multiples. Le serviteur des spores effectue deux attaques avec ses griffes.
- Griffes. Attaque au corps à corps avec une arme : +5 au toucher, allonge 1,50 m, une cible. Touché : 6 (1d6 + 3) dégâts tranchants.</t>
  </si>
  <si>
    <t xml:space="preserve">Quasit</t>
  </si>
  <si>
    <t xml:space="preserve">- Résistances aux dégâts froid, feu, foudre ; contondant, perforant et tranchant d'attaques non magiques
- Immunités aux dégâts poison
- Immunités aux états empoisonné
- Métamorphe. Le quasit peut utiliser son action pour se métamorphoser en une bête qui ressemble à une chauve-souris (vitesse 3 m, vol 12 m), un mille-pattes (12 m, escalade 12 m) ou un crapaud (12 m, nage 12 m), ou pour reprendre sa forme véritable. Mise à part sa vitesse (comme indiqué précédemment), ses statistiques sont les mêmes quelle que soit sa forme. L'équipement qu'il porte ou transporte ne se transforme pas. Il retrouve sa forme véritable s'il meurt.
- Résistance à la magie. Le quasit a un avantage aux jets de sauvegarde contre les sorts et autres effets magiques.</t>
  </si>
  <si>
    <t xml:space="preserve">- Griffes (Morsure sous forme de bête). Attaque au corps à corps avec une arme : +4 au toucher, allonge 1,50 m, une cible. Touché : 5 (1d4 + 3) dégâts perforants, et la cible doit réussir un jet de sauvegarde de Constitution DD 10 ou subir 5 (2d4) dégâts de poison et être empoisonné pendant 1 minute. La cible peut retenter son jet de sauvegarde à la fin de chacun de ses tours, mettant fin à l'effet qui l'affecte en cas de réussite.
- Frayeur (1/jour). Une créature que le quasit choisit, se trouvant dans un rayon de 6 mètres, doit réussir un jet de sauvegarde de Sagesse DD 10 ou être effrayée pendant 1 minute. La cible peut retenter son jet de sauvegarde à la fin de chacun de ses tours, avec un désavantage si le quasit est dans sa ligne de mire, mettant fin à l'effet qui l'affecte en cas de réussite.
- Invisibilité. Le quasit devient invisible par magie jusqu'à ce qu'il attaque, utilise sa Frayeur, ou que sa concentration se termine (comme s'il se concentrait sur un sort). Tout l'équipement qu'il porte ou transporte est également invisible.</t>
  </si>
  <si>
    <t xml:space="preserve">Quetzalcoatlus</t>
  </si>
  <si>
    <t xml:space="preserve">30 (4d12+4)</t>
  </si>
  <si>
    <t xml:space="preserve">- Sens Perception passive 12
- Attaque en piquée. Si le quetzalcoatlus vole en ligne droite sur au moins 9 mètres en direction d'une cible et la touche avec une attaque de morsure, l'attaque inflige 10 (3d6) dégâts supplémentaires à la cible.
- Repli aérien. Le quetzalcoatlus ne provoque pas d'attaques d'opportunité lorsqu'il quitte l'allonge d'un ennemi en volant.</t>
  </si>
  <si>
    <t xml:space="preserve">- Morsure. Attaque au corps à corps avec une arme : +4 au toucher, allonge 3 m, une créature. Touché : 12 (3d6 + 2) dégâts perforants.</t>
  </si>
  <si>
    <t xml:space="preserve">Rakshasa</t>
  </si>
  <si>
    <t xml:space="preserve">Intuition+8
Tromperie+10</t>
  </si>
  <si>
    <t xml:space="preserve">- Vulnérabilités aux dégâts perforant d'armes magiques maniées par une créature bonne
- Immunités aux dégâts contondant, perforant et tranchant d'attaques non magiques
- Sens vision dans le noir 18 m, Perception passive 13
- Immunité magique partielle. Le rakshasa ne peut pas être affecté ou détecté par des sorts de niveaux 6 ou moins sauf s'il souhaite l'être. Il a un avantage aux jets de sauvegarde contre tous les autres sorts et effets magiques.
- Incantation innée. La caractéristique d'incantation innée du rakshasa est le Charisme (jet de sauvegarde contre ses sorts DD 18, +10 au toucher pour les attaques avec un sort). Le rakshasa peut lancer les sorts suivants de manière innée, sans avoir besoin de composantes matérielles :
  - À volonté : déguisement, détection des pensées, illusion mineure, main de mage
  - 3/jour chacun : charme-personne, détection de la magie, image majeure, invisibilité, suggestion
  - 1/jour chacun : changement de plan, domination de personne, vision suprême, vol</t>
  </si>
  <si>
    <t xml:space="preserve">- Attaques multiples. Le rakshasa effectue deux attaques avec ses griffes.
- Griffes. Attaque au corps à corps avec une arme : +7 au toucher, allonge 1,50 m, une cible. Touché : 9 (2d6 + 2) dégâts tranchants, et si la cible est une créature elle est maudite. La malédiction magique prend effet chaque fois que la cible effectue un repos court ou long, remplissant les pensées de la cible de visions et de songes horrifiques. La cible maudite ne tire aucun bénéfice à l'issue de son repos court ou long. La malédiction perdure jusqu'à ce qu'elle soit levée par un sort de délivrance des malédictions ou une magie équivalente.</t>
  </si>
  <si>
    <t xml:space="preserve">Rat</t>
  </si>
  <si>
    <t xml:space="preserve">- Sens vision dans le noir 9 m, Perception passive 10
- Odorat aiguisé. Le rat a un avantage aux jets de Sagesse (Perception) basés sur l'odorat.</t>
  </si>
  <si>
    <t xml:space="preserve">Morsure. Attaque au corps à corps avec une arme : +0 au toucher, allonge 1,50 m, une cible. Touché : 1 dégât perforant.</t>
  </si>
  <si>
    <t xml:space="preserve">Rat géant</t>
  </si>
  <si>
    <t xml:space="preserve">- Sens vision dans le noir 18 m, Perception passive 10
- Odorat aiguisé. Le rat a un avantage aux jets de Sagesse (Perception) basés sur l'odorat.
- Tactique de groupe. Le rat a un avantage aux jets d'attaque contre une créature si au moins l'un de ses alliés est à 1,50 mètre ou moins de la créature et n'est pas incapable d'agir.</t>
  </si>
  <si>
    <t xml:space="preserve">- Morsure. Attaque au corps à corps avec une arme : +4 au toucher, allonge 1,50 m, une cible. Touché : 4 (1d4 + 2) dégâts perforants.
VARIANTE : RAT GÉANT INFECTÉ
- Morsure. Attaque au corps à corps avec une arme : +4 au toucher, allonge 1,50 m, une cible. Touché : 4 (1d4 + 2) dégâts perforants. Si la cible est une créature, elle doit réussir un jet de sauvegarde de Constitution DD 10 ou contracter une maladie. Jusqu'à ce que la maladie soit guérie, la cible ne peut regagner des points de vie, sauf par des moyens magiques, et le maximum de points de vie de la cible diminue de 3 (1d6) toutes les 24 heures. Si le maximum de points de vie de la cible tombe à 0 à cause de cette maladie, la cible meurt.</t>
  </si>
  <si>
    <t xml:space="preserve">Rat-crâne</t>
  </si>
  <si>
    <t xml:space="preserve">- Sens vision dans le noir 9 m, Perception passive 10
- Éclairage. En tant qu'action bonus, le rat-crâne peut émettre une lumière faible de son cerveau dans un rayon de 1,50 mètre ou éteindre la lumière.
- Voile télépathique. Le rat-crâne est immunisé contre tout effet qui pourrait ressentir ses émotions ou lire ses pensées, ainsi que contre tous les sorts de divination.</t>
  </si>
  <si>
    <t xml:space="preserve">- Morsure. Attaque au corps à corps avec une arme : +4 au toucher, allonge 1,50 m, une cible. Touché : 1 dégât perforant.</t>
  </si>
  <si>
    <t xml:space="preserve">Rat-Garou</t>
  </si>
  <si>
    <t xml:space="preserve">commun (ne peut parler sous forme de rat)</t>
  </si>
  <si>
    <t xml:space="preserve">- Immunités aux dégâts contondant, perforant et tranchant d'attaques non magiques qui ne sont pas en argent
- Sens vision dans le noir 18 m (forme de rat uniquement), Perception passive 12
- Métamorphe. Le rat-garou peut utiliser son action pour se métamorphoser en un hybride rat-humanoïde ou en un rat géant, ou pour reprendre sa forme véritable (la forme humanoïde). Mise à part sa taille, ses statistiques sont les mêmes quelle que soit sa forme. L'équipement qu'il porte ou transporte ne se transforme pas. Il retrouve sa forme véritable s'il meurt.
- Odorat aiguisé. Le rat-garou a un avantage aux jets de Sagesse (Perception) basés sur l'odorat.</t>
  </si>
  <si>
    <t xml:space="preserve">- Attaques multiples (forme humanoïde ou hybride uniquement). Le rat-garou effectue deux attaques, une seule des deux peut être une attaque de morsure.
- Morsure (forme de rat ou hybride uniquement). Attaque au corps à corps avec une arme : +4 au toucher, allonge 1,50 m, une cible. Touché : 4 (1d4 + 2) dégâts perforants. Si la cible est un humanoïde, elle doit réussir un jet de sauvegarde de Constitution DD 11 ou être atteinte de la lycanthropie de rat-garou.
- Épée courte (forme humanoïde ou hybride uniquement). Attaque au corps à corps avec une arme : +4 au toucher, allonge 1,50 m, une cible. Touché : 5 (1d6 + 2) dégâts perforants.
- Arbalète de poing (forme humanoïde ou hybride uniquement). Attaque à distance avec une arme : +4 au toucher, portée 9/36 m, une cible. Touché : 5 (1d6 + 2) dégâts perforants.</t>
  </si>
  <si>
    <t xml:space="preserve">Rejeton de Kyuss</t>
  </si>
  <si>
    <t xml:space="preserve">76 (9d8+36)</t>
  </si>
  <si>
    <t xml:space="preserve">JS SAG+1</t>
  </si>
  <si>
    <t xml:space="preserve">les langues connues de son vivant (compris</t>
  </si>
  <si>
    <t xml:space="preserve">- Immunités aux dégâts poison
- Immunités aux états épuisement, empoisonné
- Sens vision dans le noir 18 m, Perception passive 8
- Régénération. Le rejeton de Kyuss regagne 10 points de vie au début de son tour s'il a au moins 1 point de vie et n'est pas exposé au soleil ou dans une étendue d'eau courante. Si le rejeton subit des dégâts d'acide, de feu ou radiant, ce trait ne fonctionne pas au début du prochain tour du rejeton. Le rejeton n'est détruit que s'il commence son tour avec 0 point de vie et ne se régénère pas.
Vers. Si le rejeton de Kyuss est ciblé par un effet qui guérit une maladie ou supprime une malédiction, tous les vers qui l'infestent disparaissent, et il perd son action Ver fouisseur.</t>
  </si>
  <si>
    <t xml:space="preserve">- Attaques multiples. Le rejeton de Kyuss effectue deux attaques avec ses griffes et utilise Ver fouisseur.
- Ver fouisseur. Un ver se lance depuis le rejeton de Kyuss sur un humanoïde que le rejeton peut voir à 3 mètres ou moins de lui. Le ver se fixe sur la peau de la cible à moins que celle-ci ne réussisse un jet de sauvegarde de Dextérité DD 11. Le ver est un mort-vivant de taille TP avec une CA de 6, 1 point de vie, 2 (-4) dans chaque caractéristique et une vitesse de 30 cm. Lorsqu'il est sur la peau de la cible, le ver peut être tué par des moyens normaux ou retiré à l'aide d'une action (le rejeton peut utiliser cette action pour lancer un ver retiré sur un humanoïde qu'il peut voir à 3 mètres ou moins du ver). Sinon, le ver s'enfonce sous la peau de la cible à la fin du prochain tour de la cible, lui infligeant 1 dégât perforant. Par la suite, à la fin de chacun de ses tours, la cible subit 7 (2d6) dégâts nécrotiques par ver qui l'infeste (maximum 10d6). Une cible infestée de vers meurt si elle tombe à 0 point de vie, puis se relève 10 minutes plus tard en tant que rejeton de Kyuss. Si une créature infestée de vers est ciblée par un effet qui guérit une maladie ou supprime une malédiction, tous les vers qui l'infestent disparaissent.
- Griffes. Attaque au corps à corps avec une arme : +6 au toucher, allonge 1,50 m, une cible. Touché : 6 (1d6 + 3) dégâts tranchants + 7 (2d6) dégâts nécrotiques.</t>
  </si>
  <si>
    <t xml:space="preserve">Rejeton des mers</t>
  </si>
  <si>
    <t xml:space="preserve">6 m, nage 9 m</t>
  </si>
  <si>
    <t xml:space="preserve">aquatique, commun (compris)</t>
  </si>
  <si>
    <t xml:space="preserve">- Sens vision dans le noir 36 m, Perception passive 10
- Amphibie limitée. Le rejeton des mers peut respirer sur terre ou dans l'eau, mais il a besoin d'être immergé dans la mer au moins une fois par jour durant 1 minute pour éviter de s'étouffer.</t>
  </si>
  <si>
    <t xml:space="preserve">- Attaques multiples. Le rejeton des mers effectue trois attaques : deux frappes à mains nues et une avec son anatomie de poisson.
- Attaque à mains nues. Attaque au corps à corps avec une arme : +4 au toucher, allonge 1,50 m, une cible. Touché : 4 (1d4 + 2) dégâts contondants.
 - Anatomie de poisson. Le rejeton des mers possède une ou plusieurs des options d'attaque suivantes, à condition qu'il ait l'anatomie appropriée :
- Morsure. Attaque au corps à corps avec une arme : +5 au toucher, allonge 1,50 m, une cible. Touché : 4 (1d4 + 2) dégâts perforants.
  - Épines empoisonnées. Attaque au corps à corps avec une arme : +5 au toucher, allonge 1,50 m, une créature. Touché : 3 (1d6) dégâts de poison, et la cible doit réussir un jet de sauvegarde de Constitution DD 12 ou être empoisonnée pendant 1 minute. La cible peut répéter le jet de sauvegarde à la fin de chacun de ses tours, mettant fin à l'effet qui l'afflige en cas de succès.
  - Tentacule. Attaque au corps à corps avec une arme : +5 au toucher, allonge 3 m, une cible. Touché : 5 (1d6 + 2) dégâts contondants, et la cible est agrippée (évasion au DD 12) si c'est une créature de taille M ou plus petite. Tant que la cible est agrippée, le rejeton des mers ne peut pas utiliser ce tentacule sur une autre cible.</t>
  </si>
  <si>
    <t xml:space="preserve">Rejetons des abîmes</t>
  </si>
  <si>
    <t xml:space="preserve">9 m (6 m et nage 12 m sous forme hybride)</t>
  </si>
  <si>
    <t xml:space="preserve">Discrétion+3
Escamotage+3
Intuition+3
Tromperie+6
JS SAG+3
JS CHA+4</t>
  </si>
  <si>
    <t xml:space="preserve">aquatique, commun, jagon des voleurs</t>
  </si>
  <si>
    <t xml:space="preserve">- Sens vision dans le noir 36 m, Perception passive 11
- Métamorphe. Le rejeton des abîmes peut utiliser son action pour se métamorphoser en un hybride poisson-humanoïde, ou pour reprendre sa forme véritable. Mise à part sa vitesse, ses statistiques sont les mêmes quelle que soit sa forme. L'équipement qu'il porte ou transporte ne se transforme pas. Il retrouve sa forme véritable s'il meurt.
- Amphibien (forme hybride uniquement). Le rejeton des abîmes peut respirer aussi bien dans l'air que sous l'eau.</t>
  </si>
  <si>
    <t xml:space="preserve">- Attaques multiples. Sous forme humanoïde, le rejeton des abîmes effectue deux attaques au corps à corps. Sous forme hybride, le rejeton des abîmes effectue trois attaques : une de morsure et deux avec ses griffes.
- Hache d'armes (forme humanoïde uniquement). Attaque au corps à corps avec une arme : +6 au toucher, allonge 1,50 m, une cible. Touché : 8 (1d8 + 4) dégâts tranchants, ou 9 (1d10 + 4) dégâts tranchants s'il est utilisé à deux mains.
- Morsure (forme hybride uniquement). Attaque au corps à corps avec une arme : +6 au toucher, allonge 1,50 m, une créature. Touché : 6 (1d4 + 4) dégâts perforants.
- Griffes (forme hybride uniquement). Attaque au corps à corps avec une arme : +6 au toucher, allonge 1,50 m, une cible. Touché : 7 (1d6 + 4) dégâts tranchants.
- Hurlement psychique (forme hybride uniquement ; Recharge après un repos court ou long). Le rejeton des abîmes émet un terrible cri audible jusqu'à 90 mètres. Les créatures à 9 mètres ou moins du rejeton des abîmes doivent réussir un jet de sauvegarde de Sagesse DD 13 ou être étourdies jusqu'à la fin du prochain tour du rejeton des abîmes. Dans l'eau, le hurlement psychique transmet également par télépathie les souvenirs du rejeton des abîmes des dernières 24 heures à son maître, quelle que soit la distance, tant que lui et son maître sont dans le même plan d'eau.</t>
  </si>
  <si>
    <t xml:space="preserve">Remorhaz</t>
  </si>
  <si>
    <t xml:space="preserve">- Immunités aux dégâts feu, froid
- Sens vision dans le noir 18 m, perception des vibrations 18 m, Perception passive 10
- Corps brûlant. Une créature se trouvant à 1,50 mètre ou moins du remorhaz et qui le touche ou réussit une attaque au corps à corps contre lui subit 10 (3d6) dégâts de feu.</t>
  </si>
  <si>
    <t xml:space="preserve">- Morsure. Attaque au corps à corps avec une arme : +11 au toucher, allonge 3 m, une cible. Touché : 40 (6d10 + 7) dégâts perforants + 10 (3d6) dégâts de feu. Si la cible est une créature, elle est agrippée (évasion DD 17). Tant qu'elle est agrippée, la cible est entravée, et le remorhaz ne peut pas mordre une autre cible.
- Engloutissement. Le remorhaz effectue une attaque de morsure contre une créature de taille M ou inférieure qu'il agrippe. Si l'attaque réussit, la créature subit les dégâts de la morsure et est avalée, et elle n'est plus agrippée. Une fois avalée, la créature est aveuglée et entravée, bénéficie d'un abri total contre les attaques et effets provenant de l'extérieur du remorhaz, et subit 21 (6d6) dégâts d'acide au début de chaque tour du remorhaz. Si le remorhaz subit 30 points de dégâts ou plus en un seul tour de la part d'une créature avalée, il doit réussir un jet de sauvegarde de Constitution DD 15 à la fin de ce tour ou régurgiter toutes les créatures qu'il a avalées, qui se retrouveront alors à terre, à 3 mètres ou moins de lui. Si le remorhaz meurt, une créature avalée n'est plus entravée et peut s'échapper du cadavre en utilisant 4,50 mètres de mouvement pour se retrouver à l'extérieur et à terre.</t>
  </si>
  <si>
    <t xml:space="preserve">Remorhaz, jeune</t>
  </si>
  <si>
    <t xml:space="preserve">9 m creusement 6 m</t>
  </si>
  <si>
    <t xml:space="preserve">- Immunités aux dégâts froid, feu
- Sens vision dans le noir 18 m, perception des vibrations 18 m, Perception passive 10
- Corps brûlant. Une créature qui touche le remorhaz, ou qui le frappe tout en se trouvant à 1,50 mètre ou moins de lui, subit 7 (2d6) dégâts de feu.</t>
  </si>
  <si>
    <t xml:space="preserve">- Morsure. Attaque au corps à corps avec une arme : +6 au toucher, allonge 1,50 m, une cible. Touché : 20 (3d10 + 4) dégâts perforants + 7 (2d6) dégâts de feu.</t>
  </si>
  <si>
    <t xml:space="preserve">Requin de récif</t>
  </si>
  <si>
    <t xml:space="preserve">- Sens vision aveugle 9 m, Perception passive 12
- Tactique de groupe. Le requin a un avantage aux jets d'attaque contre une créature si au moins l'un de ses alliés est à 1,50 mètre ou moins de la créature et n'est pas incapable d'agir.
- Respiration aquatique. Le requin ne peut respirer que sous l'eau.</t>
  </si>
  <si>
    <t xml:space="preserve">Requin géant</t>
  </si>
  <si>
    <t xml:space="preserve">0 m, nage 15 m</t>
  </si>
  <si>
    <t xml:space="preserve">- Sens vision aveugle 18 m, Perception passive 13
- Frénésie sanguinaire. Le requin a un avantage aux jets d'attaque au corps à corps contre une créature qui n'a pas tous ses points de vie.
- Respiration aquatique. Le requin ne peut respirer que sous l'eau.</t>
  </si>
  <si>
    <t xml:space="preserve">- Morsure. Attaque au corps à corps avec une arme : +9 au toucher, allonge 1,50 m, une cible. Touché : 22 (3d10 + 6) dégâts perforants.</t>
  </si>
  <si>
    <t xml:space="preserve">Requin-chasseur</t>
  </si>
  <si>
    <t xml:space="preserve">- Sens vision aveugle 9 m, Perception passive 12
- Frénésie sanguinaire. Le requin a un avantage aux jets d'attaque au corps à corps contre une créature qui n'a pas tous ses points de vie.
- Respiration aquatique. Le requin ne peut respirer que sous l'eau..</t>
  </si>
  <si>
    <t xml:space="preserve">- Morsure. Attaque au corps à corps avec une arme : +6 au toucher, allonge 1,50 m, une cible. Touché : 13 (2d8 + 4) dégâts perforants.</t>
  </si>
  <si>
    <t xml:space="preserve">Résinieux</t>
  </si>
  <si>
    <t xml:space="preserve">- Immunités aux états aveuglé, assourdi
- Sens vision aveugle 18 m (aveugle au-delà de ce rayon), Perception passive 9</t>
  </si>
  <si>
    <t xml:space="preserve">- Griffes. Attaque au corps à corps avec une arme : +3 au toucher, allonge 1,50 m, une cible. Touché : 6 (2d4 + 1) dégâts perforants.
- Épines. Attaque à distance avec une arme : +3 au toucher, portée 9/18 m, une cible. Touché : 8 (2d6 + 1) dégâts perforants.</t>
  </si>
  <si>
    <t xml:space="preserve">Revenant</t>
  </si>
  <si>
    <t xml:space="preserve">136 (16d8+64)</t>
  </si>
  <si>
    <t xml:space="preserve">JS FOR+7
JS CON+7
JS SAG+6
JS CHA+7</t>
  </si>
  <si>
    <t xml:space="preserve">- Résistances aux dégâts nécrotique, psychique
- Immunités aux dégâts poison
- Immunités aux états charmé, épuisement, effrayé, paralysé, empoisonné, étourdi
- Sens vision dans le noir 18 m, Perception passive 13
- Régénération. Le revenant récupère 10 points de vie au début de son tour. Si le revenant subit des dégâts de feu ou des dégâts radiants, ce trait ne fonctionne pas au début de son prochain tour. Le corps du revenant n'est détruit que s'il débute son tour avec 0 point de vie et qu'il ne se régénère pas.
- Reconstitution. Lorsque le corps du revenant est détruit, son âme subsiste. Au bout de 24 heures, l'âme habite et anime un autre corps humanoïde sur le même plan d'existence et récupère tous ses points de vie. Tant que l'âme n'est pas dans son nouveau corps, un sort de souhait peut être utilisé pour la forcer à passer dans l'au-delà et ne pas en revenir.
- Immunité au renvoi. Le revenant est immunisé aux effets de renvoi des morts-vivants.
- Traqueur rancunier. Le revenant connaît la direction et la distance qui le sépare de toutes les créatures contre lesquelles il est venu réclamer vengeance, même si la créature et le revenant sont sur des plans d'existence différents. Si la créature traquée par le revenant meurt, le revenant l'apprend.</t>
  </si>
  <si>
    <t xml:space="preserve">- Attaques multiples. Le revenant effectue deux attaques avec ses poings.
- Poing. Attaque au corps à corps avec une arme : +7 au toucher, allonge 1,50 m, une cible. Touché : 11 (2d6 + 4) dégâts contondants. Si la cible est une créature contre laquelle le revenant a juré vengeance, la cible subit 14 (4d6) dégâts contondants supplémentaires. Plutôt que d'infliger des dégâts, le revenant peut agripper la cible (évasion DD 14) à condition que la cible soit de taille G ou inférieure.
- Éblouissement vengeur. Le revenant cible une créature qu'il peut voir et se trouvant à 9 mètres ou moins de lui et contre laquelle il a juré vengeance. La cible doit effectuer un jet de sauvegarde de Sagesse DD 15. En cas d'échec, la cible est paralysée jusqu'à ce que le revenant lui inflige des dégâts, ou jusqu'à la fin du prochain tour du revenant. Lorsque la paralysie se termine, la cible est effrayée par le revenant pendant 1 minute. La cible effrayée peut retenter son jet de sauvegarde à la fin de chacun de ses tours, avec un désavantage si elle peut voir le revenant, mettant fin à cet état en cas de réussite.</t>
  </si>
  <si>
    <t xml:space="preserve">Rhinocéros</t>
  </si>
  <si>
    <t xml:space="preserve">- Sens Perception passive 11
- Charge. Si le rhinocéros se déplace d'au moins 6 mètres en ligne droite vers une cible, puis la touche lors d'une attaque avec sa corne dans le même tour, la cible subit 9 (2d8) dégâts contondants supplémentaires. Si la cible est une créature, elle doit réussir un jet de sauvegarde de Force DD 15 ou tomber à terre.</t>
  </si>
  <si>
    <t xml:space="preserve">- Corne. Attaque au corps à corps avec une arme : +7 au toucher, allonge 1,50 m, une cible. Touché : 14 (2d8 + 5) dégâts contondants.</t>
  </si>
  <si>
    <t xml:space="preserve">Roc</t>
  </si>
  <si>
    <t xml:space="preserve">248 (16d20+80)</t>
  </si>
  <si>
    <t xml:space="preserve">6 m, vol 36 m</t>
  </si>
  <si>
    <t xml:space="preserve">Perception+4
JS DEX+4
JS CON+9
JS SAG+4
JS CHA+3</t>
  </si>
  <si>
    <t xml:space="preserve">- Sens Perception passive 14
- Vue aiguisée. Le roc a un avantage aux jets de Sagesse (Perception) basés sur la vue.</t>
  </si>
  <si>
    <t xml:space="preserve">- Attaques multiples. Le roc effectue deux attaques : une avec son bec et une avec ses serres.
- Bec. Attaque au corps à corps avec une arme : +13 au toucher, allonge 3 m, une cible. Touché : 27 (4d8 + 9) dégâts perforants.
- Serres. Attaque au corps à corps avec une arme : +13 au toucher, allonge 1,50 m, une cible. Touché : 23 (4d6 + 9) dégâts tranchants, et la cible est agrippée (évasion DD 19). Tant qu'elle est agrippée, la cible est entravée, et le roc ne peut pas utiliser son attaque avec ses serres contre une autre cible.</t>
  </si>
  <si>
    <t xml:space="preserve">Roi/reine lézard</t>
  </si>
  <si>
    <t xml:space="preserve">Discrétion+5
Perception+4
Survie+4
JS CON+4
JS SAG+2</t>
  </si>
  <si>
    <t xml:space="preserve">abyssal, draconique</t>
  </si>
  <si>
    <t xml:space="preserve">- Immunités aux états effrayé
- Sens vision dans le noir 18 m, Perception passive 14
- Apnée. Le roi lézard peut retenir son souffle durant 15 minutes.
- Embrocher. Une fois par tour, lorsque le roi lézard effectue une attaque au corps à corps avec son trident et touche, la cible subit 10 (3d6) dégâts supplémentaires, et le roi lézard gagne un nombre de points de vie temporaires égal au montant de ces dégâts supplémentaires.</t>
  </si>
  <si>
    <t xml:space="preserve">- Attaques multiples. Le roi lézard effectue deux attaques : une de morsure et une avec ses griffes ou avec le trident, ou deux attaques avec le trident.
- Morsure. Attaque au corps à corps avec une arme : +5 au toucher, allonge 1,50 m, une cible. Touché : 6 (1d6 + 3) dégâts perforants.
- Griffes. Attaque au corps à corps avec une arme : +5 au toucher, allonge 1,50 m, une cible. Touché : 5 (1d4 + 3) dégâts tranchants.
- Trident. Attaque au corps à corps ou à distance avec une arme : +5 au toucher, allonge 1,50 m ou portée 6/18 m, une cible. Touché : 6 (1d6 + 3) dégâts perforants, ou 7 (1d8 + 3) dégâts perforants si utilisé à deux mains pour faire une attaque au corps à corps.</t>
  </si>
  <si>
    <t xml:space="preserve">Rothé</t>
  </si>
  <si>
    <t xml:space="preserve">- Sens vision dans le noir 9 m, Perception passive 10
- Charge. Si le rothé se déplace d'au moins 6 mètres en ligne droite vers une cible, puis la touche lors d'une attaque avec ses cornes dans le même tour, la cible subit 7 (2d6) dégâts perforants supplémentaires.</t>
  </si>
  <si>
    <t xml:space="preserve">Rothé des profondeurs</t>
  </si>
  <si>
    <t xml:space="preserve">- Sens vision dans le noir 18 m, Perception passive 10
- Charge. Si le rothé des prodonfeurs se déplace d'au moins 6 mètres en ligne droite vers une cible, puis la touche lors d'une attaque avec ses cornes dans le même tour, la cible subit 7 (2d6) dégâts perforants supplémentaires.
- Incantation innée. La caractéristique d'incantation innée du rothé des profondeurs est le Charisme. Il peut lancer le sort lumières dansantes, à volonté, sans avoir besoin de composantes matérielles.</t>
  </si>
  <si>
    <t xml:space="preserve">Roturier</t>
  </si>
  <si>
    <t xml:space="preserve">Sahuagin</t>
  </si>
  <si>
    <t xml:space="preserve">Humanoïde (sahuagin)</t>
  </si>
  <si>
    <t xml:space="preserve">sahuagin</t>
  </si>
  <si>
    <t xml:space="preserve">- Sens vision dans le noir 36 m, Perception passive 15
- Frénésie sanguinaire. Le sahuagin a un avantage aux jets d'attaque au corps à corps contre une créature qui n'a pas tous ses points de vie.
- Amphibie limitée. Le sahuagin peut respirer sur terre ou dans l'eau, mais il a besoin d'être immergé au moins une fois toutes les 4 heures pour éviter de s'étouffer.
- Télépathie avec les requins. Le sahuagin peut prendre magiquement le contrôle de n'importe quel requin dans un rayon de 36 mètres autour de lui, en utilisant une forme limitée de télépathie.</t>
  </si>
  <si>
    <t xml:space="preserve">- Attaques multiples. Le sahuagin effectue deux attaques : une de morsure et une avec ses griffes ou sa lance.
- Morsure. Attaque au corps à corps avec une arme : +3 au toucher, allonge 1,50 m, une cible. Touché : 3 (1d4 + 1) dégâts perforants.
- Griffes. Attaque au corps à corps avec une arme : +3 au toucher, allonge 1,50 m, une cible. Touché : 3 (1d4 + 1) dégâts tranchants.
- Lance. Attaque au corps à corps ou à distance avec une arme : +3 au toucher, allonge 1,50 m ou portée 6/18 m, une cible. Touché : 4 (1d6 + 1) dégâts perforants, ou 5 (1d8 + 1) dégâts perforants si utilisée à deux mains pour faire une attaque au corps à corps.</t>
  </si>
  <si>
    <t xml:space="preserve">Sahuagin, baron</t>
  </si>
  <si>
    <t xml:space="preserve">Perception+7
JS DEX+5
JS CON+6
JS INT+5
JS SAG+4</t>
  </si>
  <si>
    <t xml:space="preserve">- Sens vision dans le noir 36 m, Perception passive 17
- Frénésie sanguinaire. Le sahuagin a un avantage aux jets d'attaque au corps à corps contre une créature qui n'a pas tous ses points de vie.
- Amphibie limitée. Le sahuagin peut respirer sur terre ou dans l'eau, mais il a besoin d'être immergé au moins une fois toutes les 4 heures pour éviter de s'étouffer.
- Télépathie avec les requins. Le sahuagin peut prendre magiquement le contrôle de n'importe quel requin dans un rayon de 36 mètres autour de lui, en utilisant une forme limitée de télépathie.</t>
  </si>
  <si>
    <t xml:space="preserve">- Attaques multiples. Le sahuagin effectue trois attaques : une de morsure et deux avec ses griffes ou avec le trident.
- Griffes. Attaque au corps à corps avec une arme : +7 au toucher, allonge 1,50 m, une cible. Touché : 11 (2d6 + 4) dégâts tranchants.
- Morsure. Attaque au corps à corps avec une arme : +7 au toucher, allonge 1,50 m, une cible. Touché : 9 (2d4 + 4) dégâts perforants.
- Trident. Attaque au corps à corps ou à distance avec une arme : +7 au toucher, allonge 1,50 m ou portée 6/18 m, une cible. Touché : 11 (2d6 + 4) dégâts perforants, ou 13 (2d8 + 4) dégâts perforants si utilisé à deux mains pour effectuer une attaque au corps à corps.</t>
  </si>
  <si>
    <t xml:space="preserve">Sahuagin, prêtresse</t>
  </si>
  <si>
    <t xml:space="preserve">Perception+6
Religion+3</t>
  </si>
  <si>
    <t xml:space="preserve">- Sens vision dans le noir 36 m, Perception passive 16
- Frénésie sanguinaire. Le sahuagin a un avantage aux jets d'attaque au corps à corps contre une créature qui n'a pas tous ses points de vie.
- Amphibie limitée. Le sahuagin peut respirer sur terre ou dans l'eau, mais il a besoin d'être immergé au moins une fois toutes les 4 heures pour éviter de s'étouffer.
- Télépathie avec les requins. Le sahuagin peut prendre magiquement le contrôle de n'importe quel requin dans un rayon de 36 mètres autour de lui, en utilisant une forme limitée de télépathie.
- Incantation. Le sahuagin est un lanceur de sorts de niveau 6. Sa caractéristique d'incantation est la Sagesse (jet de sauvegarde contre ses sorts DD 12, +4 au toucher pour les attaques avec un sort). Il a préparé les sorts de clerc suivants :
  - Sorts mineurs (à volonté) : assistance, thaumaturgie
  - Niveau 1 (4 emplacements) : bénédiction, détection de la magie, éclair traçant
  - Niveau 2 (3 emplacements) : immobilisation de personne, arme spirituelle (trident)
  - Niveau 3 (3 emplacements) : mot de guérison de groupe, don des languesu</t>
  </si>
  <si>
    <t xml:space="preserve">- Attaques multiples. Le sahuagin effectue deux attaques : une de morsure et une avec ses griffes.
- Griffes. Attaque au corps à corps avec une arme : +3 au toucher, allonge 1,50 m, une cible. Touché : 3 (1d4 + 1) dégâts tranchants.
- Morsure. Attaque au corps à corps avec une arme : +3 au toucher, allonge 1,50 m, une cible. Touché : 3 (1d4 + 1) dégâts perforants.</t>
  </si>
  <si>
    <t xml:space="preserve">Salamandre</t>
  </si>
  <si>
    <t xml:space="preserve">- Vulnérabilités aux dégâts froid
- Résistances aux dégâts contondant, perforant et tranchant d'attaques non magiques
- Immunités aux dégâts feu
- Sens vision dans le noir 18 m, Perception passive 10
- Corps brûlant. Une créature qui touche la salamandre ou la frappe lors d'une attaque au corps à corps en étant à 1,50 mètre ou moins de la salamandre subit 7 (2d6) dégâts de feu.
- Armes brûlantes. Toute arme de corps à corps en métal que brandit la salamandre inflige 3 (1d6) dégâts de feu supplémentaires (inclus dans l'attaque ci-dessous).</t>
  </si>
  <si>
    <t xml:space="preserve">- Attaques multiples. La salamandre effectue deux attaques : une avec la lance et une avec sa queue.
- Lance. Attaque au corps à corps ou à distance avec une arme : +7 au toucher, allonge 1,50 m ou portée 6/18 m, une cible. Touché : 11 (2d6 + 4) dégâts perforants, ou 13 (2d8 + 4) dégâts perforants si utilisée à deux mains pour faire une attaque au corps à corps, plus 3 (1d6) dégâts de feu.
- Queue. Attaque au corps à corps avec une arme : +7 au toucher, allonge 3 m, une cible. Touché : 11 (2d6 + 4) dégâts contondants + 7 (2d6) dégâts de feu, et la cible est agrippée (évasion DD 14). Tant qu'elle est agrippée, la cible est entravée, la salamandre peut automatiquement toucher la cible avec sa queue, et la salamandre ne peut plus effectuer d'attaque avec sa queue contre d'autres cibles.</t>
  </si>
  <si>
    <t xml:space="preserve">Sanglier</t>
  </si>
  <si>
    <t xml:space="preserve">- Sens Perception passive 9
- Charge. Si le sanglier se déplace d'au moins 6 mètres en ligne droite vers une cible, puis la touche lors d'une attaque avec ses défenses dans le même tour, la cible subit 3 (1d6) dégâts tranchants supplémentaires. Si la cible est une créature, elle doit réussir un jet de sauvegarde de Force DD 11 ou tomber à terre.
- Implacable (Recharge après un repos court ou long). Si le sanglier subit 7 points de dégâts ou moins qui réduiraient ses points de vie à 0, il se retrouve à la place avec 1 point de vie.</t>
  </si>
  <si>
    <t xml:space="preserve">- Défenses. Attaque au corps à corps avec une arme : +3 au toucher, allonge 1,50 m, une cible. Touché : 4 (1d6 + 1) dégâts tranchants.</t>
  </si>
  <si>
    <t xml:space="preserve">Sanglier géant</t>
  </si>
  <si>
    <t xml:space="preserve">- Sens Perception passive 8
- Charge. Si le sanglier se déplace d'au moins 6 mètres en ligne droite vers une cible, puis la touche lors d'une attaque avec ses défenses dans le même tour, la cible subit 7 (2d6) dégâts tranchants supplémentaires. Si la cible est une créature, elle doit réussir un jet de sauvegarde de Force DD 13 ou tomber à terre.
- Implacable (Recharge après un Repos court ou long). Si le sanglier subit 10 points de dégâts ou moins qui réduiraient ses points de vie à 0, il se retrouve à la place avec 1 point de vie.</t>
  </si>
  <si>
    <t xml:space="preserve">- Défenses. Attaque au corps à corps avec une arme : +5 au toucher, allonge 1,50 m, une cible. Touché : 10 (2d6 + 3) dégâts tranchants.</t>
  </si>
  <si>
    <t xml:space="preserve">Sanglier-garou</t>
  </si>
  <si>
    <t xml:space="preserve">10 sous forme humanoïde, 11 (armure naturelle) sous forme de sanglier ou sous forme hybride</t>
  </si>
  <si>
    <t xml:space="preserve">9 m (12 m sous forme de sanglier</t>
  </si>
  <si>
    <t xml:space="preserve">commun (ne peut pas parler sous forme de sanglier)</t>
  </si>
  <si>
    <t xml:space="preserve">- Immunités aux dégâts contondant, perforant et tranchant d'attaques non magiques qui ne sont pas en argent
- Sens Perception passive 12
- Métamorphe. Le sanglier-garou peut utiliser son action pour se métamorphoser en un hybride sanglier-humanoïde ou en un sanglier, ou pour reprendre sa forme véritable (la forme humanoïde). Mise à part sa CA, ses statistiques sont les mêmes quelle que soit sa forme. L'équipement qu'il porte ou transporte ne se transforme pas. Il retrouve sa forme véritable s'il meurt.
- Charge (forme de sanglier ou hybride uniquement). Si le sanglier-garou se déplace d'au moins 4,50 mètres en ligne droite vers une cible, puis la touche lors d'une attaque avec ses défenses dans le même tour, la cible subit 7 (2d6) dégâts tranchants supplémentaires. Si la cible est une créature, elle doit réussir un jet de sauvegarde de Force DD 13 ou tomber à terre.
- Férocité implacable (Recharge après un repos court ou long). Si le sanglier-garou tombe à 0 point de vie après avoir subi 14 points de dégâts ou moins, il passe à 1 point de vie à la place.</t>
  </si>
  <si>
    <t xml:space="preserve">- Attaques multiples (forme humanoïde ou hybride uniquement). Le sanglier-garou effectue deux attaques, mais une seule des deux peut être une attaque avec ses défenses.
- Maillet (forme humanoïde ou hybride uniquement). Attaque au corps à corps avec une arme : +5 au toucher, allonge 1,50 m, une cible. Touché : 10 (2d6 + 3) dégâts contondants.
- Défenses (forme de sanglier ou hybride uniquement). Attaque au corps à corps avec une arme : +5 au toucher, allonge 1,50 m, une cible. Touché : 10 (2d6 + 3) dégâts tranchants. Si la cible est un humanoïde, elle doit réussir un jet de sauvegarde de Constitution DD 12 ou être atteinte de la lycanthropie de sanglier-garou.</t>
  </si>
  <si>
    <t xml:space="preserve">Satyre</t>
  </si>
  <si>
    <t xml:space="preserve">31 (7d8)</t>
  </si>
  <si>
    <t xml:space="preserve">Discrétion+5
Perception+2
Représentation+6</t>
  </si>
  <si>
    <t xml:space="preserve">- Sens Perception passive 12
- Résistance à la magie. Le satyre a un avantage aux jets de sauvegarde contre les sorts et autres effets magiques.</t>
  </si>
  <si>
    <t xml:space="preserve">- Coup de tête. Attaque au corps à corps avec une arme : + 3 au toucher, allonge 1,50 m, une cible. Touché : 6 (2d4 + 1) dégâts contondants.
- Épée courte. Attaque au corps à corps avec une arme : + 5 au toucher, allonge 1,50 m, une cible. Touché : 6 (1d6 + 3) dégâts perforants.
- Arc court. Attaque à distance avec une arme : +5 au toucher, portée 24/96 m, une cible. Touché : 6 (1d6 + 3) dégâts perforants.</t>
  </si>
  <si>
    <t xml:space="preserve">Sauteur géant</t>
  </si>
  <si>
    <t xml:space="preserve">22 (3d10+6)</t>
  </si>
  <si>
    <t xml:space="preserve">- Sens Perception passive 11
- Absorption du feu. Chaque fois que le sauteur géant est soumis à des dégâts de feu, il ne subit aucun dégât et récupère un nombre de points de vie égal à la moitié des dégâts de feu infligés.</t>
  </si>
  <si>
    <t xml:space="preserve">- Morsure. Attaque au corps à corps avec une arme : +6 au toucher, allonge 1,50 m, une cible. Touché : 8 (1d8 + 4) dégâts perforants.
- Explosion de feu (Recharge 5-6). Le sauteur géant lance une goutte de flamme à un point qu'il peut voir à moins de 18 mètres de lui. Chaque créature dans une sphère de 3 mètres de rayon centrée sur ce point doit effectuer un jet de sauvegarde de Dextérité DD 12, subissant 14 (4d6) dégâts de feu en cas d'échec, ou la moitié de ces dégâts en cas de réussite. Le feu contourne les angles et enflamme les objets inflammables dans cette zone qui ne sont pas tenus ou portés.</t>
  </si>
  <si>
    <t xml:space="preserve">Scarabée de feu géant</t>
  </si>
  <si>
    <t xml:space="preserve">- Sens vision aveugle 9 m, Perception passive 8
- Illumination. Le scarabée émet une lumière vive dans un rayon de 3 mètres et une lumière faible sur 3 mètres supplémentaires.</t>
  </si>
  <si>
    <t xml:space="preserve">- Morsure. Attaque au corps à corps avec une arme : +1 au toucher, allonge 1,50 m, une cible. Touché : 2 (1d6 - 1) dégâts tranchants.</t>
  </si>
  <si>
    <t xml:space="preserve">Scorpion</t>
  </si>
  <si>
    <t xml:space="preserve">- Sens vision aveugle 3 m, Perception passive 9</t>
  </si>
  <si>
    <t xml:space="preserve">- Dard. Attaque au corps à corps avec une arme : +2 au toucher, allonge 1,50 m, une créature. Touché : 1 dégât perforant et la cible doit réaliser un jet de sauvegarde de Constitution DD 9, subissant 4 (1d8) dégâts de poison en cas d'échec, ou la moitié de ces dégâts en cas de réussite.</t>
  </si>
  <si>
    <t xml:space="preserve">Scorpion géant</t>
  </si>
  <si>
    <t xml:space="preserve">52 (7d10+14)</t>
  </si>
  <si>
    <t xml:space="preserve">- Sens vision aveugle 18 m, Perception passive 9</t>
  </si>
  <si>
    <t xml:space="preserve">- Attaques multiples. Le scorpion réalise trois attaques : deux avec ses pinces et une avec son aiguillon.
- Pinces. Attaque au corps à corps avec une arme : +4 au toucher, allonge 1,50 m, une cible. Touché : 6 (1d8 + 2) dégâts contondants, et la cible est agrippée (DD 12 pour s'échapper). Le scorpion a deux pinces, chacune lui permettant d'agripper une cible.
- Dard. Attaque au corps à corps avec une arme : +4 au toucher, allonge 1,50 m, une créature. Touché : 7 (1d10 + 2) dégâts perforants et la cible doit réaliser un jet de sauvegarde de Constitution DD 12, subissant 22 (4d10) dégâts de poison en cas d'échec, ou la moitié de ces dégâts en cas de réussite.</t>
  </si>
  <si>
    <t xml:space="preserve">Seigneur de guerre</t>
  </si>
  <si>
    <t xml:space="preserve">229 (27d8+108)</t>
  </si>
  <si>
    <t xml:space="preserve">Athlétisme+9
Intimidation+8
Perception+5
Persuasion+8
JS FOR+9
JS DEX+7
JS CON+8</t>
  </si>
  <si>
    <t xml:space="preserve">Deux langues au choix</t>
  </si>
  <si>
    <t xml:space="preserve">- Sens Perception passive 15
- Inflexible (3/jour). Le seigneur de guerre peut relancer un jet de sauvegarde raté. Il doit utiliser le nouveau résultat.
- Survivant. Le seigneur de guerre récupère 10 points de vie au début de son tour s'il lui reste au moins 1 point de vie mais qu'il possède moins de la moitié de son maximum de points de vie..</t>
  </si>
  <si>
    <t xml:space="preserve">- Attaques multiples. Le seigneur de guerre effectue deux attaques avec une arme.
- Épée à deux mains. Attaque au corps à corps avec une arme : +9 au toucher, allonge 1,50 m, une cible. Touché : 12 (2d6 + 5) dégâts tranchants.
- Arc court. Attaque à distance avec une arme : +7 au toucher, portée 24/96 m, une cible. Touché : 6 (1d6 + 3) dégâts perforants.</t>
  </si>
  <si>
    <t xml:space="preserve">- Le seigneur de guerre peut effectuer 3 actions légendaires, en choisissant parmi les options suivantes. Une seule action légendaire peut être utilisée à la fois, et seulement à la fin du tour d'une autre créature. Le seigneur de guerre récupère les actions légendaires dépensées au début de son tour.
- Attaque avec une arme. Le seigneur de guerre effectue une attaque avec une arme.
- Commandement des alliés. Le seigneur de guerre cible un allié qu'il peut voir et se trouvant à 9 mètres ou moins de lui. Si la cible peut le voir et l'entendre, elle peut effectuer une attaque avec une arme en utilisant une réaction et gagne un avantage sur ce jet d'attaque.
- Ennemi apeuré (coûte 2 actions). Le seigneur de guerre cible un ennemi qu'il peut voir et se trouvant à 9 mètres ou moins de lui. Si la cible peut le voir et l'entendre, elle doit réussir un jet de sauvegarde de Sagesse DD 16 ou être effrayée jusqu'à la fin du prochain tour du seigneur de guerre.</t>
  </si>
  <si>
    <t xml:space="preserve">Athlétisme +9
Intimidation +8
Perception +5
Persuasion +8
JS FOR+9
JS DEX+7
JS CON+8</t>
  </si>
  <si>
    <t xml:space="preserve">- Sens Perception passive 15
- Inflexible (3/jour). Le seigneur de guerre peut relancer un jet de sauvegarde raté. Il doit utiliser le nouveau résultat.
- Survivant. Le seigneur de guerre récupère 10 points de vie au début de son tour s'il lui reste au moins 1 point de vie mais qu'il possède moins de la moitié de son maximum de points de vie.</t>
  </si>
  <si>
    <t xml:space="preserve">- Attaques multiples. Le seigneur de guerre effectue deux attaques avec son épée à deux mains ou son arc court.
  - Épée à deux mains. Attaque au corps à corps avec une arme : +9 au toucher, allonge 1,50 m, une cible. Touché : 12 (2d6 + 5) dégâts tranchants.
  - Arc court. Attaque à distance avec une arme : +7 au toucher, portée 24/96 m, une cible. Touché : 6 (1d6 + 3) dégâts perforants.</t>
  </si>
  <si>
    <t xml:space="preserve">Le seigneur de guerre peut effectuer 3 actions légendaires, en choisissant parmi les options suivantes. Une seule action légendaire peut être utilisée à la fois, et seulement à la fin du tour d'une autre créature. Le seigneur de guerre récupère les actions légendaires dépensées au début de son tour.
- Commandement des alliés. Le seigneur de guerre cible un allié qu'il peut voir et se trouvant à 9 mètres ou moins de lui. Si la cible peut le voir et l'entendre, elle peut effectuer une attaque avec une arme en utilisant une réaction et gagne un avantage sur ce jet d'attaque.
- Attaque avec une arme. Le seigneur de guerre effectue une attaque avec son épée à deux mains ou son arc court.
- Ennemi apeuré (coûte 2 actions). Le seigneur de guerre cible une créature qu'il peut voir dans un rayon de 9 mètres autour de lui. Si la cible peut le voir et l'entendre, elle doit réussir un jet de sauvegarde de Sagesse DD 16 ou être effrayée jusqu'à la fin du prochain tour du seigneur de guerre.</t>
  </si>
  <si>
    <t xml:space="preserve">Seigneur momie</t>
  </si>
  <si>
    <t xml:space="preserve">Histoire+5
Religion+5
JS CON+8
JS INT+5
JS SAG+9
JS CHA+8</t>
  </si>
  <si>
    <t xml:space="preserve">- Vulnérabilités aux dégâts feu
- Immunités aux dégâts nécrotique, poison ; contondant, perforant et tranchant d'attaques non magiques
- Immunités aux états charmé, épuisement, effrayé, paralysé, empoisonné
- Sens vision dans le noir 18 m, Perception passive 14
- Résistance à la magie. Le seigneur momie a un avantage aux jets de sauvegarde contre les sorts et autres effets magiques.
- Reconstitution. Le seigneur momie détruit retrouve un nouveau corps en 24 heures si son coeur est intact, récupérant tous ses points de vie et redevenant ainsi actif. Le nouveau corps apparaît à 1,50 mètre du coeur du seigneur momie.
- Incantation. Le seigneur momie est un lanceur de sorts de niveau 10. Sa caractéristique d'incantation est la Sagesse (jet de sauvegarde contre ses sorts DD 17, +9 au toucher pour les attaques avec un sort). Le seigneur momie a la liste suivante de sorts de clerc préparée :
  - Sorts mineurs (à volonté) : flamme sacrée, thaumaturgie
  - Niveau 1 (4 emplacements) : bouclier de la foi, éclair traçant, injonction
  - Niveau 2 (3 emplacements) : arme spirituelle, immobilisation de personne, silence
  - Niveau 3 (3 emplacements) : animation des morts, dissipation de la magie
  - Niveau 4 (3 emplacements) : divination, gardien de la foi
  - Niveau 5 (2 emplacements) : contagion, fléau d'insectes
  - Niveau 6 (1 emplacement) : contamination</t>
  </si>
  <si>
    <t xml:space="preserve">- Attaques multiples. Le seigneur momie peut utiliser son Regard d'épouvante et effectuer une attaque avec ses poings putréfiants.
- Poings putréfiants. Attaque au corps à corps avec une arme : +9 au toucher, allonge 1,50 m, une cible. Touché : 14 (3d6 + 4) dégâts contondants + 21 (6d6) dégâts nécrotiques. Si la cible est une créature, elle doit réussir un jet de sauvegarde de Constitution DD 16 ou être frappée par la malédiction de la putréfaction de la momie. La cible de la malédiction ne peut pas regagner de points de vie, et son maximum de points de vie est réduit de 10 (3d6) chaque 24 heures qui s'écoulent. Si la malédiction réduit le maximum de points de vie de la cible à 0, la cible meurt et son corps devient poussière. La malédiction dure jusqu'à ce qu'elle soit supprimée par un sort de délivrance des malédictions ou autre magie.
- Regard d'épouvante. La momie cible une créature qu'elle peut voir dans les 18 mètres autour d'elle. Si la cible peut voir la momie, elle doit réussir un jet de sauvegarde de Sagesse DD 16 contre cette magie ou devenir effrayée jusqu'à la fin du prochain tour de la momie. Si le jet de sauvegarde échoue de 5 ou plus, la cible est de plus paralysée pour la même durée. Une cible qui réussit le jet de sauvegarde est immunisée du Regard d'épouvante de toutes les momies (mais pas des seigneurs momies) pour les prochaines 24 heures.</t>
  </si>
  <si>
    <t xml:space="preserve">Le seigneur momie peut effectuer 3 actions légendaires, en choisissant parmi les options suivantes. Une seule action légendaire peut être utilisée à la fois, et seulement à la fin du tour d'une autre créature. Le seigneur momie récupère les actions légendaires dépensées au début de son tour.
- Attaques. Le seigneur momie effectue une attaque avec ses poings putréfiants ou son Regard d'épouvante.
- Poussière aveuglante. De la poussière et du sable se mettent à tourbillonner par magie autour du seigneur momie. Toutes les créatures se trouvant à 1,50 mètre ou moins du seigneur momie doivent réussir un jet de sauvegarde de Constitution DD 16 ou être aveuglées jusqu'à la fin de leur tour suivant.
- Blasphème (coûte 2 actions). Le seigneur momie profère une parole blasphématoire. Chaque créature non morte-vivante se trouvant à 3 mètres ou moins du seigneur momie et étant capable d'entendre la parole magique doit réussir un jet de sauvegarde de Constitution DD 16 ou être étourdie jusqu'à la fin du tour suivant du seigneur momie.
- Canalisation d'énergie négative (coûte 2 actions). Le seigneur momie déchaine par magie un torrent d'énergie négative. Les créatures se trouvant dans un rayon de 18 mètres autour du seigneur momie, incluant celles derrière des coins ou des barrières, ne peuvent pas récupérer de points de vie jusqu'à la fin du tour suivant du seigneur momie.
- Tourbillon de sable (coûte 2 actions). Le seigneur momie se transforme par magie en un tourbillon de sable, se déplace de 18 mètres, et retrouve sa forme originelle. Lorsqu'il est transformé en tourbillon, le seigneur momie est immunisé contre tous les dégâts, et il ne peut pas être agrippé, entravé, jeté à terre, étourdi, ou pétrifié. L'équipement porté ou transporté par le seigneur momie reste en sa possession.</t>
  </si>
  <si>
    <t xml:space="preserve">Sentinelle de l'eau</t>
  </si>
  <si>
    <t xml:space="preserve">aquatique (compris)</t>
  </si>
  <si>
    <t xml:space="preserve">- Résistances aux dégâts feu ; contondant, perforant et tranchant d'attaques non magiques
- Immunités aux dégâts poison
- Immunités aux états épuisement, agrippé, paralysé, empoisonné, entravé, à terre, inconscient
- Sens vision aveugle 9 m, Perception passive 10
- Invisible dans l'eau. La sentinelle d'eau est invisible tant qu'elle est complètement immergée dans l'eau.
- Connexion à l'eau. La sentinelle d'eau meurt si elle quitte l'eau à laquelle elle est unie ou si cette eau est détruite.</t>
  </si>
  <si>
    <t xml:space="preserve">- Constriction. Attaque au corps à corps avec une arme : +5 au toucher, allonge 3 m, une créature. Touché : 13 (3d6 + 3) dégâts contondants. Si la cible est de taille M ou inférieure, elle est agrippée (évasion DD 13) et attirée de 1,50 mètre vers la sentinelle d'eau. Tant qu'elle est agrippée, la cible est entravée, la sentinelle d'eau tente de la noyer et ne peut pas étreindre une autre cible.</t>
  </si>
  <si>
    <t xml:space="preserve">Serpent constricteur</t>
  </si>
  <si>
    <t xml:space="preserve">- Sens vision aveugle 3 m, Perception passive 10</t>
  </si>
  <si>
    <t xml:space="preserve">- Morsure. Attaque au corps à corps avec une arme : +4 au toucher, allonge 1,50 m, une créature. Touché : 5 (1d6 + 2) dégâts perforants.
- Constriction. Attaque au corps à corps avec une arme : +4 au toucher, allonge 1,50 m, une créature. Touché : 6 (1d8 + 2) dégâts contondants, et la cible est agrippée (DD 14 pour s'échapper). Tant qu'elle est agrippée, la créature est entravée, et le serpent ne peut pas étreindre une autre cible.</t>
  </si>
  <si>
    <t xml:space="preserve">Serpent constricteur géant</t>
  </si>
  <si>
    <t xml:space="preserve">60 (8d12+8)</t>
  </si>
  <si>
    <t xml:space="preserve">- Sens vision aveugle 3 m, Perception passive 12</t>
  </si>
  <si>
    <t xml:space="preserve">- Morsure. Attaque au corps à corps avec une arme : +6 au toucher, allonge 3 m, une créature. Touché : 11 (2d6 + 4) dégâts perforants.
- Constriction. Attaque au corps à corps avec une arme : +6 au toucher, allonge 1,50 m, une créature. Touché : 13 (2d8 + 4) dégâts contondants, et la cible est agrippée (DD 16 pour s'échapper). Tant qu'elle est agrippée, la créature est entravée, et le serpent ne peut pas étreindre une autre cible.</t>
  </si>
  <si>
    <t xml:space="preserve">Serpent de feu</t>
  </si>
  <si>
    <t xml:space="preserve">igné (compris)</t>
  </si>
  <si>
    <t xml:space="preserve">- Vulnérabilités aux dégâts froid
- Résistances aux dégâts contondant, perforant et tranchant d'attaques non magiques
-Immunités aux dégâts feu
- Sens vision dans le noir 18 m, Perception passive 10
- Corps brûlant. Une créature qui touche le serpent (lors d'un simple contact ou d'une attaque au corps à corps à 1,50 mètre ou moins de lui) subit 3 (1d6) dégâts de feu.</t>
  </si>
  <si>
    <t xml:space="preserve">- Attaques multiples. Le serpent effectue deux attaques : une de morsure et une avec sa queue.
- Morsure. Attaque au corps à corps avec une arme : +3 au toucher, allonge 1,50 m, une cible. Touché : 3 (1d4 + 1) dégâts perforants + 3 (1d6) dégâts de feu.
- Queue. Attaque au corps à corps avec une arme : +3 au toucher, allonge 1,50 m, une cible. Touché : 3 (1d4 + 1) dégâts contondants + 3 (1d6) dégâts de feu.</t>
  </si>
  <si>
    <t xml:space="preserve">Serpent venimeux</t>
  </si>
  <si>
    <t xml:space="preserve">- Morsure. Attaque au corps à corps avec une arme : +5 au toucher, allonge 1,50 m, une cible. Touché : 1 dégât perforant et la cible doit réaliser un jet de sauvegarde de Constitution DD 10, subissant 5 (2d4) dégâts de poison en cas d'échec, ou la moitié de ces dégâts en cas de réussite.</t>
  </si>
  <si>
    <t xml:space="preserve">Serpent venimeux géant</t>
  </si>
  <si>
    <t xml:space="preserve">- Morsure. Attaque au corps à corps avec une arme : +6 au toucher, allonge 3 m, une cible. Touché : 6 (1d4 + 4) dégâts perforants, et la cible doit réaliser un jet de sauvegarde de Constitution DD 11, subissant 10 (3d6) dégâts de poison en cas d'échec, ou la moitié de ces dégâts en cas de réussite.</t>
  </si>
  <si>
    <t xml:space="preserve">Serpent volant</t>
  </si>
  <si>
    <t xml:space="preserve">- Sens vision aveugle 3 m, Perception passive 11
- Repli aérien. Le serpent ne provoque pas d'attaques d'opportunité lorsqu'il quitte l'allonge d'un ennemi en volant.</t>
  </si>
  <si>
    <t xml:space="preserve">- Morsure. Attaque au corps à corps avec une arme : +6 au toucher, allonge 1,50 m, une cible. Touché : 1 dégât perforant + 7 (3d4) dégâts de poison.</t>
  </si>
  <si>
    <t xml:space="preserve">Shoosuva</t>
  </si>
  <si>
    <t xml:space="preserve">JS DEX+4
JS CON+6
JS SAG+5</t>
  </si>
  <si>
    <t xml:space="preserve">abyssal, gnoll, télépathie 36 m</t>
  </si>
  <si>
    <t xml:space="preserve">- Résistances aux dégâts froid, feu, foudre ; contondant, perforant et tranchant d'attaques non magiques
- Immunités aux dégâts poison
- Immunités aux états charmé, effrayé, empoisonné
- Sens vision dans le noir 18 m, Perception passive 12
- Déchaîné. Lorsque durant son tour le shoosuva fait tomber les points de vie d'une créature à 0 avec une attaque au corps à corps, il peut utiliser une action bonus pour se déplacer de la moitié de sa vitesse et effectuer une attaque de morsure.</t>
  </si>
  <si>
    <t xml:space="preserve">- Attaques multiples. Le shoosuva effectue deux attaques : une de morsure et une avec son dard caudal.
- Morsure. Attaque au corps à corps avec une arme : +7 au toucher, allonge 1,50 m, une cible. Touché : 26 (4d10 + 4) dégâts perforants.
- Dard caudal. Attaque au corps à corps avec une arme : +7 au toucher, allonge 4,50 m, une créature. Touché : 13 (2d8 + 4) dégâts perforants, et la cible doit réussir un jet de sauvegarde de Constitution DD 14 ou être empoisonnée. Tant qu'elle est empoisonnée de la sorte, la cible est également paralysée. La cible peut retenter son jet de sauvegarde à la fin de chacun de ses tours, mettant fin à l'effet qui l'affecte en cas de réussite.</t>
  </si>
  <si>
    <t xml:space="preserve">Sibriex</t>
  </si>
  <si>
    <t xml:space="preserve">150 (12d12+72)</t>
  </si>
  <si>
    <t xml:space="preserve">Arcanes +13
Histoire +13
Perception +13
JS INT+13
JS CHA+13</t>
  </si>
  <si>
    <t xml:space="preserve">- Résistances aux dégâts froid, feu, foudre ; contondant, perforant et tranchant d'attaques non magiques
- Immunités aux dégâts poison
- Immunités aux états empoisonné
- Sens vision véritable 36 m, Perception passive 23
- Contamination. Le sibriex diffuse une aura de corruption dans un rayon de 9 mètres tout autour de lui. Les plantes qui ne sont pas des créatures et se trouvant dans la zone se flétrissent, et le sol devient un terrain difficile pour les autres créatures. Toute créature qui débute son tour dans la zone de cette aura doit réussir un jet de sauvegarde de Constitution DD 20 ou subir 14 (4d6) dégâts de poison. Une créature qui réussit son jet de sauvegarde est immunisée contre la Contamination de ce sibriex pour les 24 prochaines heures.
- Incantation innée. La caractéristique d'incantation innée du sibriex est le Charisme (jet de sauvegarde contre ses sorts DD 21). Il peut lancer les sorts suivants de manière innée, sans avoir besoin de composantes matérielles :
  - À volonté : charme-personne, injonction, dissipation de la magie, immobilisation de monstre
 - 3/jour : esprit faible
- Résistance légendaire (3/jour). Si le sibriex échoue à un jet de sauvegarde, il peut décider de transformer cet échec en réussite.
- Résistance à la magie. Le sibriex a un avantage aux jets de sauvegarde contre les sorts et autres effets magiques.</t>
  </si>
  <si>
    <t xml:space="preserve">- Attaques multiples. Le sibriex utilise Crachat de bile une fois et effectue trois attaques en utilisant sa chaîne, sa morsure, ou les deux.
  - Chaîne. Attaque au corps à corps avec une arme : +6 au toucher, allonge 4,50 m, une cible. Touché : 20 (2d12 + 7) dégâts perforants.
  - Morsure. Attaque au corps à corps avec une arme : +6 au toucher, allonge 1,50 m, une cible. Touché : 9 (2d8) dégâts perforants + 9 (2d8) dégâts d'acide.
  - Crachat de bile. Le sibriex cible une créature qu'il peut voir et dans un rayon de 36 mètres autour de lui. La cible doit réussir un jet de sauvegarde de Dextérité DD 20 ou subir 35 (10d6) dégâts d'acide.
- Corruption de créature. Le sibriex cible jusqu'à trois créatures qu'il peut voir dans un rayon de 36 mètres autour de lui. Chaque cible doit effectuer un jet de sauvegarde de Constitution DD 20. En cas de réussite, une créature est immunisée contre la Corruption de créature de ce sibriex. En cas d'échec, la cible est empoisonnée, ce qui lui inflige en plus 1 niveau d'épuisement. Tant qu'elle est empoisonnée de la sorte, la cible doit répéter ce jet de sauvegarde au début de chacun de ses tours. Trois jets de sauvegarde réussis mettent fin au poison, et la disparition du poison provoque également la disparition des niveaux d'épuisement qui lui sont dus. Chaque tentative qui se solde par un échec afflige la créature d'un niveau d'épuisement supplémentaire. Une fois que la cible atteint 6 niveaux d'épuisement cumulés, elle meurt et se transforme instantanément en scélérat abyssal vivant contrôlé par le sibriex. Cette transformation ne peut être annulée que grâce au sort souhait.</t>
  </si>
  <si>
    <t xml:space="preserve">Le sibriex peut effectuer 3 actions légendaires, en choisissant parmi les options suivantes. Une seule option d'action légendaire peut être utilisée à la fois, et seulement à la fin du tour d'une autre créature. Le sibriex récupère les actions légendaires dépensées au début de son tour.
- Sort. Le sibriex lance un sort.
- Vaporisation de bile. Le sibriex utilise son Crachat de bile.
- Corruption (coûte 2 actions). Le sibriex utilise sa Corruption de créature.</t>
  </si>
  <si>
    <t xml:space="preserve">Sildhar Hallhiver</t>
  </si>
  <si>
    <t xml:space="preserve">Perception+2
JS FOR+3
JS CON+3</t>
  </si>
  <si>
    <t xml:space="preserve">- Attaques multiples. Sildar effectue deux attaques au corps à corps.
- Arbalète lourde. Attaque d’arme à distance : +2 pour toucher, portée 30/120 m, une cible. Touché : 5 (1d10) dégâts perforants.
- Épée longue. Attaque d’arme au corps à corps : +3 pour toucher, allonge 1,50 m, une cible. Touché : 5 (1d8+1) dégâts tranchants.</t>
  </si>
  <si>
    <t xml:space="preserve">- Parade. Quand un attaquant que Sildar peut voir le touche avec une attaque de corps à corps, Sildar peut lancer 1d6 et ajouter le résultat à sa CA afin de se protéger de l’attaque qui a déclenché
cette réaction. Il faut pour cela que Sildar manie une arme de corps à corps.</t>
  </si>
  <si>
    <t xml:space="preserve">Singe géant</t>
  </si>
  <si>
    <t xml:space="preserve">157 (15d12+60)</t>
  </si>
  <si>
    <t xml:space="preserve">Athlétisme+9
Perception+4</t>
  </si>
  <si>
    <t xml:space="preserve">- Sens Perception passive 14</t>
  </si>
  <si>
    <t xml:space="preserve">- Attaques multiples. Le singe réalise deux attaques avec ses poings.
- Poing. Attaque au corps à corps avec une arme : +9 au toucher, allonge 3 m, une cible. Touché : 22 (3d10 + 6) dégâts contondants.
- Rocher. Attaque à distance avec une arme : +9 au toucher, portée 15/30 m, une cible. Touché : 30 (7d6 + 6) dégâts contondants.</t>
  </si>
  <si>
    <t xml:space="preserve">Slaad bleu</t>
  </si>
  <si>
    <t xml:space="preserve">slaad, télépathie 18 m</t>
  </si>
  <si>
    <t xml:space="preserve">- Résistances aux dégâts acide, froid, feu, foudre, tonnerre
- Sens vision dans le noir 18 m, Perception passive 11
- Résistance à la magie. Le slaad a un avantage aux jets de sauvegarde contre les sorts et autres effets magiques.
- Régénération. Le slaad récupère 10 points de vie au début de son tour s'il possède au moins 1 point de vie.</t>
  </si>
  <si>
    <t xml:space="preserve">- Attaques multiples. Le slaad effectue trois attaques : une de morsure et deux avec ses griffes.
- Griffes. Attaque au corps à corps avec une arme : +8 au toucher, allonge 1,50 m, une cible. Touché : 12 (2d6 + 5) dégâts tranchants. Si la cible est un humanoïde, elle doit réussir un jet de sauvegarde de Constitution DD 15 ou être infectée par une maladie appelée chaos-phage. Tant qu'elle est infectée par cette maladie, la cible ne peut pas récupérer de point de vie, et son maximum de points de vie est réduit de 10 (3d6) toutes les 24 heures. Si la maladie réduit le maximum de points de vie de la cible à 0, la cible se transforme instantanément en slaad rouge ou, si elle possède la capacité de lancer des sorts de niveau 3 ou supérieurs, en slaad vert. Seul un sort de souhait peut inverser la transformation.
- Morsure. Attaque au corps à corps avec une arme : +8 au toucher, allonge 1,50 m, une cible. Touché : 12 (2d6 + 5) dégâts perforants.</t>
  </si>
  <si>
    <t xml:space="preserve">Slaad funeste</t>
  </si>
  <si>
    <t xml:space="preserve">Aberration (métamorphe)</t>
  </si>
  <si>
    <t xml:space="preserve">170 (20d8+80)</t>
  </si>
  <si>
    <t xml:space="preserve">Arcanes+6
Perception+8</t>
  </si>
  <si>
    <t xml:space="preserve">- Résistances aux dégâts acide, froid, feu, foudre, tonnerre
- Sens vision aveugle 18 m, vision dans le noir 18 m, Perception passive 18
- Métamorphe. Le slaad peut utiliser son action pour se métamorphoser en un humanoïde de taille P ou M, ou pour reprendre sa forme véritable. Mise à part sa taille, ses statistiques sont les mêmes quelle que soit sa forme. L'équipement qu'il porte ou transporte ne se transforme pas. Il retrouve sa forme véritable s'il meurt.
- Incantation innée. La caractéristique d'incantation innée du slaad est le Charisme (jet de sauvegarde contre ses sorts DD 15, +7 au toucher pour les attaques avec un sort). Le slaad peut lancer les sorts suivants de manière innée, sans avoir besoin de composantes matérielles :
  - À volonté : détection de la magie, détection des pensées, invisibilité (personnel uniquement), main de mage, image majeure
  - 2/jour chacun : peur, vol, boule de feu, don des langues
  - 1/jour chacun : brume mortelle, changement de plan
- Résistance à la magie. Le slaad a un avantage aux jets de sauvegarde contre les sorts et autres effets magiques.
- Armes magiques. Les attaques avec une arme du slaad sont magiques.
- Régénération. Le slaad récupère 10 points de vie au début de son tour s'il possède au moins 1 point de vie.</t>
  </si>
  <si>
    <t xml:space="preserve">- Attaques multiples. Le slaad effectue trois attaques : une morsure et deux avec ses griffes ou avec l'épée à deux mains.
- Morsure (forme de slaad uniquement). Attaque au corps à corps avec une arme : +9 au toucher, allonge 1,50 m, une cible. Touché : 9 (1d8 + 5) dégâts perforants + 7 (2d6) dégâts nécrotiques.
- Griffes (forme de slaad uniquement). Attaque au corps à corps avec une arme : +9 au toucher, allonge 1,50 m, une cible. Touché : 10 (1d10 + 5) dégâts tranchants + 7 (2d6) dégâts nécrotiques.
- Épée à deux mains. Attaque au corps à corps avec une arme : +9 au toucher, allonge 1,50 m, une cible. Touché : 12 (2d6 + 5) dégâts tranchants + 7 (2d6) dégâts nécrotiques.</t>
  </si>
  <si>
    <t xml:space="preserve">Slaad gris</t>
  </si>
  <si>
    <t xml:space="preserve">Arcanes+5
Perception+7</t>
  </si>
  <si>
    <t xml:space="preserve">- Résistances aux dégâts acide, froid, feu, foudre, tonnerre
- Sens vision aveugle 18 m, vision dans le noir 18 m, Perception passive 17
- Métamorphe. Le slaad peut utiliser son action pour se métamorphoser en un humanoïde de taille P ou M, ou pour reprendre sa forme véritable. Mise à part sa taille, ses statistiques sont les mêmes quelle que soit sa forme. L'équipement qu'il porte ou transporte ne se transforme pas. Il retrouve sa forme véritable s'il meurt.
- Incantation innée. La caractéristique d'incantation innée du slaad est le Charisme (jet de sauvegarde contre ses sorts DD 14). Le slaad peut lancer les sorts suivants de manière innée, sans avoir besoin de composantes matérielles :
  - À volonté : détection de la magie, détection des pensées, invisibilité (personnel uniquement), main de mage, image majeure
  - 2/jour chacun : peur, vol, boule de feu, don des langues
  - 1/jour : changement de plan (personnel uniquement)
- Résistance à la magie. Le slaad a un avantage aux jets de sauvegarde contre les sorts et autres effets magiques.
- Armes magiques. Les attaques avec une arme du slaad sont magiques.
- Régénération. Le slaad récupère 10 points de vie au début de son tour s'il possède au moins 1 point de vie.</t>
  </si>
  <si>
    <t xml:space="preserve">- Attaques multiples. Le slaad effectue trois attaques : une de morsure et deux avec ses griffes ou avec l'épée à deux mains.
- Morsure (forme de slaad uniquement). Attaque au corps à corps avec une arme : +7 au toucher, allonge 1,50 m, une cible. Touché : 6 (1d6 + 3) dégâts perforants.
- Griffes (forme de slaad uniquement). Attaque au corps à corps avec une arme : +7 au toucher, allonge 1,50 m, une cible. Touché : 8 (1d10 + 3) dégâts tranchants.
- Épée à deux mains. Attaque au corps à corps avec une arme : +7 au toucher, allonge 1,50 m, une cible. Touché : 10 (2d6 + 3) dégâts tranchants.</t>
  </si>
  <si>
    <t xml:space="preserve">Slaad rouge</t>
  </si>
  <si>
    <t xml:space="preserve">- Attaques multiples. Le slaad effectue trois attaques : une de morsure et deux avec ses griffes.
- Griffes. Attaque au corps à corps avec une arme : +6 au toucher, allonge 1,50 m, une cible. Touché : 7 (1d8 + 3) dégâts tranchants. Si la cible est un humanoïde, elle doit réussir un jet de sauvegarde de Constitution DD 14 ou être infectée par une maladie, un minuscule œuf de slaad. Un hôte humanoïde ne peut être porteur que d'un seul œuf de slaad à la fois. Au cours des trois mois qui suivent, l'œuf se déplace jusqu'à thorax, y reste en gestation, et se transforme en têtard de slaad. Pendant les 24 heures qui précèdent la naissance, l'hôte commence à se sentir souffrant, sa vitesse de déplacement est réduite de moitié, et il a un désavantage aux jets d'attaque, de caractéristique et de sauvegarde. À l'instant de la naissance, le têtard se fraie en 1 round un chemin de la cage thoracique vers l'extérieur en dévorant les organes vitaux son hôte, ce qui tue l'hôte. Si la maladie est soignée avant que le têtard n'émerge, le slaad à naître est désintégré.
- Morsure. Attaque au corps à corps avec une arme : +6 au toucher, allonge 1,50 m, une cible. Touché : 8 (2d4 + 3) dégâts perforants.</t>
  </si>
  <si>
    <t xml:space="preserve">Slaad vert</t>
  </si>
  <si>
    <t xml:space="preserve">Arcanes+3
Perception+2</t>
  </si>
  <si>
    <t xml:space="preserve">- Résistances aux dégâts acide, froid, feu, foudre, tonnerre
- Sens vision aveugle 9 m, vision dans le noir 18 m, Perception passive 12
- Métamorphe. Le slaad peut utiliser son action pour se métamorphoser en un humanoïde de taille P ou M, ou pour reprendre sa forme véritable. Mise à part sa taille, ses statistiques sont les mêmes quelle que soit sa forme. L'équipement qu'il porte ou transporte ne se transforme pas. Il retrouve sa forme véritable s'il meurt.
- Incantation innée. La caractéristique d'incantation innée du slaad est le Charisme (jet de sauvegarde contre ses sorts DD 12). Le slaad peut lancer les sorts suivants de manière innée, sans avoir besoin de composantes matérielles :
  - À volonté : détection de la magie, détection des pensées, main de mage
  - 2/jour chacun : peur, invisibilité (personnel)
  - 1/jour : boule de feu
- Résistance à la magie. Le slaad a un avantage aux jets de sauvegarde contre les sorts et autres effets magiques.
- Régénération. Le slaad récupère 10 points de vie au début de son tour s'il possède au moins 1 point de vie.</t>
  </si>
  <si>
    <t xml:space="preserve">- Attaques multiples. Le slaad effectue trois attaques : une de morsure et deux avec ses griffes ou avec le bâton. Il peut sinon utiliser son Jet de flammes deux fois.
- Morsure (forme de slaad uniquement). Attaque au corps à corps avec une arme : +7 au toucher, allonge 1,50 m, une cible. Touché : 11 (2d6 + 4) dégâts perforants.
- Griffes (forme de slaad uniquement). Attaque au corps à corps avec une arme : +7 au toucher, allonge 1,50 m, une cible. Touché : 7 (1d6 + 4) dégâts tranchants.
- Bâton. Attaque au corps à corps avec une arme : +7 au toucher, allonge 1,50 m, une cible. Touché : 11 (2d6 + 4) dégâts contondants.
- Jet de flammes. Attaque à distance avec un sort : +4 au toucher, portée 18 m, une cible. Touché : 10 (3d6) dégâts de feu. Si la cible est un objet inflammable qui n'est ni porté ni transporté, il prend feu.</t>
  </si>
  <si>
    <t xml:space="preserve">Slaad, tétard</t>
  </si>
  <si>
    <t xml:space="preserve">10 (4d4)</t>
  </si>
  <si>
    <t xml:space="preserve">slaad (compris)</t>
  </si>
  <si>
    <t xml:space="preserve">- Résistances aux dégâts acide, froid, feu, foudre, tonnerre
- Sens vision dans le noir 18 m, Perception passive 7
- Résistance à la magie. Le slaad a un avantage aux jets de sauvegarde contre les sorts et autres effets magiques.</t>
  </si>
  <si>
    <t xml:space="preserve">- Morsure. Attaque au corps à corps avec une arme : +4 au toucher, allonge 1,50 m, une cible. Touché : 4 (1d4 + 2) dégâts perforants.</t>
  </si>
  <si>
    <t xml:space="preserve">Solar</t>
  </si>
  <si>
    <t xml:space="preserve">243 (18d10+44)</t>
  </si>
  <si>
    <t xml:space="preserve">15 m, vol 45 m</t>
  </si>
  <si>
    <t xml:space="preserve">JS INT+14
JS SAG+14
JS CHA+17</t>
  </si>
  <si>
    <t xml:space="preserve">- Résistances aux dégâts radiant ; contondant, perforant et tranchant d'attaques non magiques
- Immunités aux dégâts nécrotique, poison
- Immunités aux états charmé, effrayé, empoisonné, épuisement
- Sens vision véritable 36 m, Perception passive 24
- Armes angéliques. Les attaques avec une arme du solar sont magiques. Lorsque le solar touche avec n'importe quelle arme, l'arme inflige 6d8 dégâts radiants supplémentaires (inclus dans l'attaque ci-dessous).
- Conscience divine. Le solar sait quand il entend un mensonge.
- Incantation innée. La caractéristique d'incantation innée du solar est le Charisme (jet de sauvegarde contre ses sorts DD 25). Le solar peut lancer les sorts suivants de manière innée, sans avoir besoin de composantes matérielles :
  - À volonté : détection du mal et du bien, invisibilité (personnel uniquement)
  - 3/jour chacun : barrière de lames, dissipation du mal et du bien, résurrection
  - 1/jour chacun : communion, contrôle du climat
- Résistance à la magie. Le solar a un avantage aux jets de sauvegarde contre les sorts et autres effets magiques.</t>
  </si>
  <si>
    <t xml:space="preserve">- Attaques multiples. Le solar effectue deux attaques d'épée à deux mains.
- Épée à deux mains. Attaque au corps à corps avec une arme : +15 au toucher, allonge 1,50 m, une cible. Touché : 22 (4d6 + 8) dégâts tranchants + 27 (6d8) dégâts radiants.
- Arc long Tueur. Attaque à distance avec une arme : +13 au toucher, portée 45/180 m, une cible. Touché : 15 (2d8 + 6) dégâts perforants + 27 (6d8) dégâts radiants. Si la cible est une créature qui a 100 points de vie ou moins, elle doit réussir un jet de sauvegarde de Constitution DD 15 ou mourir.
- Épée volante. Le solar lâche son épée à deux mains pour qu'elle flotte dans un espace inoccupé à 1,50 mètre de lui. Si le solar peut voir l'épée, il peut la commander mentalement en utilisant une action bonus pour qu'elle vole jusqu'à une distance de 15 mètres et effectue une attaque contre une cible ou retourne dans la main du solar. Si l'épée volante est ciblée par un effet, le solar est considéré comme étant en train de la tenir. L'épée volante tombe au sol si le solar meurt.
- Contact guérisseur (4/jour). Le solar touche une autre créature. La cible récupère par magie 40 (8d8 + 4) points de vie et est guérie de toutes malédictions, maladies, poisons, aveuglement ou assourdissement.</t>
  </si>
  <si>
    <t xml:space="preserve">- Le solar peut effectuer 3 actions légendaires, en choisissant parmi les options suivantes. Une seule action légendaire peut être utilisée à la fois, et seulement à la fin du tour d'une autre créature. Le solar récupère les actions légendaires dépensées au début de son tour.
- Téléportation. Le solar se téléporte magiquement, avec tout l'équipement qu'il porte ou transporte, vers un espace inoccupé qu'il peut voir et situé dans un rayon de 36 mètres autour de lui.
- Explosion brûlante (coûte 2 actions). Le solar émet une énergie magique et divine. Toutes les créatures de son choix dans un rayon de 3 mètres doivent effectuer un jet de sauvegarde de Dextérité DD 23, subissant 14 (4d6) dégâts de feu plus 14 (4d6) dégâts radiants en cas d'échec, ou la moitié de ces dégâts en cas de réussite.
- Regard aveuglant (coûte 3 actions). Le solar prend pour cible une créature qu'il peut voir et qui se trouve à 9 mètres ou moins de lui. Si la cible peut voir, celle-ci doit réussir un jet de sauvegarde de Constitution DD 15 ou être aveuglée, jusqu'à ce qu'une magie, comme un sort de restauration partielle, lui restaure la vue.</t>
  </si>
  <si>
    <t xml:space="preserve">Sombrelin</t>
  </si>
  <si>
    <t xml:space="preserve">Acrobaties+5
Tromperie+2
Perception+5
Discretion+7</t>
  </si>
  <si>
    <t xml:space="preserve">- Sens vision aveugle 9 m, vision dans le noir 36 m, Perception passive 15
- Mort éblouissante. Lorsque le sombrelin meurt, une lumière non magique rayonne sur 3 mètres de rayon depuis son corps et ses possessions, autres que celles en métal ou magiques, sont réduites en cendre. Toute créature présente dans cette zone et qui est capable de voir cette lumière vive doit réussir un jet de sauvegarde de Constitution DD 10 ou être aveuglée jusqu'à la fin de son prochain tour.
- Sensibilité à la lumière. S'il est exposé à une lumière vive, le sombrelin a un désavantage aux jets d'attaque et aux jets de Sagesse (Perception) basés sur la vue.</t>
  </si>
  <si>
    <t xml:space="preserve">- Dague. Attaque au corps à corps ou à distance avec une arme : +5 au toucher, allonge 1,50 m ou portée 6/18 m, une cible. Touché : 5 (1d4 + 3) dégâts perforants. Si le sombrelin a un avantage au jet d'attaque, l'attaque inflige 7 (2d6) dégâts perforants supplémentaires.</t>
  </si>
  <si>
    <t xml:space="preserve">Sombrelin, ainé</t>
  </si>
  <si>
    <t xml:space="preserve">Acrobaties++5
Tromperie+3
Perception+6
Discrétion+7</t>
  </si>
  <si>
    <t xml:space="preserve">- Sens vision aveugle 9 m, vision dans le noir 36 m, Perception passive 16
- Mort brûlante. Lorsque le sombrelin aîné meurt, une lumière magique rayonne sur 3 mètres de rayon depuis son corps et ses possessions, autres que celles en métal ou magiques, sont réduites en cendre. Toute créature présente dans cette zone doit effectuer un jet de sauvegarde de Constitution DD 11. En cas d'échec, la créature subit 7 (2d6) dégâts radiants et, si elle peut voir la lumière, la créature est aveuglée jusqu'à la fin de son prochain tour. Si le jet de sauvegarde est une réussite, la créature ne subit que la moitié des dégâts et n'est pas aveuglée.</t>
  </si>
  <si>
    <t xml:space="preserve">- Attaques multiples. Le sombrelin aîné effectue deux attaques au corps à corps.
- Épée courte. Attaque au corps à corps avec une arme : +5 au toucher, allonge 1,50 m, une cible. Touché : 6 (1d6 + 3) dégâts perforants. Si le sombrelin aîné a un avantage au jet d'attaque, l'attaque inflige 10 (3d6) dégâts perforants supplémentaires.
- Ténèbres (Recharge après un repos court ou long). Le sombrelin aîné lance ténèbres sans avoir besoin de composantes. La Sagesse est sa caractéristique pour lancer ce sort.</t>
  </si>
  <si>
    <t xml:space="preserve">Spectateur</t>
  </si>
  <si>
    <t xml:space="preserve">- Création d'eau et de nourriture. Le spectateur peut créer magiquement suffisamment d'eau et de nourriture pour se sustenter durant 24 heures.</t>
  </si>
  <si>
    <t xml:space="preserve">- Morsure. Attaque au corps à corps avec une arme : + 1 au toucher, allonge 1,50 m, une cible. Touché : 2 (1d6 - 1) dégâts perforants.
- Rayons oculaires. Le spectateur tire jusqu'à deux rayons oculaires magiques suivants sur une ou deux créatures qu'il peut voir dans un rayon de 27 mètres. Chaque rayon ne peut être utilisé qu'une seule fois par tour.
  1) Rayon de confusion. La cible doit réussir un jet de sauvegarde de Sagesse DD 13 ou bien elle ne peut plus utiliser de réaction jusqu'à la fin de son prochain tour. Durant son tour, la cible ne peut se déplacer et utilise son action pour faire une attaque au corps à corps ou à distance contre une créature choisie au hasard et qui est à sa portée. Si la cible ne peut attaquer, elle ne fait rien durant son tour.
  2) Rayon paralysant. La cible doit réussir un jet de sauvegarde de Constitution DD 13 ou bien être paralysée pendant 1 minute. La cible peut relancer le jet de sauvegarde à la fin de chacun de ses tours, mettant fin à l'effet qui l'affecte en cas de réussite.
  3) Rayon de peur. La cible doit réussir un jet de sauvegarde de Sagesse DD 13 ou bien être effrayée durant 1 minute. La cible peut relancer son jet de sauvegarde à la fin de chacun de ses tours, avec un désavantage si le spectateur peut être vu par la cible, l'effet s'interrompant pour la cible en cas de réussite.
  4) Rayon de blessure. La cible doit effectuer un jet de sauvegarde de Constitution DD 13, subissant 16 (3d10) dégâts nécrotiques en cas d'échec, ou la moitié de ces dégâts en cas de réussite.</t>
  </si>
  <si>
    <t xml:space="preserve">- Renvoi de sort. Si le spectateur réussit un jet de sauvegarde contre un sort, ou si une attaque magique le manque, le spectateur peut choisir une autre créature (dont celle qui a lancé le sort) qu'il peut voir dans un rayon de 9 mètres autour de lui. Le sort cible alors cette créature à la place du spectateur. Si le sort demandait un jet de sauvegarde, la créature doit en faire un. Si le sort était une attaque, un jet d'attaque est lancé contre la créature ciblée.</t>
  </si>
  <si>
    <t xml:space="preserve">Spectre</t>
  </si>
  <si>
    <t xml:space="preserve">les langues de son vivant (mais ne peut pas parler)</t>
  </si>
  <si>
    <t xml:space="preserve">- Résistances aux dégâts acide, froid, feu, foudre, tonnerre ; contondant, perforant et tranchant d'attaques non magiques
- Immunités aux dégâts nécrotique, poison
- Immunités aux états charmé, épuisement, entravé, paralysé, pétrifié, empoisonné, à terre, agrippé, inconscient
- Sens vision dans le noir 18 m, Perception passive 10
- Déplacement intangible. Le spectre peut se déplacer au travers d'autres créatures et objets comme s'ils étaient des terrains difficiles. Le spectre subit 5 (1d10) dégâts de force s'il termine son tour à l'intérieur d'un objet.
- Sensibilité au soleil. S'il est exposé à la lumière du soleil, le spectre a un désavantage aux jets d'attaque et aux jets de Sagesse (Perception) basés sur la vue.</t>
  </si>
  <si>
    <t xml:space="preserve">- Absorption de vie. Attaque au corps à corps avec un sort : +4 au toucher, allonge 1,50 m, une créature. Touché : 10 (3d6) dégâts nécrotiques. La cible doit réussir un jet de sauvegarde de Constitution DD 10 pour ne pas subir une diminution de son maximum de points de vie égale aux dégâts subis. Cette réduction perdure jusqu'à ce que la créature termine un repos long. La cible meurt si cet effet réduit son maximum de points de vie à 0.</t>
  </si>
  <si>
    <t xml:space="preserve">Spore gazeuse</t>
  </si>
  <si>
    <t xml:space="preserve">1 (1d10-4)</t>
  </si>
  <si>
    <t xml:space="preserve">0 m, vol 3 m (stationnaire)</t>
  </si>
  <si>
    <t xml:space="preserve">- Immunités aux dégâts poison
- Immunités aux états aveuglé, assourdi, effrayé, paralysé, empoisonné, à terre
- Sens vision aveugle 9 m (aveugle au-delà de ce rayon), Perception passive 5
- Mort explosive. Lorsqu'elle tombe à 0 point de vie, la spore gazeuse explose. Chaque créature présente dans un rayon de 6 mètres autour d'elle doit réussir un jet de sauvegarde de Constitution DD 15 ou subir 10 (3d6) dégâts de poison et être infectée par une maladie. Les créatures immunisées à l'état empoisonné sont immunisées à cette maladie. Les spores envahissent le corps de la créature infectée, la tuant en un nombre d'heures égal à 1d12 + valeur de Constitution de la créature, à moins que la maladie ne soit guérie. Une fois la moitié du compte à rebours écoulée, la créature est empoisonnée pour le reste de la durée. Après que la créature soit décédée, 2d4 spores gazeuses de taille TP germent et atteignent leur taille finale en 7 jours.
- Sinistre ressemblance. La spore gazeuse ressemble à un tyrannoeil. Une créature qui peut voir la spore gazeuse peut déterminer sa véritable nature en réussissant un jet d'Intelligence (Nature) DD 15.</t>
  </si>
  <si>
    <t xml:space="preserve">- Contact. Attaque au corps à corps avec une arme : +0 au toucher, allonge 1,50 m, une créature. Touché : 1 dégâts de poison, et la créature doit réussir un jet de sauvegarde de Constitution DD 10 ou être infectée par la maladie décrite dans le trait Mort explosive</t>
  </si>
  <si>
    <t xml:space="preserve">Squelette</t>
  </si>
  <si>
    <t xml:space="preserve">Les langues de son vivant (mais ne peut pas parler)</t>
  </si>
  <si>
    <t xml:space="preserve">- Vulnérabilité aux dégâts contondants
- Immunité contre les dégâts de poison
- Immunité contre l’état empoisonné
- Sens vision dans le noir 18 m, Perception passive 9</t>
  </si>
  <si>
    <t xml:space="preserve">- Arc court. Attaque d’arme à distance : +4 pour toucher, portée 24/96 m, une cible. Touché : 5 (1d6+2) dégâts perforants.
- Épée courte. Attaque d’arme au corps à corps : +4 pour toucher, allonge 1,50 m, une cible. Touché : 5 (1d6+2) dégâts perforants.</t>
  </si>
  <si>
    <t xml:space="preserve">Squelette de cheval de guerre</t>
  </si>
  <si>
    <t xml:space="preserve">- Vulnérabilités aux dégâts contondant
- Immunités aux dégâts poison
- Immunités aux états épuisement, empoisonné
- Sens vision dans le noir 18 m, Perception passive 9</t>
  </si>
  <si>
    <t xml:space="preserve">Squelette de minotaure</t>
  </si>
  <si>
    <t xml:space="preserve">- Vulnérabilités aux dégâts contondant
- Immunités aux dégâts poison
- Immunités aux états épuisement, empoisonné
- Sens vision dans le noir 18 m, Perception passive 9
- Charge. Si le squelette se déplace d'au moins 3 mètres en ligne droite vers une cible, puis la touche lors d'une attaque avec sa corne dans le même tour, la cible subit 9 (2d8) dégâts perforants supplémentaires. Si la cible est une créature, elle doit réussir un jet de sauvegarde de Force DD 14 ou être repoussée de 3 mètres et tomber à terre.</t>
  </si>
  <si>
    <t xml:space="preserve">Strige</t>
  </si>
  <si>
    <t xml:space="preserve">- Vision dans le noir 18 m, Perception passive 9</t>
  </si>
  <si>
    <t xml:space="preserve">- Succion du sang. Attaque d’arme au corps à corps : +5 pour toucher, allonge 1,50 m, une créature ; Touché : 5 (1d4+3) dégâts perforants, et la strige se fixe sur la cible. Elle n’attaque plus une fois fixée. À la place et au début de chacun des tours de la strige, la cible perd 5 (1d4+3) points de vie des suites de la perte de sang.
La strige peut se détacher en dépensant 1,50 mètre de sa vitesse de déplacement. Elle se détache après avoir sucé une quantité de sang équivalente à 10 points de vie ou si la cible meurt. Une créature, y compris la cible, peut effectuer une action pour arracher la strige.</t>
  </si>
  <si>
    <t xml:space="preserve">Succube</t>
  </si>
  <si>
    <t xml:space="preserve">Discrétion+7
Intuition+5
Perception+5
Persuasion+9
Tromperie+9</t>
  </si>
  <si>
    <t xml:space="preserve">abyssal, commun, infernal, télépathie 18 m</t>
  </si>
  <si>
    <t xml:space="preserve">- Résistances aux dégâts froid, feu, foudre, poison ; contondant, perforant et tranchant d'attaques non magiques
- Sens vision dans le noir 18 m, Perception passive 15
- Lien télépathique. Le fiélon ignore la restriction de portée de sa télépathie quand il communique avec une créature qu'il a charmée. Les deux individus n'ont même pas besoin d'être sur le même plan d'existence.
- Métamorphe. Le fiélon peut utiliser son action pour se métamorphoser en un humanoïde de taille P ou M, ou pour reprendre sa forme véritable. Sans ses ailes, le fiélon perd sa vitesse de vol. Mises à part sa taille et sa vitesse, ses statistiques sont les mêmes quelle que soit sa forme. L'équipement qu'il porte ou transporte ne se transforme pas. Il retrouve sa forme véritable s'il meurt.</t>
  </si>
  <si>
    <t xml:space="preserve">- Griffes (forme fiélone uniquement). Attaque au corps à corps avec une arme : +5 au toucher, allonge 1,50 m, une cible. Touché : 6 (1d6 + 3) dégâts tranchants.
- Charme. Un humanoïde que le fiélon peut voir et situé à 9 mètres ou moins de lui doit réussir un jet de sauvegarde de Sagesse DD 15 ou être charmé par magie pendant 1 journée. La cible charmée obéit aux ordres verbaux ou télépathiques du fiélon. Si la cible subit des dégâts ou reçoit un ordre suicidaire, celle-ci peut retenter le jet de sauvegarde, mettant fin à l'effet en cas de réussite. Si le jet de sauvegarde de la créature est réussi ou que l'effet qu'elle subit se termine, celle-ci devient immunisée au Charme du fiélon pendant les prochaines 24 heures. Le fiélon ne peut avoir qu'une cible charmée à la fois. S'il charme une autre cible, l'effet se termine.
- Baiser corrupteur. Le fiélon embrasse une créature qu'il a charmée ou une créature consentante. La cible doit effectuer un jet de sauvegarde de Constitution DD 15 contre cette magie, subissant 32 (5d10 + 5) dégâts psychiques en cas d'échec, ou la moitié de ces dégâts en cas de réussite. Le maximum de points de vie de la cible est diminué d'un montant égal aux dégâts subis. Cette diminution perdure jusqu'à ce que la cible termine un repos long. La cible meurt si cet effet réduit son maximum de points de vie à 0.
- Forme éthérée. Le fiélon pénètre dans le plan éthéré à partir du plan matériel, ou inversement.</t>
  </si>
  <si>
    <t xml:space="preserve">Sylvanien</t>
  </si>
  <si>
    <t xml:space="preserve">commun, druidique, elfique, sylvestre</t>
  </si>
  <si>
    <t xml:space="preserve">- Résistances aux dégâts contondant, perforant
- Vulnérabilités aux dégâts feu
- Sens Perception passive 13
- Apparence trompeuse. Tant que le sylvanien reste immobile, il ne peut être distingué d'un arbre ordinaire.
- Monstre de siège. Le sylvanien inflige le double des dégâts aux objets et structures qu'il attaque.</t>
  </si>
  <si>
    <t xml:space="preserve">- Attaques multiples. Le sylvanien effectue deux attaques de coup.
- Coup. Attaque au corps à corps avec une arme : +10 au toucher, allonge 1,50 m, une cible. Touché : 16 (3d6 + 6) dégâts contondants.
- Rocher. Attaque à distance avec une arme : +10 au toucher, portée 18/54 m, une cible. Touché : 28 (4d10 + 6) dégâts contondants.
- Animation des arbres (1/jour). Le sylvanien anime magiquement un ou deux arbres qu'il peut voir à 18 m de lui. Ces arbres ont les mêmes statistiques que le sylvanien, hormis qu'ils ont une Intelligence et une Sagesse de 1, qu'ils ne peuvent pas parler, et qu'ils ne disposent que de l'action Coup. Un arbre animé agit comme un allié du sylvanien. L'arbre reste animé pendant 1 jour ou jusqu'à ce qu'il meure ; jusqu'à ce que le sylvanien meure ou qu'il soit à plus de 36 mètres de l'arbre ; ou jusqu'à ce que le sylvanien utilise une action bonus pour le transformer à nouveau en arbre inanimé. Dans ce cas l'arbre s'enracine s'il en a la possibilité.</t>
  </si>
  <si>
    <t xml:space="preserve">Tanarukk</t>
  </si>
  <si>
    <t xml:space="preserve">Fiélon (démon, orc)</t>
  </si>
  <si>
    <t xml:space="preserve">95 (10d8+50)</t>
  </si>
  <si>
    <t xml:space="preserve">Intimidation+2
Perception+2</t>
  </si>
  <si>
    <t xml:space="preserve">abyssal, commun, orc</t>
  </si>
  <si>
    <t xml:space="preserve">- Résistances aux dégâts feu, poison
- Sens vision dans le noir 18 m, Perception passive 12
- Agressif. Par une action bonus, le tanarukk peut se déplacer de sa vitesse vers une créature hostile qu'il peut voir.
- Résistance à la magie. Le tanarukk a un avantage aux jets de sauvegarde contre les sorts et autres effets magiques.</t>
  </si>
  <si>
    <t xml:space="preserve">- Attaques multiples. Le tanarukk effectue deux attaques : une de morsure et une avec son épée à deux mains.
- Morsure. Attaque au corps à corps avec une arme : +7 au toucher, allonge 1,50 m, une cible. Touché : 8 (1d8 + 4) dégâts perforants.
- Épée à deux mains. Attaque au corps à corps avec une arme : +7 au toucher, allonge 1,50 m, une cible. Touché : 11 (2d6 + 4) dégâts tranchants.</t>
  </si>
  <si>
    <t xml:space="preserve">- Furie effrénée. Après avoir été frappé par une attaque au corps à corps, le tanarukk peut effectuer une attaque au corps à corps avec une arme et avec un avantage contre son attaquant.</t>
  </si>
  <si>
    <t xml:space="preserve">Tapis étouffant</t>
  </si>
  <si>
    <t xml:space="preserve">33 (6d10)</t>
  </si>
  <si>
    <t xml:space="preserve">- Immunités aux dégâts poison, psychique
- Immunités aux états aveuglé, charmé, assourdi, effrayé, paralysé, pétrifié, empoisonné
- Sens vision aveugle 18 m (aveugle au-delà de ce rayon), Perception passive 6
- Sensibilité à l'antimagie. Le tapis est incapable d'agir tant qu'il se trouve dans un champ antimagie. S'il est ciblé par une dissipation de la magie, le tapis doit réussir un jet de sauvegarde de Constitution contre le DD de sort du lanceur de sorts ou tomber inconscient pendant 1 minute.
- Transfert de dégâts. Tant qu'il agrippe une créature, le tapis ne subit que la moitié des dégâts qui lui sont infligés, et la créature agrippée par le tapis en subit l'autre moitié.
- Apparence trompeuse. Tant que le tapis reste immobile, il ne peut être distingué d'un tapis normal.</t>
  </si>
  <si>
    <t xml:space="preserve">- Étouffement. Attaque au corps à corps avec une arme : +5 au toucher, allonge 1,50 m, une créature de taille M ou inférieure. Touché : la créature est agrippée (évasion DD 13). Tant qu'elle est agrippée, la cible est entravée, aveuglée, a un risque d'asphyxie, et le tapis ne peut pas tenter d'étouffer une autre cible. De plus, au début de chacun des tours de la cible, la cible subit 10 (2d6 + 3) dégâts contondants.</t>
  </si>
  <si>
    <t xml:space="preserve">Tarasque</t>
  </si>
  <si>
    <t xml:space="preserve">676 (33d20+330)</t>
  </si>
  <si>
    <t xml:space="preserve">JS INIT+5
JS SAG+9
JS CHA+9</t>
  </si>
  <si>
    <t xml:space="preserve">- Immunités aux dégâts feu, poison ; contondant, perforant et tranchant d'attaques non magiques
- Immunités aux états charmé, effrayé, empoisonné, paralysé
- Sens vision aveugle 36 m, Perception passive 10
- Résistance légendaire (3/jour). Si la tarasque échoue à un jet de sauvegarde, elle peut décider de transformer cet échec en réussite.
- Résistance à la magie. La tarasque a un avantage aux jets de sauvegarde contre les sorts et autres effets magiques.
- Carapace réfléchissante. Chaque fois que la tarasque est ciblée par un sort de projectile magique, un sort dont la zone d'effet est une ligne, ou un sort requérant un jet d'attaque à distance, lancez un d6. De 1 à 5, la tarasque n'est pas affectée. Sur un 6, la tarasque n'est pas affectée, et l'effet est renvoyé vers le lanceur de sorts comme s'il provenait de la tarasque, le lanceur devenant donc la cible.
- Monstre de siège. La tarasque inflige le double des dégâts aux objets et structures qu'elle attaque.</t>
  </si>
  <si>
    <t xml:space="preserve">- Attaques multiples. La tarasque peut utiliser sa Présence effrayante. Elle effectue ensuite cinq attaques : une de morsure, deux avec ses griffes, une avec ses cornes, et une avec sa queue. Elle peut utiliser Engloutissement à la place de sa morsure.
- Cornes. Attaque au corps à corps avec une arme : +19 au toucher, allonge 3 m, une cible. Touché : 32 (4d10 + 10) dégâts perforants.
- Griffes. Attaque au corps à corps avec une arme : +19 au toucher, allonge 4,50 m, une cible. Touché : 28 (4d8 + 10) dégâts tranchants.
- Morsure. Attaque au corps à corps avec une arme : +19 au toucher, allonge 3 m, une cible. Touché : 36 (4d12 + 10) dégâts perforants. Si la cible est une créature, elle est agrippée (évasion DD 20). Tant qu'elle est agrippée, la créature est entravée, et la tarasque ne peut pas mordre une autre cible.
- Queue. Attaque au corps à corps avec une arme : +19 au toucher, allonge 6 m, une cible. Touché : 24 (4d6 + 10) dégâts contondants. Si la cible est une créature, elle doit réussir un jet de sauvegarde de Force DD 20 ou tomber à terre.
- Présence effrayante. Chaque créature choisie par la tarasque, se trouvant à 36 mètres d'elle et consciente de sa présence, doit réussir un jet de sauvegarde de Sagesse DD 17 ou être effrayée pendant 1 minute. Une créature peut retenter le jet de sauvegarde à la fin de chacun de ses tours, avec un désavantage si la tarasque est dans la ligne de vue, mettant fin à l'effet qui l'affecte en cas de réussite. Si le jet de sauvegarde d'une créature est réussi ou que l'effet qu'elle subit prend fin, celle-ci devient immunisée à la Présence effrayante de la tarasque pendant les prochaines 24 heures.
- Engloutissement. La tarasque effectue une attaque de morsure contre une créature de taille G ou inférieure qu'elle agrippe. Si l'attaque réussit, la créature subit les dégâts de la morsure et est avalée, et elle n'est plus agrippée. Une fois avalée, la créature est aveuglée et entravée, bénéficie d'un abri total contre les attaques et effets provenant de l'extérieur de la tarasque, et subit 56 (16d6) dégâts d'acide au début de chaque tour de la tarasque. Si la tarasque subit 60 points de dégâts ou plus en un seul tour de la part d'une créature avalée, la tarasque doit réussir un jet de sauvegarde de Constitution DD 20 à la fin de ce tour ou régurgiter toutes les créatures qu'elle a avalées, qui se retrouveront alors à terre, à 3 mètres ou moins de la tarasque. Si la tarasque meurt, une créature avalée n'est plus entravée et peut s'échapper du cadavre en utilisant 9 mètres de mouvement pour se retrouver à l'extérieur et à terre.</t>
  </si>
  <si>
    <t xml:space="preserve">- La tarasque peut effectuer 3 actions légendaires, en choisissant parmi les options suivantes. Une seule action légendaire peut être utilisée à la fois, et seulement à la fin du tour d'une autre créature. La tarasque récupère les actions légendaires dépensées au début de son tour.
- Attaque. La tarasque effectue une attaque avec ses griffes ou avec sa queue.
- Déplacement. La tarasque se déplace de la moitié de sa vitesse.
- Mastication (coûte 2 actions). La tarasque effectue une attaque de morsure ou utilise Engloutissement.</t>
  </si>
  <si>
    <t xml:space="preserve">Tarrben, Ecclésiastique</t>
  </si>
  <si>
    <t xml:space="preserve">Médecine +-7, Persuasion +3,
Religion +4
Sens Perception passive 13</t>
  </si>
  <si>
    <t xml:space="preserve">Nain et commun</t>
  </si>
  <si>
    <t xml:space="preserve">-Distinction divine. Bonus : dépense 1 emplacement de sort → pendant 1 tour, chaque attaque de mêlée qui touche inflige +3d6 radiants. +1d6 par niveau de sort au-dessus du 1.
-Incantation. DD jet sauvegarde (Sag). DD 13,
+5 attaques de sort.
Tours de magie. Flamme sacrée, lumière, thaumaturgie.
Niv. 1 (4 emplacements sorts). Injonction, sanctuaire, soin des blessures.
Niv. 2 (3 emplacements sorts). Arme spirituelle, restauration inférieure.
Niv. 3 (2 emplacements sorts). Esprits gardiens.</t>
  </si>
  <si>
    <t xml:space="preserve">Marteau de guerre. CAC: +2 pour toucher 5(1d8) dégâts contondants.</t>
  </si>
  <si>
    <t xml:space="preserve">Témoin spirituel</t>
  </si>
  <si>
    <t xml:space="preserve">Perception+8
JS INT+5
JS SAG+5</t>
  </si>
  <si>
    <t xml:space="preserve">profond, commun des profondeurs, télépathie 180 m</t>
  </si>
  <si>
    <t xml:space="preserve">- Immunités aux états à terre
- Sens vision dans le noir 36 m, Perception passive 18
- Relai télépathique. Lorsque le témoin spirituel reçoit un message télépathique, il peut télépathiquement partager ce message à sept autres créatures maximum se trouvant dans un rayon de 180 mètres autour de lui et qu'il peut voir.</t>
  </si>
  <si>
    <t xml:space="preserve">- Attaques multiples. Le témoin spirituel effectue deux attaques : une avec ses tentacules et une de morsure.
- Morsure. Attaque au corps à corps avec une arme : +5 au toucher, allonge 1,50 m, une créature. Touché : 16 (4d6 + 2) dégâts perforants.
- Tentacules. Attaque au corps à corps avec une arme : +5 au toucher, allonge 1,50 m, une créature. Touché : 20 (4d8 + 2) dégâts psychiques. Si la cible est de taille G ou inférieure, elle est agrippée (évasion DD 13) et doit réussir un jet de sauvegarde d'Intelligence DD 13 ou être étourdie tant qu'elle est agrippée.
- Rayons oculaires. Le témoin spirituel tire aléatoirement trois des rayons oculaires magiques suivants (relancez les jets identiques) sur une à trois cibles qu'il peut voir dans un rayon de 36 mètres :
  1- Rayon de dégoût. La créature ciblée doit effectuer un jet de sauvegarde de Charisme DD 13. En cas d'échec, la cible a un désavantage aux jets d'attaque pendant 1 minute. La cible peut retenter son jet de sauvegarde à la fin de chacun de ses tours, mettant fin à l'effet qui l'affecte en cas de réussite.
  2- Rayon de peur. La créature ciblée doit réussir un jet de sauvegarde de Sagesse DD 13 ou être effrayée pendant 1 minute. La cible peut retenter ce jet de sauvegarde à la fin de chacun de ses tours, mettant fin à l'effet qui l'affecte en cas de réussite.
  3- Rayon psychique. La cible doit réussir un jet de sauvegarde d'Intelligence DD 13 ou subir 27 (6d8) dégâts psychiques.
  4- Rayon de lenteur. La créature ciblée doit effectuer un jet de sauvegarde de Dextérité DD 13. En cas d'échec, la vitesse de déplacement de la cible est réduite de moitié pendant 1 minute. De plus, la créature ne peut pas utiliser de réaction, et ne peut utiliser qu'une action ou qu'une action bonus pendant son tour, mais pas les deux. La créature peut retenter ce jet de sauvegarde à la fin de chacun de ses tours, mettant fin à l'effet qui l'affecte en cas de réussite.
  5- Rayon étourdissant. La créature ciblée doit réussir un jet de sauvegarde de Constitution DD 13 ou être étourdie pendant 1 minute. La cible peut retenter ce jet de sauvegarde à la fin de chacun de ses tours, mettant fin à l'effet qui l'affecte en cas de réussite.
  6- Rayon télékinétique. Si la cible est une créature, elle doit effectuer un jet de sauvegarde de Force DD 13. En cas d'échec, le témoin spirituel la déplace sur 9 mètres maximum dans n'importe quelle direction, et elle est entravée par la prise du rayon télékinétique jusqu'au début du prochain tour du témoin spirituel ou jusqu'à ce que le témoin spirituel soit incapable d'agir. Si la cible est un objet, pesant 150 kg ou moins, qui n'est pas tenu ni porté, il est déplacé de 9 mètres dans n'importe quelle direction. Le témoin spirituel peut également exercer un contrôle très fin sur les objets grâce à ce rayon, comme manipuler un simple outil ou ouvrir une porte ou un conteneur.</t>
  </si>
  <si>
    <t xml:space="preserve">Tertre errant</t>
  </si>
  <si>
    <t xml:space="preserve">- Immunités aux dégâts foudre
- Immunités aux états aveuglé, assourdi, épuisement
- Sens vision aveugle 18 m (aveugle au-delà de ce rayon), Perception passive 10
- Absorption de foudre. Lorsque le tertre errant est affecté par des dégâts de foudre, il ne subit aucun dégât et récupère un nombre de points de vie égal au montant des dégâts de foudre.</t>
  </si>
  <si>
    <t xml:space="preserve">- Attaques multiples. Le tertre errant effectue deux attaques de coup. Si ces deux attaques touchent une cible de taille M ou inférieure, la cible est agrippée (évasion DD 14) et le tertre errant utilise son Engloutissement sur la cible.
- Coup. Attaque au corps à corps avec une arme : +7 au toucher, allonge 1,50 m, une cible. Touché : 13 (2d8 + 4) dégâts contondants.
- Engloutissement. Le tertre errant engloutit une créature de taille M ou inférieure qu'il a agrippée. La cible engloutie est aveuglée, entravée, incapable de respirer, et elle doit réussir un jet de sauvegarde de Constitution DD 14 au début de chacun des tours du tertre errant ou subir 13 (2d8 + 4) dégâts contondants. Si le tertre errant se déplace, la cible engloutie se déplace avec lui. Le tertre errant ne peut contenir qu'une seule créature engloutie à la fois.</t>
  </si>
  <si>
    <t xml:space="preserve">Tête de cheval</t>
  </si>
  <si>
    <t xml:space="preserve">Humanoïde </t>
  </si>
  <si>
    <t xml:space="preserve">51 (8d8+16)</t>
  </si>
  <si>
    <t xml:space="preserve">Js For +4, Js Dex +5, Js Sag +2
Compétences : Athlétisme +4, Supercherie +4</t>
  </si>
  <si>
    <t xml:space="preserve">-Sens Perception passive 10</t>
  </si>
  <si>
    <t xml:space="preserve">-Attaques multiples. Tête-De-Cheval peut porter à chaque tour trois attaques au corps à corps: deux avec son cimeterre et une avec sa dague. Il peut aussi choisir d'effectuer deux attaques à distance avec ses dagues.
-Cimeterre. Attaque d'arme au corps à corps: +5 pour toucher, une cible.
Touché: 6 (1d6+3) dégâts tranchants.
-Dague. Attaque d'arme au corps à corps ou à distance
(portée 6/18 m): +5 pour toucher, une cible.
Touché: 5 (1d4+3) dégâts perforants.</t>
  </si>
  <si>
    <t xml:space="preserve">-Parade. Quand Tête-De-Cheval voit l'ennemi qui l'attaque et qu'il a en main une arme de corps à corps, il peut alors parer: sa CA augmente de +2 face à une attaque de corps à corps qui aurait du le toucher.</t>
  </si>
  <si>
    <t xml:space="preserve">Thri-Kreen</t>
  </si>
  <si>
    <t xml:space="preserve">Humanoïde (thri-kreen)</t>
  </si>
  <si>
    <t xml:space="preserve">Discrétion+4
Perception+3
Survie+3</t>
  </si>
  <si>
    <t xml:space="preserve">thri-kreen</t>
  </si>
  <si>
    <t xml:space="preserve">- Sens vision dans le noir 18 m, Perception passive 13
- Carapace caméléon. Le thri-kreen peut modifier la couleur de sa carapace pour s'adapter aux teintes et aux textures de son environnement. Cela lui permet de bénéficier d'un avantage aux jets de Dextérité (Discrétion) lorsqu'il se cache.
- Saut sans élan. Le thri-kreen peut sauter en longueur jusqu'à 9 mètres ou en hauteur jusqu'à 4,50 mètres, avec ou sans élan.</t>
  </si>
  <si>
    <t xml:space="preserve">- Attaques multiples. Le thri-kreen effectue deux attaques : une de morsure et une avec ses griffes.
- Griffes. Attaque au corps à corps avec une arme : +3 au toucher, allonge 1,50 m, une cible. Touché : 6 (2d4 + 1) dégâts tranchants.
- Morsure. Attaque au corps à corps avec une arme : +3 au toucher, allonge 1,50 m, une créature. Touché : 4 (1d6 + 1) dégâts perforants, et la cible doit réussir un jet de sauvegarde de Constitution DD 11 ou être empoisonnée pendant 1 minute. Si le jet de sauvegarde est raté de 5 points ou plus, la cible est aussi paralysée pendant la même durée. La cible empoisonnée peut retenter le jet de sauvegarde à la fin de chacun de ses tours, mettant fin à l'effet en cas de réussite.</t>
  </si>
  <si>
    <t xml:space="preserve">Tigre</t>
  </si>
  <si>
    <t xml:space="preserve">- Sens vision dans le noir 18 m, Perception passive 13
- Odorat aiguisé. Le tigre a un avantage aux jets de Sagesse (Perception) basés sur l'odorat.
- Bond agressif. Si le tigre se déplace d'au moins 6 mètres en ligne droite vers une créature, puis la touche lors d'une attaque avec ses griffes dans le même tour, la cible doit réussir un jet de sauvegarde de Force DD 13 pour ne pas tomber à terre. Si la cible est à terre, le tigre peut effectuer une attaque de morsure contre elle en tant qu'action bonus.</t>
  </si>
  <si>
    <t xml:space="preserve">- Griffes. Attaque au corps à corps avec une arme : +5 au toucher, allonge 1,50 m, une cible. Touché : 7 (1d8 + 3) dégâts tranchants.
- Morsure. Attaque au corps à corps avec une arme : +5 au toucher, allonge 1,50 m, une cible. Touché : 8 (1d10 + 3) dégâts perforants.</t>
  </si>
  <si>
    <t xml:space="preserve">Tigre à dents de sabre</t>
  </si>
  <si>
    <t xml:space="preserve">- Sens Perception passive 13
- Odorat aiguisé. Le tigre a un avantage aux jets de Sagesse (Perception) basés sur l'odorat.
- Bond agressif. Si le tigre se déplace d'au moins 6 mètres en ligne droite vers une créature, puis la touche lors d'une attaque avec ses griffes dans le même tour, la cible doit réussir un jet de sauvegarde de Force DD 14 pour ne pas tomber à terre. Si la cible est à terre, le tigre peut effectuer une attaque de morsure contre elle en tant qu'action bonus.</t>
  </si>
  <si>
    <t xml:space="preserve">- Griffes. Attaque au corps à corps avec une arme : +6 au toucher, allonge 1,50 m, une cible. Touché : 12 (2d6 + 5) dégâts tranchants.
- Morsure. Attaque au corps à corps avec une arme : +6 au toucher, allonge 1,50 m, une cible. Touché : 10 (1d10 + 5) dégâts perforants.</t>
  </si>
  <si>
    <t xml:space="preserve">Tigre-garou</t>
  </si>
  <si>
    <t xml:space="preserve">9 m (12 m sous forme de tigre)</t>
  </si>
  <si>
    <t xml:space="preserve">commun (ne peut pas parler sous forme de tigre)</t>
  </si>
  <si>
    <t xml:space="preserve">- Immunités aux dégâts contondant, perforant et tranchant d'attaques non magiques qui ne sont pas en argent
- Sens vision dans le noir 18 m, Perception passive 15
- Métamorphe. Le tigre-garou peut utiliser son action pour se métamorphoser en un hybride tigre-humanoïde ou en un tigre, ou pour reprendre sa forme véritable (la forme humanoïde). Mise à part sa taille, ses statistiques sont les mêmes quelle que soit sa forme. L'équipement qu'il porte ou transporte ne se transforme pas. Il retrouve sa forme véritable s'il meurt.
- Odorat et ouïe aiguisés. Le tigre-garou a un avantage aux jets de Sagesse (Perception) basés sur l'odorat ou l'ouïe.
- Bond (forme de tigre ou hybride uniquement). Si le tigre-garou se déplace d'au moins 4,50 mètres en ligne droite vers une créature, puis la touche lors d'une attaque avec ses griffes dans le même tour, la cible doit réussir un jet de sauvegarde de Force DD 14 ou tomber à terre. Si la cible est à terre, le tigre-garou peut effectuer une attaque de morsure contre elle en tant qu'action bonus.</t>
  </si>
  <si>
    <t xml:space="preserve">- Attaques multiples (forme humanoïde ou hybride uniquement). Sous forme d'humanoïde, le tigre-garou effectue deux attaques avec le cimeterre ou deux attaques avec l'arc long. Sous forme hybride, il peut agir comme en forme humanoïde ou effectuer deux attaques avec ses griffes.
- Morsure (forme de tigre ou hybride uniquement). Attaque au corps à corps avec une arme : +5 au toucher, allonge 1,50 m, une cible. Touché : 8 (1d10 + 3) dégâts perforants. Si la cible est un humanoïde, elle doit réussir un jet de sauvegarde de Constitution DD 13 ou être atteinte de la lycanthropie de tigre-garou.
- Griffes (forme de tigre ou hybride uniquement). Attaque au corps à corps avec une arme : +5 au toucher, allonge 1,50 m, une cible. Touché : 7 (1d8 + 3) dégâts tranchants.
- Cimeterre (forme humanoïde ou hybride uniquement). Attaque au corps à corps avec une arme : +5 au toucher, allonge 1,50 m, une cible. Touché : 6 (1d6 + 3) dégâts tranchants.
- Arc long (forme humanoïde ou hybride uniquement). Attaque à distance avec une arme : +4 au toucher, portée 45/180 m, une cible. Touché : 6 (1d8 + 2) dégâts perforants.</t>
  </si>
  <si>
    <t xml:space="preserve">Tlincalli</t>
  </si>
  <si>
    <t xml:space="preserve">Perception+4
Discrétion+4
Survie+4</t>
  </si>
  <si>
    <t xml:space="preserve">tlincalli</t>
  </si>
  <si>
    <t xml:space="preserve">- Sens vision dans le noir 18 m, Perception passive 13</t>
  </si>
  <si>
    <t xml:space="preserve">- Attaques multiples. Le tlincalli effectue deux attaques : une avec son épée longue ou sa chaîne barbelée, et une avec son dard.
- Épée longue. Attaque au corps à corps avec une arme : +6 au toucher, allonge 1,50 m, une cible. Touché : 7 (1d8 + 3) dégâts tranchants, ou 8 (1d10 + 3) dégâts tranchants si utilisée à deux mains.
- Chaîne barbelée. Attaque au corps à corps avec une arme : +6 au toucher, allonge 3 m, une cible. Touché : 6 (1d6 + 3) dégâts perforants, et la cible est agrippée (évasion DD 11) si c'est une créature de taille G ou plus petite. Tant qu'elle est agrippée, la cible est entravée et le tlincalli ne peut plus utiliser la chaîne barbelée contre une autre cible.
- Dard. Attaque au corps à corps avec une arme : +6 au toucher, allonge 1,50 m, une créature. Touché : 6 (1d6 + 3) dégâts perforants + 14 (4d6) dégâts de poison, et la cible doit réussir un jet de sauvegarde de Constitution DD 14 ou être empoisonnée pendant 1 minute. Si le jet de sauvegarde échoue de 5 ou plus, la cible est également paralysée tant qu'elle est empoisonnée de la sorte. La cible peut retenter son jet de sauvegarde à la fin de chacun de ses tours, mettant fin à l'effet qui l'affecte en cas de réussite</t>
  </si>
  <si>
    <t xml:space="preserve">Torve</t>
  </si>
  <si>
    <t xml:space="preserve">Humanoïde (torve)</t>
  </si>
  <si>
    <t xml:space="preserve">Athlétisme+5
Discrétion+3
Perception+3</t>
  </si>
  <si>
    <t xml:space="preserve">- Immunités aux états aveuglé
- Sens vision aveugle 9 m ou 3 m tant qu'il est assourdi (aveugle au-delà de ce rayon), Perception passive 13
- Sens aveugles. Le torve ne peut pas utiliser sa vision aveugle tant qu'il est assourdi et a perdu son odorat.
- Odorat et ouïe aiguisés. Le torve a un avantage aux jets de Sagesse (Perception) basés sur l'odorat ou l'ouïe.
- Camouflage dans les rochers. Le torve a un avantage aux jets de Dextérité (Discrétion) effectués pour se cacher sur un terrain rocailleux.</t>
  </si>
  <si>
    <t xml:space="preserve">- Gourdin d'os hérissé de pointes. Attaque au corps à corps avec une arme : +5 au toucher, allonge 1,50 m, une cible. Touché : 5 (1d4 + 3) dégâts contondants + 2 (1d4) dégâts perforants.</t>
  </si>
  <si>
    <t xml:space="preserve">Transmutateur</t>
  </si>
  <si>
    <t xml:space="preserve">- Sens Perception passive 11
- Incantation. Le transmutateur est un lanceur de sorts de niveau 9. Sa caractéristique d'incantation est l'Intelligence (jet de sauvegarde contre ses sorts DD 14, +6 au toucher pour les attaques avec un sort). Il a préparé les sorts de magicien suivants :
  - Sorts mineurs (à volonté) : lumière, réparation, , rayon de givre
  - Niveau 1 (4 emplacements) : orbe chromatique, repli expéditif*, armure de mage
  - Niveau 2 (3 emplacements) : modification d'apparence*, immobilisation de personne, déblocage*
  - Niveau 3 (3 emplacements) : clignotement*, boule de feu, lenteur*
  - Niveau 4 (3 emplacements) : métamorphose*, peau de pierre
  - Niveau 5 (1 emplacement) : télékinésie*
* sort de transmutation de niveau 1 ou supérieur
- Pierre du transmutateur. Le transmutateur porte une pierre magique qu'il a lui-même confectionnée et qui confère à son porteur l'un des effets suivants :
• vision dans le noir 18 mètres
• 3 mètres de vitesse supplémentaires si le porteur n'est pas encombré
• Maîtrise des jets de sauvegarde de Constitution
• Résistance aux dommages causés par l'acide, le froid, le feu, la foudre ou le tonnerre (au choix du transmutateur lorsqu'il choisit cet avantage)
Si le transmutateur a la pierre et lance un sort de transmutation de niveau 1 ou supérieur, il peut changer l'effet de la pierre.</t>
  </si>
  <si>
    <t xml:space="preserve">Traqueur gluant</t>
  </si>
  <si>
    <t xml:space="preserve">9 m, escalade 9 m, nage 9 m</t>
  </si>
  <si>
    <t xml:space="preserve">Discrétion+8</t>
  </si>
  <si>
    <t xml:space="preserve">comprend les langues de sa forme précédente mais ne peut parler</t>
  </si>
  <si>
    <t xml:space="preserve">- Vulnérabilités aux dégâts froid, feu
- Résistances aux dégâts contondant, perforant et tranchant d'attaques non magiques
- Immunités aux états aveuglé, assourdi, épuisement, agrippé, paralysé, pétrifié, à terre, entravé, inconscient
- Sens vision aveugle 36 m, Perception passive 12
- Embuscade. Au cours du premier round, le traqueur gluant a un avantage aux jets d'attaque effectués contre toute créature qu'il a surprise.
- Transfert de dégâts. Tant qu'il agrippe une créature, le traqueur gluant ne subit que la moitié des dégâts qui lui sont infligés, et la créature qu'il agrippe subit l'autre moitié.
- Apparence trompeuse. Tant que le traqueur gluant reste immobile, il ne peut être distingué d'une flaque, à moins qu'un observateur réussisse un jet d'Intelligence (Investigation) DD 18.
- Fin traqueur. Le traqueur gluant a un avantage aux jets de Sagesse effectués pour traquer une proie.
- Forme liquide. Le traqueur gluant peut entrer dans l'espace occupé par une créature hostile et s'y arrêter. Il peut également traverser un espace large de 2,50 centimètres au minimum sans être considéré comme se déplaçant dans un espace étroit.
- Pattes d'araignée. Le traqueur gluant peut escalader des surfaces difficiles et être au plafond la tête en bas sans avoir besoin d'effectuer un jet de caractéristique.
- Discrétion aqueuse. Tant qu'il est sous l'eau, le traqueur gluant a un avantage aux jets de Dextérité (Discrétion) qu'il effectue pour se cacher, et il peut utiliser l'action Se cacher en utilisant une action bonus.</t>
  </si>
  <si>
    <t xml:space="preserve">- Coup. Attaque au corps à corps avec une arme : +5 au toucher, allonge 1,50 m, une cible. Touché : 8 (1d10 + 3) dégâts contondants.
- Suceur de vie. Une créature de taille G ou inférieure que le traqueur gluant peut voir dans un rayon de 1,50 mètre autour de lui doit réussir un jet de sauvegarde de Dextérité DD 13 ou être agrippée (évasion DD 13). Tant qu'elle est agrippée, la cible est entravée et incapable de respirer (à moins qu'elle ne puisse respirer sous l'eau). De plus, la cible agrippée subit 16 (3d10) dégâts nécrotiques au début de chacun de ses tours. Le traqueur gluant ne peut agripper qu'une seule cible à la fois.</t>
  </si>
  <si>
    <t xml:space="preserve">Traqueur invisible</t>
  </si>
  <si>
    <t xml:space="preserve">15 m, vol 15 m (stationnaire)</t>
  </si>
  <si>
    <t xml:space="preserve">Discrétion+10
Perception+8</t>
  </si>
  <si>
    <t xml:space="preserve">aérien, comprend le commun</t>
  </si>
  <si>
    <t xml:space="preserve">- Résistances aux dégâts contondant, perforant et tranchant d'attaques non magiques
- Immunités aux dégâts poison
- Immunités aux états épuisement, agrippé, paralysé, pétrifié, empoisonné, à terre, entravé, inconscient
- Sens vision dans le noir 18 m, Perception passive 18
- Invisibilité. Le traqueur est invisible.
- Traqueur irréprochable. Le traqueur reçoit une cible de la part de son invocateur. Le traqueur connaît la direction et la distance qui le sépare de sa cible tant qu'ils se trouvent tous les deux dans le même plan d'existence. Le traqueur sait également où se trouve son invocateur.</t>
  </si>
  <si>
    <t xml:space="preserve">Attaques multiples. Le traqueur invisible effectue deux attaques de coup.
- Coup. Attaque au corps à corps avec une arme : +6 au toucher, allonge 1,50 m, une cible. Touché : 10 (2d6 + 3) dégâts contondants</t>
  </si>
  <si>
    <t xml:space="preserve">Tricératops</t>
  </si>
  <si>
    <t xml:space="preserve">95 (10d12+30)</t>
  </si>
  <si>
    <t xml:space="preserve">- Sens Perception passive 10
- Charge écrasante. Si le tricératops se déplace d'au moins 6 mètres en ligne droite vers une créature, puis la touche lors d'une attaque avec sa corne dans le même tour, la cible doit réussir un jet de sauvegarde de Force DD 13 ou tomber à terre. Si la cible est à terre, le tricératops peut faire une attaque de piétinement contre celle-ci par une action bonus.</t>
  </si>
  <si>
    <t xml:space="preserve">- Corne. Attaque au corps à corps avec une arme : +9 au toucher, allonge 1,50 m, une cible. Touché : 24 (4d8 + 6) dégâts perforants.
- Piétinement. Attaque au corps à corps avec une arme : +9 au toucher, allonge 1,50 m, une créature à terre. Touché : 22 (3d10 + 6) dégâts contondants.</t>
  </si>
  <si>
    <t xml:space="preserve">Tridrone</t>
  </si>
  <si>
    <t xml:space="preserve">- Sens vision véritable 36 m, Perception passive 10
- Esprit axiomatique. Le tridrone ne peut être contraint à agir d'une manière contraire à sa nature ou aux instructions qu'il a reçues.
- Désintégration. Si le tridrone meurt, son corps se désintègre et tombe en poussière, ne derrière lui que ses armes et tout ce qu'il portait..</t>
  </si>
  <si>
    <t xml:space="preserve">- Attaques multiples. Le tridrone effectue trois attaques de coup ou trois attaques avec la javeline.
- Poing. Attaque au corps à corps avec une arme : +3 au toucher, allonge 1,50 m, une cible. Touché : 3 (1d4 + 1) dégâts contondants.
- Javeline. Attaque au corps à corps ou à distance avec une arme : +3 au toucher, allonge 1,50 m ou portée 9/36 m, une cible. Touché : 4 (1d6 + 1) dégâts perforants.</t>
  </si>
  <si>
    <t xml:space="preserve">Triton du feu, guerrier</t>
  </si>
  <si>
    <t xml:space="preserve">Humanoïde (triton du feu)</t>
  </si>
  <si>
    <t xml:space="preserve">draconique, igné</t>
  </si>
  <si>
    <t xml:space="preserve">- Immunités aux dégâts feu
- Sens Perception passive 10
- Amphibien. Le triton du feu peut respirer aussi bien dans l'air que sous l'eau.</t>
  </si>
  <si>
    <t xml:space="preserve">- Attaques multiples. Le triton du feu effectue deux attaques avec son cimeterre.
- Cimeterre. Attaque au corps à corps avec une arme : +3 au toucher, allonge 1,50 m, une cible. Touché : 4 (1d6 + 1) dégâts tranchants.
- Cracheur de feu (Recharge après un repos court ou long). Le triton du feu crache du feu sur une créature à 3 mètres ou moins d'elle. La créature doit effectuer un jet de sauvegarde de Dextérité DD 11, subissant 9 (2d8) dégâts de feu en cas d'échec, ou la moitié de ces dégâts en cas de réussite.</t>
  </si>
  <si>
    <t xml:space="preserve">Triton du feu, occultiste d'Imix</t>
  </si>
  <si>
    <t xml:space="preserve">- Immunités aux dégâts feu
- Sens vision dans le noir 36 m (traverse les ténèbres magiques), Perception passive 10
- Amphibien. Le triton du feu peut respirer aussi bien dans l'air que sous l'eau.
- Incantation innée. La caractéristique d'incantation innée du triton du feu est le Charisme. Il peut lancer armure de mage de manière innée (uniquement sur lui-même) à volonté, sans avoir besoin de composantes matérielles.
- Incantation. Le triton du feu est un lanceur de sorts de niveau 3. Sa caractéristique d'incantation est le Charisme (jet de sauvegarde contre ses sorts DD 12, +4 au toucher pour les attaques avec un sort). Il retrouve ses emplacements de sorts utilisés lorsqu'il termine un repos court ou long. Il connaît les sorts d'occultiste suivants :
  - Sorts mineurs (à volonté) : trait de feu, assistance, lumière, main de mage, prestidigitation
  - Niveaux 1-2 (2 emplacements de niveau 2) : mains brûlantes, sphère de feu, représailles infernales, rayon ardent
- Bénédiction d'Imix. Lorsque le triton du feu réduit un ennemi à 0 point de vie, le triton du feu gagne 5 points de vie temporaires.</t>
  </si>
  <si>
    <t xml:space="preserve">- Morgenstern. Attaque au corps à corps avec une arme : +3 au toucher, allonge 1,50 m, une cible. Touché : 5 (1d8 + 1) dégâts perforants.</t>
  </si>
  <si>
    <t xml:space="preserve">Troglodyte</t>
  </si>
  <si>
    <t xml:space="preserve">Humanoïde (troglodyte)</t>
  </si>
  <si>
    <t xml:space="preserve">troglodyte</t>
  </si>
  <si>
    <t xml:space="preserve">- Sens vision dans le noir 18 m, Perception passive 10
- Peau de caméléon. Le troglodyte a un avantage aux jets de Dextérité (Discrétion) effectués pour se cacher.
- Puanteur. Une créature, autre qu'un troglodyte, qui commence son tour à 1,50 mètre du troglodyte doit réussir un jet de sauvegarde de Constitution DD 12 ou être empoisonnée jusqu'au début de son prochain tour. En cas de jet de sauvegarde réussi, la créature est immunisée contre la puanteur de tous les troglodytes pendant 1 heure.
- Sensibilité au soleil. S'il est exposé à la lumière du soleil, le troglodyte a un désavantage aux jets d'attaque et aux jets de Sagesse (Perception) basés sur la vue.</t>
  </si>
  <si>
    <t xml:space="preserve">Attaques multiples. Le troglodyte effectue trois attaques : une de morsure et deux avec ses griffes.
- Morsure. Attaque au corps à corps avec une arme : +4 au toucher, allonge 1,50 m, une cible. Touché : 4 (1d4 + 2) dégâts perforants.
- Griffes. Attaque au corps à corps avec une arme : +4 au toucher, allonge 1,50 m, une cible. Touché : 4 (1d4 + 2) dégâts tranchants.</t>
  </si>
  <si>
    <t xml:space="preserve">Troll</t>
  </si>
  <si>
    <t xml:space="preserve">- Sens vision dans le noir 18 m, Perception passive 12
- Odorat aiguisé. Le troll a un avantage aux jets de Sagesse (Perception) basés sur l'odorat.
- Régénération. Le troll régénère 10 points de vie au début de son tour. Si le troll subit des dégâts d'acide ou de feu, ce trait ne fonctionne pas au début de son prochain tour. Le troll ne meurt que s'il débute son tour avec 0 point de vie et qu'il ne se régénère pas.</t>
  </si>
  <si>
    <t xml:space="preserve">- Attaques multiples. Le troll effectue trois attaques : une de morsure et deux avec ses griffes.
- Griffes. Attaque au corps à corps avec une arme : +7 au toucher, allonge 1,50 m, une cible. Touché : 11 (2d6 + 4) dégâts tranchants.
- Morsure. Attaque au corps à corps avec une arme : +7 au toucher, allonge 1,50 m, une cible. Touché : 7 (1d6 + 4) dégâts perforants.</t>
  </si>
  <si>
    <t xml:space="preserve">Tyramort</t>
  </si>
  <si>
    <t xml:space="preserve">187 (25d10+50)</t>
  </si>
  <si>
    <t xml:space="preserve">Perception+12
JS FOR+5
JS CON+7
JS INT+9
JS SAG+7
JS CHA+9</t>
  </si>
  <si>
    <t xml:space="preserve">- Immunités aux dégâts poison
- Immunités aux états charmé, épuisement, paralysé, pétrifié, empoisonné, à terre
- Sens vision dans le noir 36 m, Perception passive 22
- Cône d'énergie négative. L'œil central du tyramort émet de l'énergie négative dans un invisible cône magique de 45 mètres. Au début de chacun de ses tours, le tyramort décide de quel côté il tourne ce cône et s'il active ce cône. Aucune créature dans la zone ne peut récupérer de point de vie. Tout humanoïde qui meurt dans la zone devient un zombi sous le contrôle du tyramort. Un humanoïde mort conserve son tour dans l'ordre d'initiative et s'anime au début de son tour suivant, à condition que son corps n'ait pas été complètement détruit.</t>
  </si>
  <si>
    <t xml:space="preserve">- Morsure. Attaque au corps à corps avec une arme : +5 au toucher, allonge 1,50 m, une cible. Touché : 14 (4d6) dégâts perforants.
- Rayons oculaires. Le tyramort tire aléatoirement trois des rayons oculaires magiques suivants (relancez les jets identiques) sur une à trois cibles qu'il peut voir dans un rayon de 36 mètres :
  1- Rayon de charme. La créature ciblée doit réussir un jet de sauvegarde de Sagesse DD 17 ou être charmée par le tyramort pendant 1 heure, ou jusqu'à ce que le tyramort nuise à la créature.
  2- Rayon paralysant. La créature ciblée doit réussir un jet de sauvegarde de Constitution DD 17 ou être paralysée pendant 1 minute. La cible peut retenter ce jet de sauvegarde à la fin de chacun de ses tours, mettant fin à l'effet qui l'affecte en cas de réussite.
  3- Rayon de peur. La créature ciblée doit réussir un jet de sauvegarde de Sagesse DD 17 ou être effrayée pendant 1 minute. La cible peut retenter ce jet de sauvegarde à la fin de chacun de ses tours, mettant fin à l'effet qui l'affecte en cas de réussite.
  4- Rayon de lenteur. La créature ciblée doit réussir un jet de sauvegarde de Dextérité DD 17. En cas d'échec, la vitesse de déplacement de la cible est diminuée de moitié pendant 1 minute. De plus, la créature ne peut pas utiliser de réaction, ne peut utiliser qu'une action ou qu'une action bonus pendant son tour, mais pas les deux. La créature peut retenter ce jet de sauvegarde à la fin de chacun de ses tours, mettant fin à l'effet qui l'affecte en cas de réussite.
  5- Rayon affaiblissant. La créature ciblée doit effectuer un jet de sauvegarde de Constitution DD 17, subissant 36 (8d8) dégâts nécrotiques en cas d'échec, ou la moitié de ces dégâts en cas de réussite.
  6- Rayon télékinétique. Si la cible est une créature, elle doit réussir un jet de sauvegarde de Force DD 17 ou être déplacée par le tyramort sur 9 mètres dans n'importe quelle direction. Elle est entravée par la prise du rayon télékinétique jusqu'au début du prochain tour du tyramort ou jusqu'à ce que le tyramort soit incapable d'agir. Si la cible est un objet, pesant 150 kg ou moins, qui n'est pas tenu ni porté, il est déplacé de 9 mètres dans n'importe quelle direction. Le tyramort peut également exercer un contrôle très fin sur les objets grâce à ce rayon, comme manipuler un simple outil ou ouvrir une porte ou un contenant.
  7- Rayon de sommeil. La créature ciblée doit réussir un jet de sauvegarde de Sagesse DD 17 ou être endormie et rester inconsciente pendant 1 minute. La cible se réveille si elle subit des dégâts ou si une autre créature utilise une action pour la réveiller. Ce rayon n'a pas d'effet sur les morts-vivants et les artificiels.
  8- Rayon de pétrification. La créature ciblée doit effectuer un jet de sauvegarde de Dextérité DD 17. En cas d'échec au jet, la créature commence à se transformer en pierre et est entravée. Elle doit retenter ce jet de sauvegarde à la fin de son prochain tour. En cas de réussite, l'effet prend fin. En cas d'échec, la créature est pétrifiée jusqu'à ce qu'elle soit libérée par un sort de restauration supérieure ou une autre magie.
  9- Rayon de désintégration. Si la cible est une créature, elle doit réussir un jet de sauvegarde de Dextérité DD 17 ou subir 45 (10d8) dégâts de force. Si les dégâts font tomber les points de vie d'une créature à 0, son corps se transforme en un petit monticule de fine poussière grise. Si la cible est un objet non magique, ou la création d'une force magique, de taille G ou inférieure, il est désintégré sans jet de sauvegarde. Si la cible est un objet, ou la création d'une force magique, de taille TG ou supérieure, le rayon en désintègre un cube de 3 mètres d'arête.
  10- Rayon de mort. La créature ciblée doit réussir un jet de sauvegarde de Dextérité DD 17 ou subir 55 (10d10) dégâts nécrotiques. La créature meurt si le rayon la fait tomber à 0 point de vie.</t>
  </si>
  <si>
    <t xml:space="preserve">- Le tyramort peut effectuer 3 actions légendaires, utilisant à chaque fois l'option Rayon oculaire ci-dessous. Il ne peut utiliser qu'une seule action légendaire à la fois, et seulement à la fin du tour d'une créature. Le tyramort récupère les actions légendaires dépensées au début de son tour.
- Rayon oculaire. Le tyramort utilise un rayon oculaire aléatoire.</t>
  </si>
  <si>
    <t xml:space="preserve">Tyrannoeil</t>
  </si>
  <si>
    <t xml:space="preserve">Perception+12
JS INT+8
JS SAG+7
JS CHA+8</t>
  </si>
  <si>
    <t xml:space="preserve">- Immunités aux états à terre
- Sens vision dans le noir 36 m, Perception passive 22
- Cône d'antimagie. L'œil central du tyrannoeil crée une zone d'antimagie, comme un sort de champ antimagie, dans un cône de 45 mètres. Au début de chacun de ses tours, le tyrannoeil décide de l'orientation du cône et s'il active ce cône. La zone fonctionne également contre les rayons oculaires de ce tyrannoeil.</t>
  </si>
  <si>
    <t xml:space="preserve">- Morsure. Attaque au corps à corps avec une arme : +5 au toucher, allonge 1,50 m, une cible. Touché : 14 (4d6) dégâts perforants.
- Rayons oculaires. Le tyrannoeil tire aléatoirement trois des rayons oculaires magiques suivants (relancez les jets identiques) sur une à trois cibles qu'il peut voir dans un rayon de 36 mètres :
  1- Rayon de charme. La créature ciblée doit réussir un jet de sauvegarde de Sagesse DD 16 ou être charmée par le tyrannoeil pendant 1 heure, ou jusqu'à ce que le tyrannoeil nuise à la créature.
  2- Rayon paralysant. La créature ciblée doit réussir un jet de sauvegarde de Constitution DD 16 ou être paralysée pendant 1 minute. La cible peut retenter ce jet de sauvegarde à la fin de chacun de ses tours, mettant fin à l'effet qui l'affecte en cas de réussite.
  3- Rayon de peur. La créature ciblée doit réussir un jet de sauvegarde de Sagesse DD 16 ou être effrayée pendant 1 minute. La cible peut retenter ce jet de sauvegarde à la fin de chacun de ses tours, mettant fin à l'effet qui l'affecte en cas de réussite.
  4- Rayon de lenteur. La créature ciblée doit réussir un jet de sauvegarde de Dextérité DD 16. En cas d'échec, la vitesse de déplacement de la cible est diminuée de moitié pendant 1 minute. De plus, la créature ne peut pas utiliser de réaction, ne peut utiliser qu'une action ou qu'une action bonus pendant son tour, mais pas les deux. La créature peut retenter ce jet de sauvegarde à la fin de chacun de ses tours, mettant fin à l'effet qui l'affecte en cas de réussite.
  5- Rayon affaiblissant. La créature ciblée doit effectuer un jet de sauvegarde de Constitution DD 16, subissant 36 (8d8) dégâts nécrotiques en cas d'échec, ou la moitié de ces dégâts en cas de réussite.
  6- Rayon télékinétique. Si la cible est une créature, elle doit réussir un jet de sauvegarde de Force DD 16 ou être déplacée par le tyrannoeil sur 9 mètres dans n'importe quelle direction. Elle est entravée par la prise du rayon télékinétique jusqu'au début du prochain tour du tyrannoeil ou jusqu'à ce que le tyrannoeil soit incapable d'agir. Si la cible est un objet, pesant 150 kg ou moins, qui n'est pas tenu ni porté, il est déplacé de 9 mètres dans n'importe quelle direction. Le tyrannoeil peut également exercer un contrôle très fin sur les objets grâce à ce rayon, comme manipuler un simple outil ou ouvrir une porte ou un contenant.
  7- Rayon de sommeil. La créature ciblée doit réussir un jet de sauvegarde de Sagesse DD 16 ou être endormie et rester inconsciente pendant 1 minute. La cible se réveille si elle subit des dégâts ou si une autre créature utilise une action pour la réveiller. Ce rayon n'a pas d'effet sur les morts-vivants et les artificiels.
  8- Rayon de pétrification. La créature ciblée doit effectuer un jet de sauvegarde de Dextérité DD 16. En cas d'échec au jet, la créature commence à se transformer en pierre et est entravée. Elle doit retenter ce jet de sauvegarde à la fin de son prochain tour. En cas de réussite, l'effet prend fin. En cas d'échec, la créature est pétrifiée jusqu'à ce qu'elle soit libérée par un sort de restauration supérieure ou une autre magie.
  9- Rayon de désintégration. Si la cible est une créature, elle doit réussir un jet de sauvegarde de Dextérité DD 16 ou subir 45 (10d8) dégâts de force. Si les dégâts font tomber les points de vie d'une créature à 0, son corps se transforme en un petit monticule de fine poussière grise. Si la cible est un objet non magique, ou la création d'une force magique, de taille G ou inférieure, il est désintégré sans jet de sauvegarde. Si la cible est un objet, ou la création d'une force magique, de taille TG ou supérieure, le rayon en désintègre un cube de 3 mètres d'arête.
  10- Rayon de mort. La créature ciblée doit réussir un jet de sauvegarde de Dextérité DD 16 ou subir 55 (10d10) dégâts nécrotiques. La créature meurt si le rayon la fait tomber à 0 point de vie.</t>
  </si>
  <si>
    <t xml:space="preserve">Le tyrannoeil peut effectuer 3 actions légendaires, utilisant à chaque fois l'option Rayon oculaire ci-dessous. Il ne peut utiliser qu'une seule action légendaire à la fois, et seulement à la fin du tour d'une créature. Le tyrannoeil récupère les actions légendaires dépensées au début de son tour.
- Rayon oculaire. Le tyrannoeil utilise un rayon oculaire aléatoire.</t>
  </si>
  <si>
    <t xml:space="preserve">Tyrannosaure</t>
  </si>
  <si>
    <t xml:space="preserve">136 (13d12+52)</t>
  </si>
  <si>
    <t xml:space="preserve">Attaques multiples. Le tyrannosaure effectue deux attaques : une de morsure et une avec sa queue. Il ne peut pas faire les deux attaques contre la même cible.
- Morsure. Attaque au corps à corps avec une arme : +10 au toucher, allonge 3 m, une cible. Touché : 33 (4d12 + 7) dégâts perforants. Si la cible est une créature de taille M ou plus petite, elle est agrippée (évasion DD 17). Tant qu'elle est agrippée, la cible est entravée, et le tyrannosaure ne peut pas mordre une autre cible.
- Queue. Attaque au corps à corps avec une arme : +10 au toucher, allonge 3 m, une cible. Touché : 20 (3d8 + 7) dégâts contondants.</t>
  </si>
  <si>
    <t xml:space="preserve">Ulitharid</t>
  </si>
  <si>
    <t xml:space="preserve">127 (17d10+34)</t>
  </si>
  <si>
    <t xml:space="preserve">Arcanes +9
Discrétion +5
Intuition +8
Perception +8
JS INT+9
JS SAG+8
JS CHA+9</t>
  </si>
  <si>
    <t xml:space="preserve">profond, commun des profondeurs, télépathie 3 kilomètres</t>
  </si>
  <si>
    <t xml:space="preserve">- Sens vision dans le noir 36 m, Perception passive 18
- Perception des créatures. L'ulitharide est conscient de la présence des créatures se trouvant dans un rayon de 3 kilomètres autour de lui et qui ont une valeur d'Intelligence de 4 ou plus. Il connait la distance et la direction de chacune de ces créatures, ainsi que leur valeur d'Intelligence respective, mais il ne peut rien percevoir d'autre d'elles. Une créature protégée par le sort esprit impénétrable, le sort non-détection ou une magie similaire ne peut pas être perçue par ce trait.
- Résistance à la magie. L'ulitharide a un avantage aux jets de sauvegarde contre les sorts et autres effets magiques.
- Relai psionique. Si un cerveau vénérable établit un lien psychique avec l'ulitharide, le cerveau vénérable peut établir un lien psychique avec toutes les autres créatures que l'ulitharide peut détecter en utilisant son trait Perception des créatures. De tels liens prennent fin si la créature sort des limites de la portée télépathique de l'ulitharide et de celles du cerveau vénérable. L'ulitharide peut maintenir son lien psychique avec le cerveau vénérable quelle que soit la distance qui les sépare, et ce aussi longtemps qu'ils se trouvent tous les deux dans le même plan d'existence. Si l'ulitharide se trouve à plus de 7,5 kilomètres du cerveau vénérable, il peut mettre un terme au lien psychique qui les unit à n'importe quel moment (aucune action n'est requise).
- Incantation innée (psioniques). La caractéristique d'incantation innée de l'ulitharide est l'Intelligence (jet de sauvegarde contre ses sorts DD 17). L'ulitharide peut lancer les sorts suivants de manière innée, sans avoir besoin d'aucune composante :
  - À volonté : détection des pensées, lévitation
  - 1/jour chacun : domination de personne, confusion, mauvais oeil, esprit faible, suggestion de groupe, projection d'image, scrutation, télékinésie, changement de plan (personnel uniquement)</t>
  </si>
  <si>
    <t xml:space="preserve">- Tentacules. Attaque au corps à corps avec une arme : +9 au toucher, allonge 3 m, une créature. Touché : 27 (4d10 + 5) dégâts psychiques. Si la cible est de taille G ou inférieure, elle est agrippée (évasion DD 14) et doit réussir un jet de sauvegarde d'Intelligence DD 17 ou être étourdie tant qu'elle est agrippée.
- Extraction de cerveau. Attaque au corps à corps avec une arme : +9 au toucher, allonge 1,50 m, un humanoïde incapable d'agir et agrippé par l'ulitharide. Touché : 55 (10d10) dégâts perforants. Si ces dégâts font tomber les points de vie de la cible à 0, l'ulitharide tue la cible en lui extrayant et dévorant le cerveau.
- Explosion de l'esprit (Recharge 5-6). L'ulitharide émet par magie de l'énergie psychique dans un cône de 18 mètres. Chaque créature présente dans la zone doit réussir un jet de sauvegarde d'Intelligence DD 17 ou subir 31 (4d12 + 5) dégâts psychiques et être étourdie pendant 1 minute. Une créature peut retenter son jet de sauvegarde à la fin de chacun de ses tours, mettant fin à l'effet qui l'affecte en cas de réussite.</t>
  </si>
  <si>
    <t xml:space="preserve">Ultroloth</t>
  </si>
  <si>
    <t xml:space="preserve">Discrétion+8
Intimidation+9
Perception+7</t>
  </si>
  <si>
    <t xml:space="preserve">abyssal, infernal, télépathie 36 m</t>
  </si>
  <si>
    <t xml:space="preserve">- Résistances aux dégâts froid, feu, foudre ; contondant, perforant et tranchant d'attaques non magiques
- Immunités aux dégâts acide, poison
- Immunités aux états charmé, effrayé, empoisonné
- Sens vision véritable 36 m, Perception passive 17
- Incantation innée. La caractéristique d'incantation innée de l'ultroloth est le Charisme (jet de sauvegarde contre ses sorts DD 17). L'ultroloth peut lancer les sorts suivants de manière innée, sans avoir besoin de composantes matérielles :
  - À volonté : modification d'apparence, clairvoyance, ténèbres, détection de la magie, détection des pensées, dissipation de la magie, invisibilité (personnel uniquement), suggestion
  - 3/jour chacun : porte dimensionnelle, peur, mur de feu
  - 1/jour chacun : tempête de feu, suggestion de groupe
- Résistance à la magie. L'ultroloth a un avantage aux jets de sauvegarde contre les sorts et autres effets magiques.
- Armes magiques. Les attaques avec une arme de l'ultroloth sont magiques</t>
  </si>
  <si>
    <t xml:space="preserve">- Attaques multiples. L'ultroloth peut utiliser son regard hypnotique et effectuer trois attaques au corps à corps.
- Épée longue. Attaque au corps à corps avec une arme : +8 au toucher, allonge 1,50 m, une cible. Touché : 7 (1d8 + 3) dégâts tranchants, ou 8 (1d10 + 3) dégâts tranchants si elle est utilisée à deux mains.
- Regard hypnotique. Les yeux de l'ultroloth scintillent d'une lueur opalescente tandis qu'il cible une créature qu'il peut voir dans un rayon de 9 mètres autour de lui. Si la cible peut voir l'ultroloth, elle doit réussir un jet de sauvegarde de Sagesse DD 17 contre ce pouvoir magique ou être charmée jusqu'à la fin du prochain tour de l'ultroloth. La cible charmée est étourdie. Si le jet de sauvegarde de la cible est une réussite, la cible est immunisée au regard des ultroloth pour les prochaines 24 heures.
- Téléportation. L'ultroloth se téléporte magiquement, avec tout l'équipement qu'il porte ou transporte, vers un espace inoccupé qu'il peut voir et situé dans un rayon de 18 mètres autour de lui.</t>
  </si>
  <si>
    <t xml:space="preserve">Vampire</t>
  </si>
  <si>
    <t xml:space="preserve">Mort-vivant (métamorphe)</t>
  </si>
  <si>
    <t xml:space="preserve">144 (17d8+68)</t>
  </si>
  <si>
    <t xml:space="preserve">Discrétion+9
Perception+7
JS DEX+9
JS SAG+7
JS CHA+9</t>
  </si>
  <si>
    <t xml:space="preserve">- Résistances aux dégâts nécrotique ; contondant, perforant et tranchant d'attaques non magiques
- Sens vision dans le noir 36 m, Perception passive 17
- Métamorphe. Si le vampire n'est pas exposé à la lumière du soleil ou dans une étendue d'eau courante, il peut utiliser son action pour se métamorphoser en une chauve-souris de taille TP ou en un nuage de brouillard de taille M, ou pour reprendre sa forme véritable. Tant qu'il est sous forme de chauve-souris, le vampire ne peut pas parler, sa vitesse de déplacement au sol tombe à 1,50 m, mais il obtient une vitesse de vol de 9 mètres. Mises à part sa taille et sa vitesse, ses statistiques sont les mêmes quelle que soit sa forme. Tout ce qu'il porte sur lui est transformé avec lui, contrairement à ce qu'il transporte. Il retrouve sa forme véritable s'il meurt. Tant qu'il est sous forme brumeuse, le vampire ne peut effectuer aucune action, parler ou manipuler un objet. Il est en apesanteur, obtient une vitesse de vol de 6 mètres, peut rester en vol stationnaire, pénétrer dans l'espace d'une créature hostile et s'y arrêter. De plus, si de l'air peut passer par un petit espace, le nuage de brume le peut également sans être considéré comme passant dans un espace étroit. Le nuage ne peut pas pénétrer dans l'eau. Il a un avantage aux jets de sauvegarde de Force, Dextérité et Constitution, et est immunisé contre tous les dégâts non magiques, à l'exception des dégâts qu'il subit du soleil.
- Résistance légendaire (3/jour). Si le vampire échoue à un jet de sauvegarde, il peut décider de transformer cet échec en réussite.
- Échappatoire brumeuse. Lorsqu'il tombe à 0 point de vie en dehors de sa tombe, le vampire se transforme en un nuage de brume (comme avec le trait Métamorphe) plutôt que de tomber inconscient, à condition qu'il ne soit pas exposé à la lumière du soleil ou dans une étendue d'eau courante. S'il ne peut pas se transformer, il est détruit. Tant qu'il est à 0 point de vie sous forme brumeuse, il ne peut pas retrouver sa forme de vampire, il doit impérativement atteindre sa tombe dans les 2 heures, ou être détruit. Dès qu'il atteint sa tombe, il retrouve sa forme vampirique. Il est alors paralysé jusqu'à ce qu'il récupère au moins 1 point de vie. Après être resté 1 heure dans sa tombe avec 0 point de vie, le vampire récupère 1 point de vie.
- Régénération. Le vampire récupère 20 points de vie au début de son tour s'il possède au moins 1 point de vie et qu'il n'est ni exposé à la lumière du soleil ou dans une étendue d'eau courante. Si le vampire subit des dégâts radiants ou des dégâts via de l'eau bénite, ce trait ne fonctionne pas au début de son prochain tour.
- Pattes d'araignée. Le vampire peut escalader des surfaces difficiles et être au plafond la tête en bas sans avoir besoin d'effectuer un jet de caractéristique.
- Faiblesses de vampire. Le vampire a les faiblesses suivantes :
  - Interdiction. Le vampire ne peut pas entrer dans une résidence sans y avoir été invité par l'un de ses occupants.
  - Détruit par les étendues d'eau courante. Le vampire subit 20 dégâts d'acide lorsqu'il termine son tour au sein d'une étendue d'eau courante.
  - Un pieu dans le cœur. Si une arme perforante faite de bois est enfoncée dans son cœur alors qu'il est incapable d'agir dans sa tombe, le vampire devient paralysé jusqu'à ce que ce pieu soit retiré.
  - Hypersensibilité au soleil. Le vampire subit 20 dégâts radiants lorsqu'il débute son tour à la lumière du soleil. S'il est exposé à la lumière du soleil, il a un désavantage aux jets d'attaque et de caractéristique.</t>
  </si>
  <si>
    <t xml:space="preserve">Attaques multiples (forme de vampire uniquement). Le vampire effectue deux attaques, mais seule l'une des deux peut être une attaque de morsure.
- Attaque à mains nues (forme de vampire uniquement). Attaque au corps à corps avec une arme : +9 au toucher, allonge 1,50 m, une créature. Touché : 8 (1d8 + 4) dégâts contondants. Plutôt que d'infliger des dégâts, le vampire peut agripper la cible (évasion DD 18)
- Morsure (forme de vampire ou de chauve-souris uniquement). Attaque au corps à corps avec une arme : +9 au toucher, allonge 1,50 m, une créature consentante ou une créature agrippée par le vampire, incapable d'agir ou entravée. Touché : 7 (1d6 + 4) dégâts perforants + 10 (3d6) dégâts nécrotiques. Le maximum de points de vie de la cible est réduit d'un montant égal à la quantité de dégâts nécrotiques subis, et le vampire récupère un nombre de points de vie équivalent. Cette réduction perdure jusqu'à ce que la cible termine un repos long. La cible meurt si cet effet réduit son maximum de points de vie à 0. Un humanoïde abattu de la sorte puis enterré se relève la nuit suivante en tant que vampirien sous le contrôle du vampire.
- Charme. Le vampire cible un humanoïde qu'il peut voir et à 9 mètres maximum de lui. Si la cible peut voir le vampire, elle doit réussir un jet de sauvegarde de Sagesse DD 17 contre cette capacité magique ou être charmée par le vampire. Une fois charmée, la cible voit le vampire comme un véritable ami qu'elle doit écouter et protéger. Bien que la cible ne soit pas sous le contrôle du vampire, elle prend les requêtes et les actions du vampire de la façon la plus favorable qui soit, et elle est une cible consentante pour l'attaque de morsure du vampire. Chaque fois que le vampire ou un compagnon du vampire fait quelque chose de nuisible à la cible, elle peut retenter un jet de sauvegarde, mettant fin à l'effet qui l'affecte en cas de réussite. Sinon l'effet dure 24 heures ou jusqu'à ce que le vampire soit détruit, sur un autre plan d'existence que celui de la cible, ou utilise une action bonus pour mettre fin à l'effet.
- Enfants de la nuit (1/jour). Le vampire appelle magiquement à lui 2d4 nuées de chauves-souris ou de rats, à condition que le soleil ne soit pas encore levé. S'il est à l'extérieur, le vampire peut choisir d'appeler à la place 3d6 loups. Les créatures appelées arrivent en 1d4 tours, agissant tels des alliés du vampire et obéissant à ses commandes verbales. Les bêtes restent 1 heure, jusqu'à ce que le vampire meure, ou jusqu'à ce que le vampire utilise une action bonus pour les congédier.</t>
  </si>
  <si>
    <t xml:space="preserve">Le vampire peut effectuer 3 actions légendaires, en choisissant parmi les options suivantes. Une seule action légendaire peut être utilisée à la fois, et seulement à la fin du tour d'une autre créature. Le vampire récupère les actions légendaires dépensées au début de son tour.
- Déplacement. Le vampire se déplace de sa vitesse sans provoquer d'attaque d'opportunité.
- Attaque à mains nues. Le vampire effectue une attaque à mains nues.
- Morsure (coûte 2 actions). Le vampire effectue une attaque de morsure.</t>
  </si>
  <si>
    <t xml:space="preserve">Vampirien</t>
  </si>
  <si>
    <t xml:space="preserve">Discrétion+6 
Perception+3
JS DEX+6
JS SAG+3</t>
  </si>
  <si>
    <t xml:space="preserve">- Résistances aux dégâts nécrotique ; contondant, perforant et tranchant d'attaques non magiques
- Sens vision dans le noir 18 m, Perception passive 13
- Régénération. Le vampirien récupère 10 points de vie au début de son tour s'il possède au moins 1 point de vie et qu'il n'est pas exposé à la lumière du soleil ou dans une étendue d'eau courante. Si le vampirien subit des dégâts radiants ou des dégâts via de l'eau bénite, ce trait ne fonctionne pas au début de son prochain tour.
- Pattes d'araignée. Le vampirien peut escalader des surfaces difficiles et être au plafond la tête en bas sans avoir besoin d'effectuer un jet de caractéristique.
- Faiblesses de vampire. Le vampirien a les faiblesses suivantes :
1) Interdiction. Le vampirien ne peut pas entrer dans une résidence sans y avoir été invité par l'un de ses occupants.
2) Détruit par les étendues d'eau courante. Le vampirien subit 20 dégâts d'acide lorsqu'il termine son tour au sein d'une étendue d'eau courante.
3) Un pieu dans le cœur. Le vampirien est détruit si une arme perforante faite de bois est enfoncée dans son cœur alors qu'il est incapable d'agir dans sa tombe.
4) Hypersensibilité au soleil. Le vampirien subit 20 dégâts radiants lorsqu'il débute son tour à la lumière du soleil. S'il est exposé à la lumière du soleil, il a un désavantage aux jets d'attaque et de caractéristique.</t>
  </si>
  <si>
    <t xml:space="preserve">- Attaques multiples. Le vampirien effectue deux attaques, mais seule l'une des deux peut être une attaque de morsure.
- Griffes. Attaque au corps à corps avec une arme : +6 au toucher, allonge 1,50 m, une créature. Touché : 8 (2d4 + 3) dégâts tranchants. Plutôt que d'infliger des dégâts, le vampirien peut agripper la cible (évasion DD 13)
- Morsure. Attaque au corps à corps avec une arme : +6 au toucher, allonge 1,50 m, une créature consentante ou une créature agrippée par le vampirien, incapable d'agir ou entravée. Touché : 6 (1d6 + 3) dégâts perforants + 7 (2d6) dégâts nécrotiques. Le maximum de points de vie de la cible est réduit d'un montant égal à la quantité de dégâts nécrotiques subis, et le vampirien récupère un nombre de points de vie équivalent. Cette réduction perdure jusqu'à ce que la cible termine un repos long. La cible meurt si cet effet réduit son maximum de points de vie à 0.</t>
  </si>
  <si>
    <t xml:space="preserve">Vargouille</t>
  </si>
  <si>
    <t xml:space="preserve">1,50 m, vol 12 m</t>
  </si>
  <si>
    <t xml:space="preserve">comprend l'abyssal, l'infernal et toutes les langues qu'elle connaissait avant de devenir une vargouille mais ne peut pas parler</t>
  </si>
  <si>
    <t xml:space="preserve">- Immunités aux dégâts poison
- Immunités aux états empoisonné
- Sens vision dans le noir 18 m, Perception passive 8</t>
  </si>
  <si>
    <t xml:space="preserve">- Morsure. Attaque au corps à corps avec une arme : +4 au toucher, allonge 1,50 m, une cible. Touché : 5 (1d6 + 2) dégâts perforants + 10 (3d6) dégâts de poison.
- Baiser. La vargouille embrasse un humanoïde incapable d'agir à 1,50 mètre ou moins d'elle. La cible doit réussir un jet de sauvegarde de Charisme DD 12 ou être maudite. La cible maudite perd 1 point de Charisme après chaque heure, sa tête prenant progressivement un aspect maléfique. La malédiction ne progresse pas tant que la cible est exposée à la lumière du soleil ou se trouve dans la zone d'effet du sort lumière du jour ; ne comptez pas le temps écoulé de la sorte. Lorsque le Charisme de la cible maudite tombe à 2, elle meurt et sa tête s'envole hors de son corps, devenant une vargouille à part entière. Lancer un sort de délivrance des malédictions, restauration supérieure ou un sort similaire sur la cible avant que la transformation ne soit complète peut mettre fin à la malédiction. Cependant cette méthode ne permet pas d'annuler les changements déjà subis par la cible à cause de la malédiction.
- Cri étourdissant. La vargouille pousse un cri strident. Tout humanoïde ou bête dans un rayon de 9 mètres autour de la vargouille et capable de l'entendre doit réussir un jet de sauvegarde de Sagesse DD 12 ou être effrayée jusqu'à la fin du prochain tour de la vargouille. Tant qu'elle est effrayée de la sorte, une cible est étourdie. Si le jet de sauvegarde d'une cible est réussi ou si l'effet prend fin pour elle, la cible est immunisée au Cri étourdissant de toutes les vargouilles pendant 1 heure.</t>
  </si>
  <si>
    <t xml:space="preserve">Vase grise</t>
  </si>
  <si>
    <t xml:space="preserve">- Résistances aux dégâts acide, froid, feu
- Immunités aux états aveuglé, charmé, assourdi, épuisement, effrayé, à terre
- Sens vision aveugle 18 m (aveugle au-delà de ce rayon), Perception passive 8
- Informe. La vase peut se déplacer au travers d'espaces larges de 2,50 cm sans être considérée comme passant dans un espace étroit.
- Corrosion du métal. Toute arme non magique faite de métal qui touche la vase se corrode. Après avoir infligé ses dégâts, l'arme subit un malus permanent et cumulable de -1 aux jets de dégâts. Si la pénalité atteint -5, l'arme est détruite. Des munitions non magiques faites de métal qui touchent la vase sont détruites après avoir infligé leurs dégâts. La vase peut ingurgiter jusqu'à 5 centimètres d'épaisseur de métal non magique en 1 tour.
- Apparence trompeuse. Tant que la vase reste immobile, elle ne peut être distinguée d'une flaque d'huile ou d'un rocher humide.</t>
  </si>
  <si>
    <t xml:space="preserve">- Pseudopode. Attaque au corps à corps avec une arme : +3 au toucher, allonge 1,50 m, une cible. Touché : 4 (1d6 + 1) dégâts contondants + 7 (2d6) dégâts d'acide, et si la cible porte une armure métallique non magique, cette armure est en partie corrodée et subit une pénalité permanente et cumulable de -1 à la CA qu'elle confère. L'armure est détruite si les pénalités réduisent la CA de l'armure à 10.</t>
  </si>
  <si>
    <t xml:space="preserve">Vautour</t>
  </si>
  <si>
    <t xml:space="preserve">- Sens Perception passive 13
- Odorat et vue aiguisés. Le vautour a un avantage aux jets de Sagesse (Perception) basés sur la vue ou l'odorat.
- Tactique de groupe. Le vautour a un avantage aux jets d'attaque contre une créature si au moins l'un de ses alliés est à 1,50 mètre ou moins de la créature et n'est pas incapable d'agir.</t>
  </si>
  <si>
    <t xml:space="preserve">- Bec. Attaque au corps à corps avec une arme : +2 au toucher, allonge 1,50 m, une cible. Touché : 2 (1d4) dégâts perforants.</t>
  </si>
  <si>
    <t xml:space="preserve">Vautour géant</t>
  </si>
  <si>
    <t xml:space="preserve">commun (compris)</t>
  </si>
  <si>
    <t xml:space="preserve">- Sens Perception passive 13
- Odorat et vue aiguisés. Le vautour a un avantage aux jets de Sagesse (Perception) basés sur l'odorat ou la vue.
- Tactique de groupe. Le vautour a un avantage aux jets d'attaque contre une créature si au moins l'un de ses alliés est à 1,50 mètre ou moins de la créature et n'est pas incapable d'agir.</t>
  </si>
  <si>
    <t xml:space="preserve">- Attaques multiples. Le vautour réalise deux attaques : une avec son bec et une avec ses serres.
- Bec. Attaque au corps à corps avec une arme : +4 au toucher, allonge 1,50 m, une cible. Touché : 7 (2d4 + 2) dégâts perforants.
- Serres. Attaque au corps à corps avec une arme : +5 au toucher, allonge 1,50 m, une cible. Touché : 9 (2d6 + 2) dégâts tranchants.</t>
  </si>
  <si>
    <t xml:space="preserve">Végépygmée</t>
  </si>
  <si>
    <t xml:space="preserve">Perception+2
Discrétion+4</t>
  </si>
  <si>
    <t xml:space="preserve">végépygmée</t>
  </si>
  <si>
    <t xml:space="preserve">- Résistances aux dégâts foudre, perforant
- Sens vision dans le noir 18 m, Perception passive 12
- Camouflage dans la végétation. Le végépygmée a un avantage aux jets de Dextérité (Discrétion) effectués sur n'importe quel terrain comportant une importante vie végétale.
- Régénération. Le végépygmée récupère 3 points de vie au début de son tour. Si le végépygmée subit des dégâts de froid, de feu, ou des dégâts nécrotiques, ce trait ne fonctionne pas au début de son prochain tour. Le végépygmée ne meurt que s'il débute son tour avec 0 point de vie et qu'il ne se régénère pas.</t>
  </si>
  <si>
    <t xml:space="preserve">- Griffes. Attaque au corps à corps avec une arme : +4 au toucher, allonge 1,50 m, une cible. Touché : 5 (1d6 + 2) dégâts tranchants.
- Fronde. Attaque à distance avec une arme : +4 au toucher, portée 9/36 m, une cible. Touché : 4 (1d4 + 2) dégâts contondants.</t>
  </si>
  <si>
    <t xml:space="preserve">Végépygmée, chef</t>
  </si>
  <si>
    <t xml:space="preserve">- Résistances aux dégâts foudre, perforant
- Sens vision dans le noir 18 m, Perception passive 13
- Camouflage dans la végétation. Le végépygmée a un avantage aux jets de Dextérité (Discrétion) effectués sur n'importe quel terrain comportant une importante vie végétale.
- Régénération. Le végépygmée récupère 5 points de vie au début de son tour. Si le végépygmée subit des dégâts de froid, de feu, ou des dégâts nécrotiques, ce trait ne fonctionne pas au début de son prochain tour. Le végépygmée ne meurt que s'il débute son tour avec 0 point de vie et qu'il ne se régénère pas.</t>
  </si>
  <si>
    <t xml:space="preserve">- Attaques multiples. Le végépygmée effectue deux attaques avec ses griffes ou deux attaques au corps à corps avec sa lance.
- Griffes. Attaque au corps à corps avec une arme : +4 au toucher, allonge 1,50 m, une cible. Touché : 5 (1d6 + 2) dégâts tranchants.
- Lance. Attaque au corps à corps ou à distance avec une arme : +4 au toucher, allonge 1,50 m ou portée 6/18 m, une cible. Touché : 5 (1d6 + 2) dégâts perforants, ou 6 (1d8 + 2) dégâts perforants si utilisée à deux mains pour effectuer une attaque au corps à corps.
- Spores (1/jour). Un nuage de spores toxiques s'étend dans un rayon de 4,50 mètres autour du végépygmée. Le nuage contourne les angles des murs. Chaque créature présente dans la zone et qui n'est pas une plante doit réussir un jet de sauvegarde de Constitution DD 12 ou être empoisonnée. Tant qu'elle est empoisonnée de la sorte, une cible subit 9 (2d8) dégâts de poison au début de chacun de ses tours. Une cible peut retenter son jet de sauvegarde à la fin de chacun de ses tours, mettant fin à l'effet qui l'affecte en cas de réussite.</t>
  </si>
  <si>
    <t xml:space="preserve">Vélociraptor</t>
  </si>
  <si>
    <t xml:space="preserve">- Sens Perception passive 13 
- Tactique de groupe. Le vélociraptor a un avantage aux jets d'attaque contre une créature si au moins l'un de ses alliés est à 1,50 mètre ou moins de la créature et n'est pas incapable d'agir.</t>
  </si>
  <si>
    <t xml:space="preserve">- Attaques multiples. Le vélociraptor effectue deux attaques : une de morsure et une avec ses griffes.
- Morsure. Attaque au corps à corps avec une arme : +4 au toucher, allonge 1,50 m, une cible. Touché : 5 (1d6 + 2) perforants.
- Griffes. Attaque au corps à corps avec une arme : +4 au toucher, allonge 1,50 m, une cible. Touché : 4 (1d4 + 2) tranchants.</t>
  </si>
  <si>
    <t xml:space="preserve">Ver pourpre</t>
  </si>
  <si>
    <t xml:space="preserve">247 (15d20+90)</t>
  </si>
  <si>
    <t xml:space="preserve">15 m, creusement 9 m</t>
  </si>
  <si>
    <t xml:space="preserve">JS CON+11
JS SAG+4</t>
  </si>
  <si>
    <t xml:space="preserve">- Sens vision aveugle 9 m, perception des vibrations 18 m, Perception passive 9
- Tunnelier. Le ver pourpre peut creuser à travers la roche solide en se déplaçant à la moitié de sa vitesse de creusement et laisser sur son passage un tunnel de 3 mètres de diamètre.</t>
  </si>
  <si>
    <t xml:space="preserve">Attaques multiples. Le vers effectue deux attaques : une de morsure et une avec son dard.
- Morsure. Attaque au corps à corps avec une arme : +14 au toucher, allonge 3 m, une cible. Touché : 22 (3d8 + 9) dégâts perforants. Si la cible est une créature de taille G ou inférieure, elle doit réussir un jet de sauvegarde de Dextérité DD 19 ou être engloutie par le vers. Une créature engloutie est aveuglée et entravée, a un abri total contre les attaques et les autres effets provenant de l'extérieur du vers, et elle subit 21 (6d6) dégâts d'acide au début de chacun des tours du vers. Si le vers subit 30 points de dégâts ou plus en un tour de la part de la créature qu'il a ingurgitée, le vers doit réussir un jet de sauvegarde de Constitution DD 21 à la fin de ce tour ou régurgiter toutes les créatures qu'il a avalées, qui tombent alors par terre dans un rayon de 3 mètres autour du vers. Si le vers meurt, une créature engloutie n'est plus entravée par le vers et peut s'échapper de son cadavre en utilisant 6 mètres de déplacement, s'extirpant ainsi en rampant sur le sol.
- Dard. Attaque au corps à corps avec une arme : +14 au toucher, allonge 3 m, une créature. Touché : 19 (3d6 + 9) dégâts perforants, et la cible doit effectuer un jet de sauvegarde de Constitution DD 19, subissant 42 (12d6) dégâts de poison en cas d'échec, ou la moitié de ces dégâts en cas de réussite.</t>
  </si>
  <si>
    <t xml:space="preserve">Vétéran</t>
  </si>
  <si>
    <t xml:space="preserve">Athlétisme+5
Perception+2</t>
  </si>
  <si>
    <t xml:space="preserve">Attaques multiples. Le vétéran effectue deux attaques à l'épée longue. S'il a dégainé son épée courte, il peut également effectuer une attaque avec cette dernière.
- Épée longue. Attaque au corps à corps avec une arme : +5 au toucher, allonge 1,50 m, une cible. Touché : 7 (1d8 + 3) dégâts tranchants, ou 8 (1d10 + 3) dégâts tranchants si utilisée à deux mains.
- Épée courte. Attaque au corps à corps avec une arme : +5 au toucher, allonge 1,50 m, une cible. Touché : 6 (1d6 + 3) dégâts perforants.
- Arbalète lourde. Attaque à distance avec une arme : +3 au toucher, portée 30/120 m, une cible. Touché : 6 (1d10 + 1) dégâts perforants.</t>
  </si>
  <si>
    <t xml:space="preserve">Vissepince</t>
  </si>
  <si>
    <t xml:space="preserve">31 (7d6+7)</t>
  </si>
  <si>
    <t xml:space="preserve">Perception+4
Discrétion+6
Survie+2</t>
  </si>
  <si>
    <t xml:space="preserve">- Immunités aux états effrayé
- Sens vision dans le noir 36 m, Perception passive 14
- Aura de peur. Toute bête ou humanoïde qui commence son tour à 3 mètres ou moins du vissepince doit réussir un jet de sauvegarde de Sagesse DD 11 ou être effrayé jusqu'au début du prochain tour de la créature.
- Sensibilité à la lumière. S'il est exposé à une lumière vive, le vissepince a un désavantage aux jets d'attaque et aux jets de Sagesse (Perception) basés sur la vue.
- Téléportation par les ombres (Recharge 5-6). Par une action bonus, le vissepince peut se téléporter dans un espace inoccupé à 9 mètres ou moins de lui, à condition que l'espace depuis lequel il se téléporte et sa destination soient dans une lumière faible ou dans les ténèbres. Il n'est pas nécessaire que la destination soit à portée de vue.</t>
  </si>
  <si>
    <t xml:space="preserve">- Griffes. Attaque au corps à corps avec une arme : +4 au toucher, allonge 1,50 m, une cible. Touché : 7 (2d4 + 2) dégâts tranchants, et la cible doit réussir un jet de sauvegarde de Constitution DD 11 ou être paralysée pendant 1 minute. La cible peut répéter le jet de sauvegarde à la fin de chacun de ses tours, mettant fin à l'effet qui l'affecte en cas de succès.</t>
  </si>
  <si>
    <t xml:space="preserve">Vrock</t>
  </si>
  <si>
    <t xml:space="preserve">104 (11d10+44)</t>
  </si>
  <si>
    <t xml:space="preserve">JS DEX+5
JS SAG+4
JS CHA+2</t>
  </si>
  <si>
    <t xml:space="preserve">- Résistances aux dégâts froid, feu, foudre ; contondant, perforant et tranchant d'attaques non magiques
- Immunités aux dégâts poison
- Immunités aux états empoisonné
- Sens vision dans le noir 36 m, Perception passive 11
- Résistance à la magie. Le vrock a un avantage aux jets de sauvegarde contre les sorts et autres effets magiques.</t>
  </si>
  <si>
    <t xml:space="preserve">Attaques multiples. Le vrock effectue deux attaques : une avec son bec et une avec ses serres.
- Bec. Attaque au corps à corps avec une arme : +6 au toucher, allonge 1,50 m, une cible. Touché : 10 (2d6 + 3) dégâts perforants
- Serres. Attaque au corps à corps avec une arme : +6 au toucher, allonge 1,50 m, une cible. Touché : 14 (2d10 + 3) dégâts tranchants.
- Spores (Recharge 6). Un nuage de spores toxiques se répand du vrock dans un rayon de 4,50 mètres. Les spores contournent les angles de murs. Chaque créature qui se trouve dans la zone d'effet doit réussir un jet de sauvegarde de Constitution DD 14 ou être empoisonnée. Tant qu'elle est empoisonnée de la sorte, la cible subit 5 (1d10) dégâts de poison au début de chacun de ses tours. Une cible peut retenter un jet de sauvegarde à la fin de chacun de ses tours, mettant ainsi fin à son empoisonnement en cas de réussite. Vider une fiole d'eau bénite sur la cible met également fin à cet effet d'empoisonnement.
- Cri étourdissant (1/jour). Le vrock émet un cri horrible. Chaque créature dans un rayon de 6 mètres autour du vrock, qui peut l'entendre et n'est pas un démon, doit réussir un jet de sauvegarde de Constitution DD 14 ou être étourdie jusqu'à la fin du prochain tour du vrock.</t>
  </si>
  <si>
    <t xml:space="preserve">Wiverne</t>
  </si>
  <si>
    <t xml:space="preserve">6 m, vol 24 m</t>
  </si>
  <si>
    <t xml:space="preserve">- Sens vision dans le noir 18 m, Perception passive 14</t>
  </si>
  <si>
    <t xml:space="preserve">- Attaques multiples. La wiverne effectue deux attaques : une de morsure et une avec son dard. Lorsqu'elle vole, elle peut utiliser ses griffes à la place d'une des attaques.
- Dard. Attaque au corps à corps avec une arme : +7 au toucher, allonge 3 m, une cible. Touché : 11 (2d6 + 4) dégâts perforants. La cible doit réussir un jet de sauvegarde de Constitution DD 15, subissant 24 (7d6) dégâts de poison en cas d'échec, ou la moitié de ces dégâts en cas de réussite.
- Griffes. Attaque au corps à corps avec une arme : +7 au toucher, allonge 1,50 m, une cible. Touché : 13 (2d8 + 4) dégâts tranchants.
- Morsure. Attaque au corps à corps avec une arme : +7 au toucher, allonge 3 m, une créature. Touché : 11 (2d6 + 4) dégâts perforants.</t>
  </si>
  <si>
    <t xml:space="preserve">Worg</t>
  </si>
  <si>
    <t xml:space="preserve">26 (4d10)</t>
  </si>
  <si>
    <t xml:space="preserve">gobelin, worg</t>
  </si>
  <si>
    <t xml:space="preserve">- Sens vision dans le noir 18 m, Perception passive 14
- Odorat et ouïe aiguisés. Le worg a un avantage aux jets de Sagesse (Perception) basés sur l'odorat ou l'ouïe.</t>
  </si>
  <si>
    <t xml:space="preserve">Xorn</t>
  </si>
  <si>
    <t xml:space="preserve">73 (7d8+42)</t>
  </si>
  <si>
    <t xml:space="preserve">6 m, creusement 6 m</t>
  </si>
  <si>
    <t xml:space="preserve">Discrétion+3
Perception+6</t>
  </si>
  <si>
    <t xml:space="preserve">- Résistances aux dégâts perforant et tranchant d'attaques non magiques qui ne sont pas en adamantium
- Sens vision dans le noir 18 m, perception des vibrations 18 m, Perception passive 16
- Déplacement dans la terre. Le xorn peut creuser la pierre et la terre brutes et non magiques. Ce faisant, le xorn ne produit pas d'ondes de choc ni ne laisse de galerie derrière lui dans la matière qu'il creuse.
- Camouflage dans les rochers. Le xorn a un avantage aux jets de Dextérité (Discrétion) effectués pour se cacher sur un terrain rocailleux.
- Perception des trésors. Le xorn peut localiser, à l'odorat, la position de métaux précieux et de pierres précieuses, telles que les pièces d'or et les gemmes, qui se situent dans un rayon de 18 mètres autour de lui.</t>
  </si>
  <si>
    <t xml:space="preserve">- Attaques multiples. Le xorn effectue trois attaques avec ses griffes et une attaque de morsure.
- Griffes. Attaque au corps à corps avec une arme : +6 au toucher, allonge 1,50 m, une cible. Touché : 6 (1d6 + 3) dégâts tranchants.
- Morsure. Attaque au corps à corps avec une arme : +6 au toucher, allonge 1,50 m, une cible. Touché : 13 (3d6 + 3) dégâts perforants.</t>
  </si>
  <si>
    <t xml:space="preserve">Xvart</t>
  </si>
  <si>
    <t xml:space="preserve">Humanoïde (Xvart)</t>
  </si>
  <si>
    <t xml:space="preserve">- Sens vision dans le noir 9 m, Perception passive 8
- Action fourbe mineure. À chacun de ses tours, le xvart peut utiliser son action bonus pour effectuer l'action Se désengager.
- Groupe autoritaire. Le xvart a un avantage aux jets de Force (Athlétisme) effectués pour bousculer une créature si au moins un des alliés du xvart se trouve à 1,50 mètre ou moins de la cible et que cet allié n'est pas incapable d'agir.
- Langue de Raxivort. Le xvart peut communiquer par télépathie avec les chauves-souris et les rats ordinaires, ainsi qu'avec les chauves-souris et les rats géants.</t>
  </si>
  <si>
    <t xml:space="preserve">- Épée courte. Attaque au corps à corps avec une arme : +4 au toucher, allonge 1,50 m, une cible. Touché : 5 (1d6 + 2) dégâts perforants.
- Fronde. Attaque à distance avec une arme : +4 au toucher, portée 9/36 m, une cible. Touché : 4 (1d4 + 2) dégâts contondants.</t>
  </si>
  <si>
    <t xml:space="preserve">Xvart, occultiste de Raxivort</t>
  </si>
  <si>
    <t xml:space="preserve">- Sens vision dans le noir 9 m, Perception passive 10
- Incantation innée. La caractéristique d'incantation innée du xvart est le Charisme. Il peut lancer les sorts suivants de manière innée, sans avoir besoin de composantes matérielles :
À volonté : détection de la magie, armure de mage (personnel uniquement)
Incantation. Le xvart est un lanceur de sorts de niveau 3. Sa caractéristique d'incantation est le Charisme (jet de sauvegarde contre ses sorts DD 11, +3 au toucher pour les attaques avec un sort). Il retrouve ses emplacements de sorts utilisés lorsqu'il termine un repos court ou long. Il connaît les sorts d'occultiste suivants :
  - Sorts mineurs (à volonté) : décharge occulte, main de mage, illusion mineure, bouffée de poison, prestidigitation
  - Niveaux 1-2 (2 emplacements de niveau 2) : mains brûlantes, repli expéditif, invisibilité, rayon ardent
- Action fourbe mineure. Le xvart peut effectuer l'action Se désengager comme action bonus à chacun de ses tours.
- Bénédiction de Raxivort. Lorsque le xvart réduit un ennemi à 0 point de vie, le xvart gagne 4 points de vie temporaires.
- Langue de Raxivort. Le xvart peut communiquer par télépathie avec les chauves-souris et les rats ordinaires, ainsi qu'avec les chauves-souris et les rats géants.</t>
  </si>
  <si>
    <t xml:space="preserve">- Cimeterre. Attaque au corps à corps avec une arme : +4 au toucher, allonge 1,50 m, une cible. Touché : 5 (1d6 + 2) dégâts tranchants.</t>
  </si>
  <si>
    <t xml:space="preserve">Yéti</t>
  </si>
  <si>
    <t xml:space="preserve">yéti</t>
  </si>
  <si>
    <t xml:space="preserve">- Immunités aux dégâts froid
- Sens vision dans le noir 18 m, Perception passive 13
- Camouflage dans la neige. Le yéti a un avantage aux jets de Dextérité (Discrétion) effectués pour se cacher sur un terrain enneigé.
- Crainte du feu. Si le yéti subit des dégâts de feu, il subit un désavantage aux jets d'attaque et de caractéristique jusqu'à la fin de son tour suivant.
- Odorat aiguisé. Le yéti a un avantage aux jets de Sagesse (Perception) basés sur l'odorat.</t>
  </si>
  <si>
    <t xml:space="preserve">- Attaques multiples. Le yéti peut utiliser son Regard givrant et effectuer deux attaques avec ses griffes.
- Griffes. Attaque au corps à corps avec une arme : +6 au toucher, allonge 1,50 m, une cible. Touché : 7 (1d6 + 4) dégâts tranchants + 3 (1d6) dégâts de froid.
- Regard givrant. Le yéti prend pour cible une créature qu'il peut voir et qui se trouve à 9 mètres ou moins de lui. Si la cible peut voir le yéti, elle doit réussir un jet de sauvegarde de Constitution DD 13 ou subir 10 (3d6) dégâts de froid et être paralysée pendant 1 minute, à moins d'être immunisée aux dégâts de froid. La cible peut relancer le jet de sauvegarde à la fin de chacun de ses tours, mettant fin à l'effet qui l'affecte en cas de réussite. Si le jet de sauvegarde est réussi, ou si l'effet se termine, la cible est dès lors immunisée au Regard givrant de tous les yétis (mais pas des abominables yétis) pendant 1 heure.</t>
  </si>
  <si>
    <t xml:space="preserve">Yéti, abominable</t>
  </si>
  <si>
    <t xml:space="preserve">137 (11d12+66)</t>
  </si>
  <si>
    <t xml:space="preserve">- Immunités aux dégâts froid
- Sens vision dans le noir 18 m, Perception passive 15
- Camouflage dans la neige. Le yéti a un avantage aux jets de Dextérité (Discrétion) effectués pour se cacher sur un terrain enneigé.
- Crainte du feu. Si le yéti subit des dégâts de feu, il subit un désavantage aux jets d'attaque et de caractéristique jusqu'à la fin de son tour suivant.
- Odorat aiguisé. Le yéti a un avantage aux jets de Sagesse (Perception) basés sur l'odorat.</t>
  </si>
  <si>
    <t xml:space="preserve">- Attaques multiples. Le yéti peut utiliser son Regard givrant et effectuer deux attaques avec ses griffes.
- Griffes. Attaque au corps à corps avec une arme : +11 au toucher, allonge 1,50 m, une cible. Touché : 14 (2d6 + 7) dégâts tranchants + 7 (2d6) dégâts de froid.
- Regard givrant. Le yéti prend pour cible une créature qu'il peut voir et qui se trouve à 9 mètres ou moins de lui. Si la cible peut voir le yéti, elle doit réussir un jet de sauvegarde de Constitution DD 18 ou subir 21 (6d6) dégâts de froid et être paralysée pendant 1 minute, à moins d'être immunisée aux dégâts de froid. La cible peut relancer le jet de sauvegarde à la fin de chacun de ses tours, mettant fin à l'effet qui l'affecte en cas de réussite. Si le jet de sauvegarde est réussi, ou si l'effet se termine, la cible devient immunisée au Regard givrant de ce yéti pendant 1 heure.
- Souffle de froid (Recharge 6). Le yéti exhale de l'air glacial dans un cône de 9 mètres. Chaque créature présente dans la zone doit effectuer un jet de sauvegarde de Constitution DD 18, subissant 45 (10d8) dégâts de froid en cas d'échec, ou la moitié de ces dégâts en cas de réussite.</t>
  </si>
  <si>
    <t xml:space="preserve">Yochlol</t>
  </si>
  <si>
    <t xml:space="preserve">Intuition+6
Tromperie+10
JS DEX+6
JS INT+5
JS SAG+6
JS CHA+6</t>
  </si>
  <si>
    <t xml:space="preserve">- Résistances aux dégâts froid feu, foudre ; contondant, tranchant, et perforant d'attaques non magiques
- Immunités aux dégâts poison
- Immunités aux états empoisonné
- Sens vision dans le noir 36 m, Perception passive 12
- Métamorphe. Le yochlol peut utiliser son action pour se métamorphoser en une forme qui ressemble à une femelle drow ou à une araignée géante, ou pour reprendre sa forme véritable. Ses statistiques sont les mêmes quelle que soit sa forme. L'équipement qu'il porte ou transporte ne se transforme pas. Il retrouve sa forme véritable s'il meurt.
- Résistance à la magie. Le yochlol a un avantage aux jets de sauvegarde contre les sorts et autres effets magiques.
- Pattes d'araignée. La yochlol peut escalader des surfaces difficiles et être au plafond la tête en bas sans avoir besoin d'effectuer un jet de caractéristique.
- Incantation innée. La caractéristique d'incantation innée du yochlol est le Charisme (jet de sauvegarde contre ses sorts DD 14). Le yochlol peut lancer les sorts suivants de manière innée, sans avoir besoin de composantes matérielles :
À volonté : détection des pensées, toile d'araignée
1/jour : domination de personne
- Déplacement sur la toile. Le yochlol ignore les restrictions de mouvement causées par une toile d'araignée.</t>
  </si>
  <si>
    <t xml:space="preserve">- Attaques multiples. Le yochlol effectue deux attaques au corps à corps.
- Coup (Morsure sous forme d'araignée). Attaque au corps à corps avec une arme : +6 au toucher, allonge 1,50 m (3 m sous forme de démon), une cible. Touché : 5 (1d6 + 2) dégâts contondants (perforants sous forme d'araignée) + 21 (6d6) dégâts de poison.
- Forme brumeuse. Le yochlol se transforme en un nuage de brume toxique, ou reprend sa forme véritable. L'équipement qu'il porte et transporte est transformé avec lui. Il retrouve sa forme véritable s'il meurt. Tant qu'il est sous forme de brume, le yochlol est incapable d'agir et ne peut pas parler. Il possède une vitesse de vol de 9 mètres, peut faire du vol stationnaire, et peut passer au travers de toute zone qui n'est pas hermétique à l'air. Il possède un avantage aux jets de sauvegarde de Force, de Dextérité, et de Constitution, et est immunisé aux dégâts non magiques. Tant qu'il se trouve sous forme gazeuse, le yochlol peut entrer dans l'espace d'une créature et s'y arrête. Chaque fois qu'une créature débute son tour dans l'espace occupé par le yochlol, la créature doit réussir un jet de sauvegarde de Constitution DD 14 ou être empoisonnée jusqu'au début de son prochain tour. Tant qu'elle est empoisonnée de la sorte, la cible est incapable d'agir.</t>
  </si>
  <si>
    <t xml:space="preserve">Yuan-ti, abomination</t>
  </si>
  <si>
    <t xml:space="preserve">Monstruosité (métamorphe, yuan-ti)</t>
  </si>
  <si>
    <t xml:space="preserve">Discrétion+6
Perception+5</t>
  </si>
  <si>
    <t xml:space="preserve">abyssal, commun, draconique</t>
  </si>
  <si>
    <t xml:space="preserve">- Immunités aux dégâts poison
- Immunités aux états empoisonné
- Sens vision dans le noir 18 m, Perception passive 15
- Métamorphe. Le yuan-ti peut utiliser son action pour se métamorphoser en un serpent de taille G, ou pour reprendre sa forme véritable. Ses statistiques sont les mêmes quelle que soit sa forme. L'équipement qu'il porte ou transporte ne se transforme pas. Il ne change pas de forme s'il meurt.
- Incantation innée (forme d'abomination uniquement). La caractéristique d'incantation innée du yuan-ti est le Charisme (jet de sauvegarde contre ses sorts DD 15). Le yuan-ti peut lancer les sorts suivants de manière innée, sans avoir besoin de composantes matérielles :
À volonté : amitié avec les animaux (serpents uniquement)
3/jour : suggestion
1/jour : peur
- Résistance à la magie. Le yuan-ti a un avantage aux jets de sauvegarde contre les sorts et autres effets magiques.</t>
  </si>
  <si>
    <t xml:space="preserve">- Attaques multiples (forme d'abomination uniquement). Le yuan-ti effectue deux attaques à distance ou trois attaques au corps à corps, mais il ne peut utiliser les attaques de morsure et de constriction qu'une fois chacune.
- Morsure. Attaque au corps à corps avec une arme : +7 au toucher, allonge 1,50 m, une cible. Touché : 7 (1d6 + 4) dégâts perforants + 10 (3d6) dégâts de poison.
- Constriction. Attaque au corps à corps avec une arme : +7 au toucher, allonge 3 m, une cible. Touché : 11 (2d6 + 4) dégâts contondants, et la cible est agrippée (DD 14 pour s'échapper). Tant qu'elle est agrippée, la créature est entravée, et le yuan-ti ne peut pas étreindre une autre cible.
- Cimeterre (forme d'abomination uniquement). Attaque au corps à corps avec une arme : +7 au toucher, allonge 1,50 m, une cible. Touché : 11 (2d6 + 4) dégâts tranchants.
- Arc long (forme d'abomination uniquement). Attaque à distance avec une arme : +6 au toucher, portée 45/180 m, une cible. Touché : 12 (2d8 + 3) dégâts perforants + 10 (3d6) dégâts de poison.</t>
  </si>
  <si>
    <t xml:space="preserve">Yuan-ti, anathème</t>
  </si>
  <si>
    <t xml:space="preserve">189 (18d12+72)</t>
  </si>
  <si>
    <t xml:space="preserve">12 m, escalade 9 m, nage 9 m</t>
  </si>
  <si>
    <t xml:space="preserve">Perception+7
Discrétion+5</t>
  </si>
  <si>
    <t xml:space="preserve">- Résistances aux dégâts acide, feu, foudre
- Immunités aux dégâts poison
- Immunités aux états empoisonné
- Sens vision aveugle 9 m, vision dans le noir 18 m, Perception passive 17
- Incantation innée (forme d'anathème uniquement). La caractéristique d'incantation innée de l'anathème est le Charisme (jet de sauvegarde contre ses sorts DD 13). Il peut lancer les sorts suivants de manière innée, sans avoir besoin de composantes matérielles :
  - À volonté : amitié avec les animaux (serpents uniquement)
  - 3/jour chacun : ténèbres, enchevêtrement, peur, hâte, suggestion, polymorphe
  - 1/jour : parole divine
- Résistance à la magie. L'anathème a un avantage aux jets de sauvegarde contre les sorts et autres effets magiques.
- Aura d'ophidiophobie. Toute créature choisie par l'anathème, autre qu'un serpent ou un yuan-ti, qui commence son tour à 9 mètres ou moins de l'anathème et qui peut le voir ou l'entendre doit réussir un jet de sauvegarde de Sagesse DD 17 ou être effrayé par les serpents et les yuan-ti. Une cible effrayée peut répéter le jet de sauvegarde à la fin de chacun de ses tours, mettant fin à l'effet qui l'afflige en cas de succès. Si le jet de sauvegarde d'une cible réussit ou si l'effet prend fin, la cible est immunisée contre cette aura pendant les prochaines 24 heures.
- Métamorphe. L'anathème peut utiliser son action pour se métamorphoser en un serpent constricteur de taille TG, ou pour reprendre sa forme véritable. Ses statistiques sont les mêmes quelle que soit sa forme. L'équipement qu'il porte ou transporte ne se transforme pas.
- Six têtes. L'anathème a un avantage aux jets de Sagesse (Perception) et aux jets de sauvegarde pour ne pas être aveuglé, charmé, assourdi, effrayé, étourdi ou inconscient.</t>
  </si>
  <si>
    <t xml:space="preserve">Attaques multiples (forme d'anathème uniquement). L'anathème effectue deux attaques avec de griffes, une de constriction et une attaque de Déluge de morsures.
- Griffes (forme d'anathème uniquement). Attaque au corps à corps avec une arme : +10 au toucher, allonge 3 m, une cible. Touché : 13 (2d6 + 6) dégâts tranchants.
- Constriction. Attaque au corps à corps avec une arme : + 10 au toucher, allonge 4,50 m, une créature de taille G ou plus petite. Touché : 16 (3d6 + 6) dégâts contondants + 7 (2d6) dégâts d'acide, et la cible est agrippée (évasion DD 16). Tant qu'elle est agrippée, la cible est entravée et subit 16 (3d6 + 6) dégâts contondants + 7 (2d6) dégâts d'acide au début de chacun de ses tours, et l'anathème ne peut pas éteindre une autre cible.
- Déluge de morsures. Attaque au corps à corps avec une arme : +10 au toucher, allonge 3 m, une créature. Touché : 27 (6d6 + 6) dégâts perforants + 14 (4d6) dégâts de poison.</t>
  </si>
  <si>
    <t xml:space="preserve">Yuan-ti, annonciateur de cauchemars</t>
  </si>
  <si>
    <t xml:space="preserve">Discrétion+4
Tromperie+5
JS SAG+3
JS CHA+5</t>
  </si>
  <si>
    <t xml:space="preserve">- Immunités aux dégâts poison
- Immunités aux états empoisonné
- Sens vision dans le noir 36 m (traverse les ténèbres magiques), Perception passive 11
- Métamorphe. Le yuan-ti peut utiliser son action pour se métamorphoser en un serpent de taille M, ou pour reprendre sa forme véritable. Ses statistiques sont les mêmes quelle que soit sa forme. L'équipement qu'il porte ou transporte ne se transforme pas. Il ne change pas de forme s'il meurt.
- Crocs de la mort (2/jour). La première fois que le yuan-ti touche avec une attaque au corps à corps lors de son tour, il peut infliger 16 (3d10) dégâts nécrotiques supplémentaires à la cible.
- Incantation innée (forme de yuan-ti uniquement). La caractéristique d'incantation innée du yuan-ti est le Charisme (jet de sauvegarde contre ses sorts DD 13). Le yuan-ti peut lancer les sorts suivants de manière innée, sans avoir besoin de composantes matérielles :
  - À volonté : amitié avec les animaux (serpents uniquement)
  - 3/jour : suggestion
- Résistance à la magie. Le yuan-ti a un avantage aux jets de sauvegarde contre les sorts et autres effets magiques.
- Incantation (forme de yuan-ti uniquement). Le yuan-ti est un lanceur de sorts de niveau 6. Sa caractéristique d'incantation est le Charisme (jet de sauvegarde contre ses sorts DD 13, +5 au toucher pour les attaques avec un sort). Il récupère les emplacements de sorts qu'il a dépensés lorsqu'il termine un repos court ou long. Il connait les sorts d'occultiste suivants :
  - Sorts mineurs (à volonté) : contact glacial, décharge occulte (portée 90 m, bonus de +3 à chaque jet de dégâts), main de mage, message, bouffée de poison, prestidigitation
  - Niveau 1 à 3 (2 emplacements de niveau 3) : tentacules de Hadar, ténèbres, peur, maléfice, immobilisation de personne, voracité de Hadar, trait ensorcelé</t>
  </si>
  <si>
    <t xml:space="preserve">- Attaques multiples (forme de yuan-ti uniquement). Le yuan-ti effectue une attaque de constriction et une attaque avec le cimeterre.
- Constriction. Attaque au corps à corps avec une arme : +5 au toucher, allonge 3 mètres, une cible. Touché : 10 (2d6 + 3) dégâts contondants, et la cible est agrippée (évasion DD 14) si c'est une créature de taille G ou plus petite. Tant qu'elle est agrippée, la cible est entravée et le yuan-ti ne peut plus effectuer de constriction contre une autre cible.
- Cimeterre (forme de yuan-ti uniquement). Attaque au corps à corps avec une arme : +5 au toucher, allonge 1,50 m, une cible. Touché : 6 (1d6 + 3) dégâts tranchants.
- Invocation de cauchemar (Recharge après un repos court ou long). Le yuan-ti se faufile parmi les cauchemars d'une créature qu'il peut voir et se trouvant à 18 mètres ou moins de lui, et crée une manifestation immobile, illusoire, visible uniquement de la créature, des peurs les plus profondes de cette créature. La cible doit effectuer un jet de sauvegarde d'Intelligence DD 13. En cas d'échec au jet, la cible subit 11 (2d10) dégâts psychiques et est effrayée par la manifestation, la prenant pour quelque chose de réel. La yuan-ti doit se concentrer pour maintenir l'illusion en place (comme s'il se concentrait sur un sort), qui perdure 1 minute maximum et ne peut pas être blessée. La cible peut retenter le jet de sauvegarde à la fin de chacun de ses tours, mettant fin à l'illusion en cas de réussite, ou subissant 11 (2d10) dégâts psychiques en cas d'échec.</t>
  </si>
  <si>
    <t xml:space="preserve">Yuan-ti, chuchoteur de consciences</t>
  </si>
  <si>
    <t xml:space="preserve">Tromperie+5
Discrétion+4
JS SAG+4
JS CHA+5</t>
  </si>
  <si>
    <t xml:space="preserve">- Immunités aux dégâts poison
- Immunités aux états empoisonné
- Sens vision dans le noir 36 m (traverse les ténèbres magiques), Perception passive 12
- Métamorphe. Le yuan-ti peut utiliser son action pour se métamorphoser en un serpent de taille M, ou pour reprendre sa forme véritable. Ses statistiques sont les mêmes quelle que soit sa forme. L'équipement qu'il porte ou transporte ne se transforme pas. Il retrouve sa forme véritable s'il meurt.
- Incantation innée (forme de yuan-ti uniquement). La caractéristique d'incantation innée du yuan-ti est le Charisme (jet de sauvegarde contre ses sorts DD 13). Le yuan-ti peut lancer les sorts suivants de manière, sans avoir besoin de composantes matérielles :
  - À volonté : amitié avec les animaux (serpents uniquement)
  - 3/jour : suggestion
- Résistance à la magie. Le yuan-ti a un avantage aux jets de sauvegarde contre les sorts et autres effets magiques.
- Crocs de l'esprit (2/jour). La première fois que le yuan-ti touche lors d'une attaque au corps à corps à son tour, il peut infliger 16 (3d10) dégâts psychiques supplémentaires à la cible.
- Incantation (forme de yuan-ti uniquement). Le yuan-ti est un lanceur de sorts de niveau 6. Sa caractéristique d'incantation est le Charisme (jet de sauvegarde contre ses sorts DD 13, +5 au toucher pour les attaques avec un sort). Il retrouve ses emplacements de sorts dépensés lorsqu'il termine un repos court ou long. Il connaît les sorts d'occultiste suivants :
  - Sorts mineurs (à volonté) : décharge occulte (portée 90 mètres, bonus de +3 à chaque jet de dégâts), amis, message, illusion mineure, bouffée de poison, prestidigitation
  - Niveau 1-3 (2 emplacements de niveau 3) : charme-personne, couronne du dément, détection des pensées, repli expéditif, vol, motif hypnotique, texte illusoire
- Bénédiction de Sseth. Lorsque le yuan-ti réduit un ennemi à 0 point de vie, il gagne 9 points de vie temporaires.</t>
  </si>
  <si>
    <t xml:space="preserve">Attaques multiples (forme de yuan-ti uniquement). Le yuan-ti effectue une attaque de morsure et une attaque de cimeterre.
-  Morsure. Attaque au corps à corps avec une arme : +5 au toucher, allonge 1,50 m, une cible. Touché : 5 (1d4 + 3) dégâts perforants + 7 (2d6) dégâts de poison.
- Cimeterre (forme de yuan-ti uniquement). Attaque au corps à corps avec une arme : +5 au toucher, allonge 1,50 m, une cible. Touché : 6 (1d6 + 3) dégâts tranchants.</t>
  </si>
  <si>
    <t xml:space="preserve">Yuan-ti, garde des couvées</t>
  </si>
  <si>
    <t xml:space="preserve">Humanoïde (yuan-ti)</t>
  </si>
  <si>
    <t xml:space="preserve">Perception+2
JS FOR+4
JS DEX+4
JS SAG+2</t>
  </si>
  <si>
    <t xml:space="preserve">- Immunités aux dégâts poison
- Immunités aux états empoisonné
- Sens vision dans le noir 18 m, Perception passive 12
- Résistance mentale. Le garde des couvées a un avantage aux jets de sauvegarde pour ne pas être charmé, et la magie ne peut pas le paralyser.
- Téméraire. Au début de son tour, le garde des couvées peut obtenir un avantage à tous les jets d'attaque au corps à corps avec une arme pendant ce tour, mais les attaques contre lui ont un avantage jusqu'au début de son prochain tour.</t>
  </si>
  <si>
    <t xml:space="preserve">Attaques multiples. Le garde des couvées effectue trois attaques : une de morsure et deux avec ses griffes.
- Morsure. Attaque au corps à corps avec une arme : +4 au toucher, allonge 1,50 m, une cible. Touché : 6 (1d8 + 2) dégâts perforants.
- Griffes. Attaque au corps à corps avec une arme : +4 au toucher, allonge 1,50 m, une cible. Touché : 5 (1d6 + 2) dégâts tranchants.</t>
  </si>
  <si>
    <t xml:space="preserve">Yuan-ti, maître des fosses</t>
  </si>
  <si>
    <t xml:space="preserve">Monstruosité (métamorphe, yuan-ti)	NM</t>
  </si>
  <si>
    <t xml:space="preserve">88 (16d8+16)</t>
  </si>
  <si>
    <t xml:space="preserve">Tromperie+5
Discrétion+4
JS SAG+3
JS CHA+5</t>
  </si>
  <si>
    <t xml:space="preserve">- Immunités aux dégâts poison
- Immunités aux états empoisonné
- Sens vision dans le noir 36 m (traverse les ténèbres magiques), Perception passive 11
- Métamorphe. Le yuan-ti peut utiliser son action pour se métamorphoser en un serpent de taille M, ou pour reprendre sa forme véritable. Ses statistiques sont les mêmes quelle que soit sa forme. L'équipement qu'il porte ou transporte ne se transforme pas. Il ne change pas de forme s'il meurt.
- Incantation innée (forme de yuan-ti uniquement). La caractéristique d'incantation innée du yuan-ti est le Charisme (jet de sauvegarde contre ses sorts DD 13). Le yuan-ti peut lancer les sorts suivants de manière innée, sans avoir besoin de composantes matérielles :
  - À volonté : amitié avec les animaux (serpents uniquement)
  - 3/jour : suggestion
- Résistance à la magie. Le yuan-ti a un avantage aux jets de sauvegarde contre les sorts et autres effets magiques.
- Disciple du poison (2/jour). La première fois que le yuan-ti touche lors d'une attaque au corps à corps à son tour, il peut infliger 16 (3d10) dégâts de poison supplémentaires à la cible.
- Incantation (forme de yuan-ti uniquement). Le yuan-ti est un lanceur de sorts de niveau 6. Sa caractéristique d'incantation est le Charisme (jet de sauvegarde contre ses sorts DD 13, +5 au toucher pour les attaques avec un sort). Il récupère les emplacements de sorts qu'il a dépensés lorsqu'il termine un repos court ou long. Il connait les sorts d'occultiste suivants :
  - Sorts mineurs (à volonté) : décharge occulte (portée 90 mètres, bonus de +3 à chaque jet de dégâts), amis, assistance, main de mage, message, bouffée de poison
  - Niveau 1-3 (2 emplacements de niveau 3) : injonction, contresort, représailles infernales, invisibilité, invisibilité, serviteur invisible, toucher du vampireelé</t>
  </si>
  <si>
    <t xml:space="preserve">Attaques multiples (forme Yuan-ti uniquement). Le yuan-ti fait deux attaques de morsure en utilisant ses bras de serpent.
- Morsure. Attaque au corps à corps avec une arme : +5 au toucher, allonge 1,50 m, une cible. Touché : 5 (1d4 + 3) dégâts perforants + 7 (2d6) dégâts de poison.
- Sommeil de Merrshaulk (1/jour). Le yuan-ti cible jusqu'à cinq créatures qu'il peut voir à 18 mètres ou moins de lui. Chaque cible doit réussir un jet de sauvegarde de Constitution DD 13 ou tomber dans un sommeil magique et être inconscient pendant 10 minutes. Une cible endormie se réveille si elle subit des dégâts ou si quelqu'un utilise une action pour la secouer ou la gifler pour se réveiller. Ce sommeil magique n'a aucun effet sur une créature immunisée contre l'état charmé.</t>
  </si>
  <si>
    <t xml:space="preserve">Yuan-ti, malison</t>
  </si>
  <si>
    <t xml:space="preserve">Discrétion+4
Tromperie+5</t>
  </si>
  <si>
    <t xml:space="preserve">- Immunités aux dégâts poison
- Immunités aux états empoisonné
- Sens vision dans le noir 18 m, Perception passive 11
- Métamorphe. Le yuan-ti peut utiliser son action pour se métamorphoser en un serpent de taille M, ou pour reprendre sa forme véritable. Ses statistiques sont les mêmes quelle que soit sa forme. L'équipement qu'il porte ou transporte ne se transforme pas. Il ne change pas de forme s'il meurt.
- Incantation innée (forme de yuan-ti uniquement). La caractéristique d'incantation innée du yuan-ti est le Charisme (jet de sauvegarde contre ses sorts DD 13). Le yuan-ti peut lancer les sorts suivants de manière innée, sans avoir besoin de composantes matérielles :
  - À volonté : amitié avec les animaux (serpents uniquement)
  - 3/jour : suggestion
- Résistance à la magie. Le yuan-ti a un avantage aux jets de sauvegarde contre les sorts et autres effets magiques.
- Type de malison. Le yuan-ti possède un des types suivants :
  - Type 1 : Corps humain et tête de serpent.
  - Type 2 : Tête humaine et des serpents à la place des bras.
  - Type 3 : Tête et buste humain avec un corps de serpent à la place des jambes.</t>
  </si>
  <si>
    <t xml:space="preserve">Pour le Type 1
Attaques multiples (forme de yuan-ti uniquement). Le yuan-ti effectue deux attaques à distance ou deux attaques au corps à corps, mais il ne peut utiliser son attaque de morsure qu'une fois.
- Morsure. Attaque au corps à corps avec une arme : +5 au toucher, allonge 1,50 m, une créature. Touché : 5 (1d4 + 3) dégâts perforants + 7 (2d6) dégâts de poison.
- Cimeterre (forme de yuan-ti uniquement). Attaque au corps à corps avec une arme : +5 au toucher, allonge 1,50 m, une cible. Touché : 6 (1d6 + 3) dégâts tranchants.
- Arc long (forme de yuan-ti uniquement). Attaque à distance avec une arme : +4 au toucher, portée 45/180 m, une cible. Touché : 6 (1d8 + 2) dégâts perforants + 7 (2d6) dégâts de poison.
Pour le Type 2
Attaques multiples (forme de yuan-ti uniquement). Le yuan-ti effectue deux attaques de morsure avec ses bras serpents.
- Morsure. Attaque au corps à corps avec une arme : +5 au toucher, allonge 1,50 m, une créature. Touché : 5 (1d4 + 3) dégâts perforants + 7 (2d6) dégâts de poison.
Pour le Type 3
Attaques multiples (forme de yuan-ti uniquement). Le yuan-ti effectue deux attaques à distance ou deux attaques au corps à corps, mais il ne peut utiliser son attaque de constriction qu'une fois.
- Morsure (forme de serpent uniquement). Attaque au corps à corps avec une arme : +5 au toucher, allonge 1,50 m, une créature. Touché : 5 (1d4 + 3) dégâts perforants + 7 (2d6) dégâts de poison.
- Constriction. Attaque au corps à corps avec une arme : +5 au toucher, allonge 1,50 m, une cible. Touché : 10 (2d6 + 3) dégâts contondants, et la cible est agrippée (DD 13 pour s'échapper). Tant qu'elle est agrippée, la créature est entravée, et le yuan-ti ne peut pas étreindre une autre cible.
- Cimeterre (forme de yuan-ti uniquement). Attaque au corps à corps avec une arme : +5 au toucher, allonge 1,50 m, une cible. Touché : 6 (1d6 + 3) dégâts tranchants.
- Arc long (forme de yuan-ti uniquement). Attaque à distance avec une arme : +4 au toucher, portée 45/180 m, une cible. Touché : 6 (1d8 + 2) dégâts perforants</t>
  </si>
  <si>
    <t xml:space="preserve">Yuan-ti, sang-pur</t>
  </si>
  <si>
    <t xml:space="preserve">Discrétion+3
Perception+3
Tromperie+6</t>
  </si>
  <si>
    <t xml:space="preserve">- Immunités aux dégâts poison
- Immunités aux états empoisonné
- Sens vision dans le noir 18 m, Perception passive 13
- Incantation innée. La caractéristique d'incantation innée du yuan-ti est le Charisme (jet de sauvegarde contre ses sorts DD 12). Le yuan-ti peut lancer les sorts suivants de manière innée, sans avoir besoin de composantes matérielles :
  - À volonté : amitié avec les animaux (serpents uniquement)
  - 3/jour chacun : suggestion, bouffée de poison
- Résistance à la magie. Le yuan-ti a un avantage aux jets de sauvegarde contre les sorts et autres effets magiques.</t>
  </si>
  <si>
    <t xml:space="preserve">Attaques multiples. Le yuan-ti effectue deux attaques au corps à corps.
- Cimeterre. Attaque au corps à corps avec une arme : +3 au toucher, allonge 1,50 m, une cible. Touché : 4 (1d6 + 1) dégâts tranchants.
- Arc court. Attaque à distance avec une arme : +3 au toucher, portée 24/96 m, une cible. Touché : 4 (1d6 + 1) dégâts perforants + 7 (2d6) dégâts de poison.</t>
  </si>
  <si>
    <t xml:space="preserve">Zariel</t>
  </si>
  <si>
    <t xml:space="preserve">580 (40d10+360)</t>
  </si>
  <si>
    <t xml:space="preserve">Intimidation +18
Perception +16
JS INT+16
JS SAG+16
JS CHA+18</t>
  </si>
  <si>
    <t xml:space="preserve">- Résistances aux dégâts froid, feu, radiant ; contondant, perforant et tranchant d'attaques non magiques qui ne sont pas en argent
- Immunités aux dégâts nécrotique, poison
- Immunités aux états charmé, épuisement, effrayé, empoisonné
- Sens vision dans le noir 36 m, Perception passive 26
- Vision de diable. Des ténèbres magiques ne gênent pas la vision dans le noir de Zariel.
- Armes ardentes. Les attaques avec une arme de Zariel sont magiques. Quand elle touche avec une arme, l'arme inflige 36 (8d8) dégâts de feu supplémentaires (inclus dans les attaques avec une arme ci-dessous).
- Incantation innée. La caractéristique d'incantation innée de Zariel est le Charisme (jet de sauvegarde contre ses sorts DD 26). Elle peut lancer les sorts suivants de manière innée, sans avoir besoin de composantes matérielles :
  - À volonté : modification d'apparence (peut devenir de taille M lors de son changement d'apparence), détection du mal et du bien, boule de feu, invisibilité (personnel uniquement), mur de feu
  - 3/jour chacun : barrière de lames, dissipation du mal et du bien, doigt de mort
- Résistance légendaire (3/jour). Si Zariel échoue à un jet de sauvegarde, elle peut décider de transformer cet échec en réussite.
- Résistance à la magie. Zariel a un avantage aux jets de sauvegarde contre les sorts et autres effets magiques.
- Régénération. Zariel récupère 20 points de vie au début de son tour. Si elle subit des dégâts radiants, ce trait ne fonctionne pas au début de son prochain tour. Zariel ne meurt que si elle débute son tour avec 0 point de vie et qu'elle ne se régénère pas.</t>
  </si>
  <si>
    <t xml:space="preserve">- Attaques multiples. Zariel effectue deux attaques avec son épée longue ou ses javelines. Elle peut remplacer une de ces attaques par Contact affreux.
  -  Épée longue. Attaque au corps à corps avec une arme : +16 au toucher, allonge 3 m, une cible. Touché : 17 (2d8 + 8) dégâts tranchants, ou 19 (2d10 + 8) dégâts tranchants si utilisée à deux mains, plus 36 (8d8) dégâts de feu.
  - Javeline. Attaque au corps à corps ou à distance avec une arme : +16 au toucher, allonge 3 m ou portée 9/36 m, une cible. Touché : 15 (2d6 + 8) dégâts perforants + 36 (8d8) dégâts de feu.
  - Contact affreux (Recharge 5-6). Attaque au corps à corps avec une arme : +16 au toucher, allonge 3 m, une cible. Touché : 44 (8d10) dégâts nécrotiques et la cible est empoisonnée pendant 1 minute. Tant qu'elle est empoisonnée de la sorte, la cible est aussi aveuglée et assourdie. La cible peut relancer le jet de sauvegarde à la fin de chacun de ses tours, mettant fin à l'effet qui l'affecte en cas de réussite.
- Téléportation. Zariel se téléporte magiquement, avec tout l'équipement qu'elle porte ou transporte, vers un espace inoccupé qu'elle peut voir et situé dans un rayon de 36 mètres autour d'elle.</t>
  </si>
  <si>
    <t xml:space="preserve">Zariel peut effectuer 3 actions légendaires, en choisissant parmi les options suivantes. Une seule action légendaire peut être effectuée à la fois, et seulement à la fin du tour d'une autre créature. Zariel récupère les actions légendaires dépensées au début de son tour.
- Regard immolant (coûte 2 actions). Zariel tourne son regard magique vers une créature qu'elle peut voir dans un rayon de 36 m autour d'elle et la fait se consumer par le feu. La cible doit réussir un jet de sauvegarde de Sagesse DD 26 ou subir 22 (4d10) de dégâts de feu.
- Téléportation. Zariel utilise son action Téléportation.</t>
  </si>
  <si>
    <t xml:space="preserve">Zombi</t>
  </si>
  <si>
    <t xml:space="preserve">JS SAG+0</t>
  </si>
  <si>
    <t xml:space="preserve">- Immunité contre les dégâts de poison
- Immunité contre l’état empoisonné
- Sens vision dans le noir 18 m, Perception passive 8
- Robustesse de la non-vie. Si des dégâts réduisent à 0 les points de vie du zombi, celui-ci effectue un jet de sauvegarde de Constitution DD 5 + les dégâts subis, à moins que ces dégâts soient de type radiant ou infligés par un coup critique. En cas de réussite, le zombi tombe à 1 point de vie à la place.</t>
  </si>
  <si>
    <t xml:space="preserve">- Coup. Attaque d’arme au corps à corps : +3 pour toucher, allonge
1,50 m, une cible. Touché : 4 (1d6+1) dégâts contondants.</t>
  </si>
  <si>
    <t xml:space="preserve">Zombi ogre</t>
  </si>
  <si>
    <t xml:space="preserve">85 (9d10+36)</t>
  </si>
  <si>
    <t xml:space="preserve">géant, commun (compris)</t>
  </si>
  <si>
    <t xml:space="preserve">- Immunités aux dégâts poison
- Immunités aux états empoisonné
- Sens vision dans le noir 18 m, Perception passive 8
- Tenacité de mort-vivant. Si des dégâts font tomber le zombi à 0 point de vie, celui-ci doit effectuer un jet de sauvegarde de Constitution DD 5 + les dégâts subis, sauf en cas de dégâts radiants ou de coup critique. En cas de réussite, il tombe à 1 point de vie à la place.</t>
  </si>
  <si>
    <t xml:space="preserve">- Morgenstern. Attaque au corps à corps avec une arme : +6 au toucher, allonge 1,50 m, une cible. Touché : 13 (2d8 + 4) dégâts contondants.</t>
  </si>
  <si>
    <t xml:space="preserve">Zombi tyrannoeil</t>
  </si>
  <si>
    <t xml:space="preserve">profond, commun des profondeurs (compris)</t>
  </si>
  <si>
    <t xml:space="preserve">- Immunités aux dégâts poison
- Immunités aux états à terre, empoisonné
- Sens vision dans le noir 18 m, Perception passive 9
- Tenacité de mort-vivant. Si des dégâts font tomber le zombi à 0 point de vie, celui-ci doit effectuer un jet de sauvegarde de Constitution DD 5 + les dégâts subis, sauf en cas de dégâts radiants ou coup critique. En cas de réussite, il tombe à 1 point de vie à la place.</t>
  </si>
  <si>
    <t xml:space="preserve">- Morsure. Attaque au corps à corps avec une arme : +3 au toucher, allonge 1,50 m, une cible. Touché : 14 (4d6) dégâts perforants.
- Rayons oculaires. Le zombi tire aléatoirement un des rayons oculaires magiques suivants sur une cible qu'il peut voir dans un rayon de 18 mètres :
  1- Rayon paralysant. La créature ciblée doit réussir un jet de sauvegarde de Constitution DD 14 ou être paralysée pendant 1 minute. La cible peut retenter ce jet de sauvegarde à la fin de chacun de ses tours, mettant fin à l'effet qui l'affecte en cas de réussite.
  2- Rayon de peur. La créature ciblée doit réussir un jet de sauvegarde de Sagesse DD 14 ou être effrayée pendant 1 minute. La cible peut retenter ce jet de sauvegarde à la fin de chacun de ses tours, mettant fin à l'effet qui l'affecte en cas de réussite.
  3- Rayon affaiblissant. La créature ciblée doit effectuer un jet de sauvegarde de Constitution DD 14, subissant 36 (8d8) dégâts nécrotiques en cas d'échec, ou la moitié de ces dégâts en cas de réussite.
  4- Rayon de désintégration. Si la cible est une créature, elle doit réussir un jet de sauvegarde de Dextérité DD 14 ou subir 45 (10d8) dégâts de force. Si les dégâts font tomber les points de vie d'une créature à 0, son corps se transforme en un petit monticule de fine poussière grise. Si la cible est un objet non magique, ou la création d'une force magique, de taille G ou inférieure, il est désintégré sans jet de sauvegarde. Si la cible est un objet, ou la création d'une force magique, de taille TG ou supérieure, le rayon en désintègre un cube de 3 mètres d'arête.</t>
  </si>
</sst>
</file>

<file path=xl/styles.xml><?xml version="1.0" encoding="utf-8"?>
<styleSheet xmlns="http://schemas.openxmlformats.org/spreadsheetml/2006/main">
  <numFmts count="4">
    <numFmt numFmtId="164" formatCode="General"/>
    <numFmt numFmtId="165" formatCode="@"/>
    <numFmt numFmtId="166" formatCode="# ?/?"/>
    <numFmt numFmtId="167" formatCode="#,##0"/>
  </numFmts>
  <fonts count="9">
    <font>
      <sz val="10"/>
      <name val="Arial"/>
      <family val="2"/>
    </font>
    <font>
      <sz val="10"/>
      <name val="Arial"/>
      <family val="0"/>
    </font>
    <font>
      <sz val="10"/>
      <name val="Arial"/>
      <family val="0"/>
    </font>
    <font>
      <sz val="10"/>
      <name val="Arial"/>
      <family val="0"/>
    </font>
    <font>
      <sz val="11"/>
      <color theme="1"/>
      <name val="Calibri"/>
      <family val="0"/>
      <charset val="1"/>
    </font>
    <font>
      <u val="single"/>
      <sz val="11"/>
      <color rgb="FF0000FF"/>
      <name val="Calibri"/>
      <family val="0"/>
      <charset val="1"/>
    </font>
    <font>
      <u val="single"/>
      <sz val="11"/>
      <color rgb="FF0563C1"/>
      <name val="Calibri"/>
      <family val="0"/>
      <charset val="1"/>
    </font>
    <font>
      <u val="single"/>
      <sz val="11"/>
      <color rgb="FF1155CC"/>
      <name val="Calibri"/>
      <family val="0"/>
      <charset val="1"/>
    </font>
    <font>
      <i val="true"/>
      <sz val="11"/>
      <color theme="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5"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5" fontId="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center"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5"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155CC"/>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externalLink" Target="externalLinks/externalLink1.xml"/><Relationship Id="rId5"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Gestion%20des%20Rencontres%20et%20Monstres%20DnD5%20v4%20(1)%20-%20Copie%20(2).xlsm.xlsx" TargetMode="External"/>
</Relationships>
</file>

<file path=xl/externalLinks/externalLink1.xml><?xml version="1.0" encoding="utf-8"?>
<externalLink xmlns="http://schemas.openxmlformats.org/spreadsheetml/2006/main">
  <externalBook xmlns:r="http://schemas.openxmlformats.org/officeDocument/2006/relationships" r:id="rId1"/>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idedd.org/dnd/monstres.php?vf=aarakocra" TargetMode="External"/><Relationship Id="rId2" Type="http://schemas.openxmlformats.org/officeDocument/2006/relationships/hyperlink" Target="https://www.aidedd.org/dnd/monstres.php?vf=abjurateur" TargetMode="External"/><Relationship Id="rId3" Type="http://schemas.openxmlformats.org/officeDocument/2006/relationships/hyperlink" Target="https://www.aidedd.org/dnd/monstres.php?vf=aboleth" TargetMode="External"/><Relationship Id="rId4" Type="http://schemas.openxmlformats.org/officeDocument/2006/relationships/hyperlink" Target="https://www.aidedd.org/dnd/monstres.php?vf=abominion" TargetMode="External"/><Relationship Id="rId5" Type="http://schemas.openxmlformats.org/officeDocument/2006/relationships/hyperlink" Target="https://www.aidedd.org/dnd/monstres.php?vf=acolyte" TargetMode="External"/><Relationship Id="rId6" Type="http://schemas.openxmlformats.org/officeDocument/2006/relationships/hyperlink" Target="https://www.aidedd.org/dnd/monstres.php?vf=aigle-geant" TargetMode="External"/><Relationship Id="rId7" Type="http://schemas.openxmlformats.org/officeDocument/2006/relationships/hyperlink" Target="https://www.aidedd.org/dnd/monstres.php?vf=alhoon" TargetMode="External"/><Relationship Id="rId8" Type="http://schemas.openxmlformats.org/officeDocument/2006/relationships/hyperlink" Target="https://www.aidedd.org/dnd/monstres.php?vf=allip-legacy" TargetMode="External"/><Relationship Id="rId9" Type="http://schemas.openxmlformats.org/officeDocument/2006/relationships/hyperlink" Target="https://www.aidedd.org/dnd/monstres.php?vf=allosaure" TargetMode="External"/><Relationship Id="rId10" Type="http://schemas.openxmlformats.org/officeDocument/2006/relationships/hyperlink" Target="https://www.aidedd.org/dnd/monstres.php?vf=ame-en-peine" TargetMode="External"/><Relationship Id="rId11" Type="http://schemas.openxmlformats.org/officeDocument/2006/relationships/hyperlink" Target="https://www.aidedd.org/dnd/monstres.php?vf=androsphinx" TargetMode="External"/><Relationship Id="rId12" Type="http://schemas.openxmlformats.org/officeDocument/2006/relationships/hyperlink" Target="https://www.aidedd.org/dnd/monstres.php?vf=ankheg" TargetMode="External"/><Relationship Id="rId13" Type="http://schemas.openxmlformats.org/officeDocument/2006/relationships/hyperlink" Target="https://www.aidedd.org/dnd/monstres.php?vf=ankylosaure" TargetMode="External"/><Relationship Id="rId14" Type="http://schemas.openxmlformats.org/officeDocument/2006/relationships/hyperlink" Target="https://www.aidedd.org/dnd/monstres.php?vf=apprenti-magicien" TargetMode="External"/><Relationship Id="rId15" Type="http://schemas.openxmlformats.org/officeDocument/2006/relationships/hyperlink" Target="https://www.aidedd.org/dnd/monstres.php?vf=araignee-de-monte-femelle-legacy" TargetMode="External"/><Relationship Id="rId16" Type="http://schemas.openxmlformats.org/officeDocument/2006/relationships/hyperlink" Target="https://www.aidedd.org/dnd/monstres.php?vf=araignee-de-monte-male-legacy" TargetMode="External"/><Relationship Id="rId17" Type="http://schemas.openxmlformats.org/officeDocument/2006/relationships/hyperlink" Target="https://www.aidedd.org/dnd/monstres.php?vf=araignee-de-phase" TargetMode="External"/><Relationship Id="rId18" Type="http://schemas.openxmlformats.org/officeDocument/2006/relationships/hyperlink" Target="https://www.aidedd.org/dnd/monstres.php?vf=araignee-geante" TargetMode="External"/><Relationship Id="rId19" Type="http://schemas.openxmlformats.org/officeDocument/2006/relationships/hyperlink" Target="https://www.aidedd.org/dnd/monstres.php?vf=araignee-loup-geante" TargetMode="External"/><Relationship Id="rId20" Type="http://schemas.openxmlformats.org/officeDocument/2006/relationships/hyperlink" Target="https://www.aidedd.org/dnd/monstres.php?vf=arbre-eveille" TargetMode="External"/><Relationship Id="rId21" Type="http://schemas.openxmlformats.org/officeDocument/2006/relationships/hyperlink" Target="https://www.aidedd.org/dnd/monstres.php?vf=arbuste-eveille" TargetMode="External"/><Relationship Id="rId22" Type="http://schemas.openxmlformats.org/officeDocument/2006/relationships/hyperlink" Target="https://www.aidedd.org/dnd/monstres.php?vf=arcanaloth" TargetMode="External"/><Relationship Id="rId23" Type="http://schemas.openxmlformats.org/officeDocument/2006/relationships/hyperlink" Target="https://www.aidedd.org/dnd/monstres.php?vf=archer" TargetMode="External"/><Relationship Id="rId24" Type="http://schemas.openxmlformats.org/officeDocument/2006/relationships/hyperlink" Target="https://www.aidedd.org/dnd/monstres.php?vf=archer" TargetMode="External"/><Relationship Id="rId25" Type="http://schemas.openxmlformats.org/officeDocument/2006/relationships/hyperlink" Target="https://www.aidedd.org/dnd/monstres.php?vf=archidruide" TargetMode="External"/><Relationship Id="rId26" Type="http://schemas.openxmlformats.org/officeDocument/2006/relationships/hyperlink" Target="https://www.aidedd.org/dnd/monstres.php?vf=archimage" TargetMode="External"/><Relationship Id="rId27" Type="http://schemas.openxmlformats.org/officeDocument/2006/relationships/hyperlink" Target="https://www.aidedd.org/dnd/monstres.php?vf=armure-animee" TargetMode="External"/><Relationship Id="rId28" Type="http://schemas.openxmlformats.org/officeDocument/2006/relationships/hyperlink" Target="https://www.aidedd.org/dnd/monstres.php?vf=assassin" TargetMode="External"/><Relationship Id="rId29" Type="http://schemas.openxmlformats.org/officeDocument/2006/relationships/hyperlink" Target="https://www.aidedd.org/dnd/monstres.php?vf=aurochs" TargetMode="External"/><Relationship Id="rId30" Type="http://schemas.openxmlformats.org/officeDocument/2006/relationships/hyperlink" Target="https://www.aidedd.org/dnd/monstres.php?vf=azer" TargetMode="External"/><Relationship Id="rId31" Type="http://schemas.openxmlformats.org/officeDocument/2006/relationships/hyperlink" Target="https://www.aidedd.org/dnd/monstres.php?vf=babau" TargetMode="External"/><Relationship Id="rId32" Type="http://schemas.openxmlformats.org/officeDocument/2006/relationships/hyperlink" Target="https://www.aidedd.org/dnd/monstres.php?vf=babelien" TargetMode="External"/><Relationship Id="rId33" Type="http://schemas.openxmlformats.org/officeDocument/2006/relationships/hyperlink" Target="https://www.aidedd.org/dnd/monstres.php?vf=babouin" TargetMode="External"/><Relationship Id="rId34" Type="http://schemas.openxmlformats.org/officeDocument/2006/relationships/hyperlink" Target="https://www.aidedd.org/dnd/monstres.php?vf=baiser-de-la-mort" TargetMode="External"/><Relationship Id="rId35" Type="http://schemas.openxmlformats.org/officeDocument/2006/relationships/hyperlink" Target="https://www.aidedd.org/dnd/monstres.php?vf=balor" TargetMode="External"/><Relationship Id="rId36" Type="http://schemas.openxmlformats.org/officeDocument/2006/relationships/hyperlink" Target="https://www.aidedd.org/dnd/monstres.php?vf=banderhobb" TargetMode="External"/><Relationship Id="rId37" Type="http://schemas.openxmlformats.org/officeDocument/2006/relationships/hyperlink" Target="https://www.aidedd.org/dnd/monstres.php?vf=bandit" TargetMode="External"/><Relationship Id="rId38" Type="http://schemas.openxmlformats.org/officeDocument/2006/relationships/hyperlink" Target="https://www.aidedd.org/dnd/monstres.php?vf=bandit-capitaine" TargetMode="External"/><Relationship Id="rId39" Type="http://schemas.openxmlformats.org/officeDocument/2006/relationships/hyperlink" Target="https://www.aidedd.org/dnd/monstres.php?vf=banshie" TargetMode="External"/><Relationship Id="rId40" Type="http://schemas.openxmlformats.org/officeDocument/2006/relationships/hyperlink" Target="https://www.aidedd.org/dnd/monstres.php?vf=barde" TargetMode="External"/><Relationship Id="rId41" Type="http://schemas.openxmlformats.org/officeDocument/2006/relationships/hyperlink" Target="https://www.aidedd.org/dnd/monstres.php?vf=barghest" TargetMode="External"/><Relationship Id="rId42" Type="http://schemas.openxmlformats.org/officeDocument/2006/relationships/hyperlink" Target="https://www.aidedd.org/dnd/monstres.php?vf=barlgura" TargetMode="External"/><Relationship Id="rId43" Type="http://schemas.openxmlformats.org/officeDocument/2006/relationships/hyperlink" Target="https://www.aidedd.org/dnd/monstres.php?vf=basilic" TargetMode="External"/><Relationship Id="rId44" Type="http://schemas.openxmlformats.org/officeDocument/2006/relationships/hyperlink" Target="https://www.aidedd.org/dnd/monstres.php?vf=bec-de-hache" TargetMode="External"/><Relationship Id="rId45" Type="http://schemas.openxmlformats.org/officeDocument/2006/relationships/hyperlink" Target="https://www.aidedd.org/dnd/monstres.php?vf=behir" TargetMode="External"/><Relationship Id="rId46" Type="http://schemas.openxmlformats.org/officeDocument/2006/relationships/hyperlink" Target="https://www.aidedd.org/dnd/monstres.php?vf=belette" TargetMode="External"/><Relationship Id="rId47" Type="http://schemas.openxmlformats.org/officeDocument/2006/relationships/hyperlink" Target="https://www.aidedd.org/dnd/monstres.php?vf=belette-geante" TargetMode="External"/><Relationship Id="rId48" Type="http://schemas.openxmlformats.org/officeDocument/2006/relationships/hyperlink" Target="https://www.aidedd.org/dnd/monstres.php?vf=berserker" TargetMode="External"/><Relationship Id="rId49" Type="http://schemas.openxmlformats.org/officeDocument/2006/relationships/hyperlink" Target="https://www.aidedd.org/dnd/monstres.php?vf=bete-eclipsante" TargetMode="External"/><Relationship Id="rId50" Type="http://schemas.openxmlformats.org/officeDocument/2006/relationships/hyperlink" Target="https://www.aidedd.org/dnd/monstres.php?vf=blaireau" TargetMode="External"/><Relationship Id="rId51" Type="http://schemas.openxmlformats.org/officeDocument/2006/relationships/hyperlink" Target="https://www.aidedd.org/dnd/monstres.php?vf=blaireau-geant" TargetMode="External"/><Relationship Id="rId52" Type="http://schemas.openxmlformats.org/officeDocument/2006/relationships/hyperlink" Target="https://www.aidedd.org/dnd/monstres.php?vf=bleme" TargetMode="External"/><Relationship Id="rId53" Type="http://schemas.openxmlformats.org/officeDocument/2006/relationships/hyperlink" Target="https://www.aidedd.org/dnd/monstres.php?vf=bodak" TargetMode="External"/><Relationship Id="rId54" Type="http://schemas.openxmlformats.org/officeDocument/2006/relationships/hyperlink" Target="https://www.aidedd.org/dnd/monstres.php?vf=boeuf" TargetMode="External"/><Relationship Id="rId55" Type="http://schemas.openxmlformats.org/officeDocument/2006/relationships/hyperlink" Target="https://www.aidedd.org/dnd/monstres.php?vf=boiseux" TargetMode="External"/><Relationship Id="rId56" Type="http://schemas.openxmlformats.org/officeDocument/2006/relationships/hyperlink" Target="https://www.aidedd.org/dnd/monstres.php?vf=bonnet-rouge" TargetMode="External"/><Relationship Id="rId57" Type="http://schemas.openxmlformats.org/officeDocument/2006/relationships/hyperlink" Target="https://www.aidedd.org/dnd/monstres.php?vf=bretteur" TargetMode="External"/><Relationship Id="rId58" Type="http://schemas.openxmlformats.org/officeDocument/2006/relationships/hyperlink" Target="https://www.aidedd.org/dnd/monstres.php?vf=bretteur" TargetMode="External"/><Relationship Id="rId59" Type="http://schemas.openxmlformats.org/officeDocument/2006/relationships/hyperlink" Target="https://www.aidedd.org/dnd/monstres.php?vf=brutacien" TargetMode="External"/><Relationship Id="rId60" Type="http://schemas.openxmlformats.org/officeDocument/2006/relationships/hyperlink" Target="https://www.aidedd.org/dnd/monstres.php?vf=bulette" TargetMode="External"/><Relationship Id="rId61" Type="http://schemas.openxmlformats.org/officeDocument/2006/relationships/hyperlink" Target="https://www.aidedd.org/dnd/monstres.php?vf=cambion" TargetMode="External"/><Relationship Id="rId62" Type="http://schemas.openxmlformats.org/officeDocument/2006/relationships/hyperlink" Target="https://www.aidedd.org/dnd/monstres.php?vf=catoblepas" TargetMode="External"/><Relationship Id="rId63" Type="http://schemas.openxmlformats.org/officeDocument/2006/relationships/hyperlink" Target="https://www.aidedd.org/dnd/monstres.php?vf=centaure" TargetMode="External"/><Relationship Id="rId64" Type="http://schemas.openxmlformats.org/officeDocument/2006/relationships/hyperlink" Target="https://www.aidedd.org/dnd/monstres.php?vf=cerf" TargetMode="External"/><Relationship Id="rId65" Type="http://schemas.openxmlformats.org/officeDocument/2006/relationships/hyperlink" Target="https://www.aidedd.org/dnd/monstres.php?vf=cerveau-venerable" TargetMode="External"/><Relationship Id="rId66" Type="http://schemas.openxmlformats.org/officeDocument/2006/relationships/hyperlink" Target="https://www.aidedd.org/dnd/monstres.php?vf=chacal" TargetMode="External"/><Relationship Id="rId67" Type="http://schemas.openxmlformats.org/officeDocument/2006/relationships/hyperlink" Target="https://www.aidedd.org/dnd/monstres.php?vf=chameau" TargetMode="External"/><Relationship Id="rId68" Type="http://schemas.openxmlformats.org/officeDocument/2006/relationships/hyperlink" Target="https://www.aidedd.org/dnd/monstres.php?vf=champion" TargetMode="External"/><Relationship Id="rId69" Type="http://schemas.openxmlformats.org/officeDocument/2006/relationships/hyperlink" Target="https://www.aidedd.org/dnd/monstres.php?vf=champion" TargetMode="External"/><Relationship Id="rId70" Type="http://schemas.openxmlformats.org/officeDocument/2006/relationships/hyperlink" Target="https://www.aidedd.org/dnd/monstres.php?vf=charognard-rampant" TargetMode="External"/><Relationship Id="rId71" Type="http://schemas.openxmlformats.org/officeDocument/2006/relationships/hyperlink" Target="https://www.aidedd.org/dnd/monstres.php?vf=chasme" TargetMode="External"/><Relationship Id="rId72" Type="http://schemas.openxmlformats.org/officeDocument/2006/relationships/hyperlink" Target="https://www.aidedd.org/dnd/monstres.php?vf=chat" TargetMode="External"/><Relationship Id="rId73" Type="http://schemas.openxmlformats.org/officeDocument/2006/relationships/hyperlink" Target="https://www.aidedd.org/dnd/monstres.php?vf=chauve-souris" TargetMode="External"/><Relationship Id="rId74" Type="http://schemas.openxmlformats.org/officeDocument/2006/relationships/hyperlink" Target="https://www.aidedd.org/dnd/monstres.php?vf=chauve-souris-geante" TargetMode="External"/><Relationship Id="rId75" Type="http://schemas.openxmlformats.org/officeDocument/2006/relationships/hyperlink" Target="https://www.aidedd.org/dnd/monstres.php?vf=cheval-de-guerre" TargetMode="External"/><Relationship Id="rId76" Type="http://schemas.openxmlformats.org/officeDocument/2006/relationships/hyperlink" Target="https://www.aidedd.org/dnd/monstres.php?vf=cheval-de-selle" TargetMode="External"/><Relationship Id="rId77" Type="http://schemas.openxmlformats.org/officeDocument/2006/relationships/hyperlink" Target="https://www.aidedd.org/dnd/monstres.php?vf=cheval-de-trait" TargetMode="External"/><Relationship Id="rId78" Type="http://schemas.openxmlformats.org/officeDocument/2006/relationships/hyperlink" Target="https://www.aidedd.org/dnd/monstres.php?vf=chevalier" TargetMode="External"/><Relationship Id="rId79" Type="http://schemas.openxmlformats.org/officeDocument/2006/relationships/hyperlink" Target="https://www.aidedd.org/dnd/monstres.php?vf=chevalier-de-la-mort" TargetMode="External"/><Relationship Id="rId80" Type="http://schemas.openxmlformats.org/officeDocument/2006/relationships/hyperlink" Target="https://www.aidedd.org/dnd/monstres.php?vf=chevalier-noir" TargetMode="External"/><Relationship Id="rId81" Type="http://schemas.openxmlformats.org/officeDocument/2006/relationships/hyperlink" Target="https://www.aidedd.org/dnd/monstres.php?vf=chevalier-noir" TargetMode="External"/><Relationship Id="rId82" Type="http://schemas.openxmlformats.org/officeDocument/2006/relationships/hyperlink" Target="https://www.aidedd.org/dnd/monstres.php?vf=chevre" TargetMode="External"/><Relationship Id="rId83" Type="http://schemas.openxmlformats.org/officeDocument/2006/relationships/hyperlink" Target="https://www.aidedd.org/dnd/monstres.php?vf=chevre-geante" TargetMode="External"/><Relationship Id="rId84" Type="http://schemas.openxmlformats.org/officeDocument/2006/relationships/hyperlink" Target="https://www.aidedd.org/dnd/monstres.php?vf=chien-de-chasse-infernal" TargetMode="External"/><Relationship Id="rId85" Type="http://schemas.openxmlformats.org/officeDocument/2006/relationships/hyperlink" Target="https://www.aidedd.org/dnd/monstres.php?vf=chien-de-chasse-yeth" TargetMode="External"/><Relationship Id="rId86" Type="http://schemas.openxmlformats.org/officeDocument/2006/relationships/hyperlink" Target="https://www.aidedd.org/dnd/monstres.php?vf=chien-du-trepas" TargetMode="External"/><Relationship Id="rId87" Type="http://schemas.openxmlformats.org/officeDocument/2006/relationships/hyperlink" Target="https://www.aidedd.org/dnd/monstres.php?vf=chien-esquiveur" TargetMode="External"/><Relationship Id="rId88" Type="http://schemas.openxmlformats.org/officeDocument/2006/relationships/hyperlink" Target="https://www.aidedd.org/dnd/monstres.php?vf=chimere" TargetMode="External"/><Relationship Id="rId89" Type="http://schemas.openxmlformats.org/officeDocument/2006/relationships/hyperlink" Target="https://www.aidedd.org/dnd/monstres.php?vf=chitine" TargetMode="External"/><Relationship Id="rId90" Type="http://schemas.openxmlformats.org/officeDocument/2006/relationships/hyperlink" Target="https://www.aidedd.org/dnd/monstres.php?vf=choldrith" TargetMode="External"/><Relationship Id="rId91" Type="http://schemas.openxmlformats.org/officeDocument/2006/relationships/hyperlink" Target="https://www.aidedd.org/dnd/monstres.php?vf=chouette" TargetMode="External"/><Relationship Id="rId92" Type="http://schemas.openxmlformats.org/officeDocument/2006/relationships/hyperlink" Target="https://www.aidedd.org/dnd/monstres.php?vf=chouette-geante" TargetMode="External"/><Relationship Id="rId93" Type="http://schemas.openxmlformats.org/officeDocument/2006/relationships/hyperlink" Target="https://www.aidedd.org/dnd/monstres.php?vf=chuul" TargetMode="External"/><Relationship Id="rId94" Type="http://schemas.openxmlformats.org/officeDocument/2006/relationships/hyperlink" Target="https://www.aidedd.org/dnd/monstres.php?vf=cockatrice" TargetMode="External"/><Relationship Id="rId95" Type="http://schemas.openxmlformats.org/officeDocument/2006/relationships/hyperlink" Target="https://www.aidedd.org/dnd/monstres.php?vf=corbeau" TargetMode="External"/><Relationship Id="rId96" Type="http://schemas.openxmlformats.org/officeDocument/2006/relationships/hyperlink" Target="https://www.aidedd.org/dnd/monstres.php?vf=couatl" TargetMode="External"/><Relationship Id="rId97" Type="http://schemas.openxmlformats.org/officeDocument/2006/relationships/hyperlink" Target="https://www.aidedd.org/dnd/monstres.php?vf=crabe" TargetMode="External"/><Relationship Id="rId98" Type="http://schemas.openxmlformats.org/officeDocument/2006/relationships/hyperlink" Target="https://www.aidedd.org/dnd/monstres.php?vf=crabe-geant" TargetMode="External"/><Relationship Id="rId99" Type="http://schemas.openxmlformats.org/officeDocument/2006/relationships/hyperlink" Target="https://www.aidedd.org/dnd/monstres.php?vf=crabe-pecheur" TargetMode="External"/><Relationship Id="rId100" Type="http://schemas.openxmlformats.org/officeDocument/2006/relationships/hyperlink" Target="https://www.aidedd.org/dnd/monstres.php?vf=cranefeu" TargetMode="External"/><Relationship Id="rId101" Type="http://schemas.openxmlformats.org/officeDocument/2006/relationships/hyperlink" Target="https://www.aidedd.org/dnd/monstres.php?vf=crapaud-geant" TargetMode="External"/><Relationship Id="rId102" Type="http://schemas.openxmlformats.org/officeDocument/2006/relationships/hyperlink" Target="https://www.aidedd.org/dnd/monstres.php?vf=criard" TargetMode="External"/><Relationship Id="rId103" Type="http://schemas.openxmlformats.org/officeDocument/2006/relationships/hyperlink" Target="https://www.aidedd.org/dnd/monstres.php?vf=crocodile" TargetMode="External"/><Relationship Id="rId104" Type="http://schemas.openxmlformats.org/officeDocument/2006/relationships/hyperlink" Target="https://www.aidedd.org/dnd/monstres.php?vf=crocodile-geant" TargetMode="External"/><Relationship Id="rId105" Type="http://schemas.openxmlformats.org/officeDocument/2006/relationships/hyperlink" Target="https://www.aidedd.org/dnd/monstres.php?vf=croque-mitaine" TargetMode="External"/><Relationship Id="rId106" Type="http://schemas.openxmlformats.org/officeDocument/2006/relationships/hyperlink" Target="https://www.aidedd.org/dnd/monstres.php?vf=cube-gelatineux" TargetMode="External"/><Relationship Id="rId107" Type="http://schemas.openxmlformats.org/officeDocument/2006/relationships/hyperlink" Target="https://www.aidedd.org/dnd/monstres.php?vf=cuirassier-astral-legacy" TargetMode="External"/><Relationship Id="rId108" Type="http://schemas.openxmlformats.org/officeDocument/2006/relationships/hyperlink" Target="https://www.aidedd.org/dnd/monstres.php?vf=cultiste" TargetMode="External"/><Relationship Id="rId109" Type="http://schemas.openxmlformats.org/officeDocument/2006/relationships/hyperlink" Target="https://www.aidedd.org/dnd/monstres.php?vf=cyclope" TargetMode="External"/><Relationship Id="rId110" Type="http://schemas.openxmlformats.org/officeDocument/2006/relationships/hyperlink" Target="https://www.aidedd.org/dnd/monstres.php?vf=dao" TargetMode="External"/><Relationship Id="rId111" Type="http://schemas.openxmlformats.org/officeDocument/2006/relationships/hyperlink" Target="https://www.aidedd.org/dnd/monstres.php?vf=dragon-d-emeraude-adulte" TargetMode="External"/><Relationship Id="rId112" Type="http://schemas.openxmlformats.org/officeDocument/2006/relationships/hyperlink" Target="https://www.aidedd.org/dnd/monstres.php?vf=dauphin" TargetMode="External"/><Relationship Id="rId113" Type="http://schemas.openxmlformats.org/officeDocument/2006/relationships/hyperlink" Target="https://www.aidedd.org/dnd/monstres.php?vf=demi-dragon-rouge-veteran" TargetMode="External"/><Relationship Id="rId114" Type="http://schemas.openxmlformats.org/officeDocument/2006/relationships/hyperlink" Target="https://www.aidedd.org/dnd/monstres.php?vf=demi-liche" TargetMode="External"/><Relationship Id="rId115" Type="http://schemas.openxmlformats.org/officeDocument/2006/relationships/hyperlink" Target="https://www.aidedd.org/dnd/monstres.php?vf=demi-ogre" TargetMode="External"/><Relationship Id="rId116" Type="http://schemas.openxmlformats.org/officeDocument/2006/relationships/hyperlink" Target="https://www.aidedd.org/dnd/monstres.php?vf=demogorgon-legacy" TargetMode="External"/><Relationship Id="rId117" Type="http://schemas.openxmlformats.org/officeDocument/2006/relationships/hyperlink" Target="https://www.aidedd.org/dnd/monstres.php?vf=demon-des-ombres" TargetMode="External"/><Relationship Id="rId118" Type="http://schemas.openxmlformats.org/officeDocument/2006/relationships/hyperlink" Target="https://www.aidedd.org/dnd/monstres.php?vf=demon-glouton" TargetMode="External"/><Relationship Id="rId119" Type="http://schemas.openxmlformats.org/officeDocument/2006/relationships/hyperlink" Target="https://www.aidedd.org/dnd/monstres.php?vf=destrier-noir" TargetMode="External"/><Relationship Id="rId120" Type="http://schemas.openxmlformats.org/officeDocument/2006/relationships/hyperlink" Target="https://www.aidedd.org/dnd/monstres.php?vf=deva" TargetMode="External"/><Relationship Id="rId121" Type="http://schemas.openxmlformats.org/officeDocument/2006/relationships/hyperlink" Target="https://www.aidedd.org/dnd/monstres.php?vf=devin" TargetMode="External"/><Relationship Id="rId122" Type="http://schemas.openxmlformats.org/officeDocument/2006/relationships/hyperlink" Target="https://www.aidedd.org/dnd/monstres.php?vf=devoreur-d-ame" TargetMode="External"/><Relationship Id="rId123" Type="http://schemas.openxmlformats.org/officeDocument/2006/relationships/hyperlink" Target="https://www.aidedd.org/dnd/monstres.php?vf=devoreur-d-intellect" TargetMode="External"/><Relationship Id="rId124" Type="http://schemas.openxmlformats.org/officeDocument/2006/relationships/hyperlink" Target="https://www.aidedd.org/dnd/monstres.php?vf=diable-a-chaines" TargetMode="External"/><Relationship Id="rId125" Type="http://schemas.openxmlformats.org/officeDocument/2006/relationships/hyperlink" Target="https://www.aidedd.org/dnd/monstres.php?vf=diable-barbele" TargetMode="External"/><Relationship Id="rId126" Type="http://schemas.openxmlformats.org/officeDocument/2006/relationships/hyperlink" Target="https://www.aidedd.org/dnd/monstres.php?vf=diable-barbu" TargetMode="External"/><Relationship Id="rId127" Type="http://schemas.openxmlformats.org/officeDocument/2006/relationships/hyperlink" Target="https://www.aidedd.org/dnd/monstres.php?vf=diable-cornu" TargetMode="External"/><Relationship Id="rId128" Type="http://schemas.openxmlformats.org/officeDocument/2006/relationships/hyperlink" Target="https://www.aidedd.org/dnd/monstres.php?vf=diable-epineux" TargetMode="External"/><Relationship Id="rId129" Type="http://schemas.openxmlformats.org/officeDocument/2006/relationships/hyperlink" Target="https://www.aidedd.org/dnd/monstres.php?vf=diable-gele" TargetMode="External"/><Relationship Id="rId130" Type="http://schemas.openxmlformats.org/officeDocument/2006/relationships/hyperlink" Target="https://www.aidedd.org/dnd/monstres.php?vf=diable-osseux" TargetMode="External"/><Relationship Id="rId131" Type="http://schemas.openxmlformats.org/officeDocument/2006/relationships/hyperlink" Target="https://www.aidedd.org/dnd/monstres.php?vf=diablotin" TargetMode="External"/><Relationship Id="rId132" Type="http://schemas.openxmlformats.org/officeDocument/2006/relationships/hyperlink" Target="https://www.aidedd.org/dnd/monstres.php?vf=diantrefosse" TargetMode="External"/><Relationship Id="rId133" Type="http://schemas.openxmlformats.org/officeDocument/2006/relationships/hyperlink" Target="https://www.aidedd.org/dnd/monstres.php?vf=djinn" TargetMode="External"/><Relationship Id="rId134" Type="http://schemas.openxmlformats.org/officeDocument/2006/relationships/hyperlink" Target="https://www.aidedd.org/dnd/monstres.php?vf=doppelganger" TargetMode="External"/><Relationship Id="rId135" Type="http://schemas.openxmlformats.org/officeDocument/2006/relationships/hyperlink" Target="https://www.aidedd.org/dnd/monstres.php?vf=dracoliche-bleue-adulte" TargetMode="External"/><Relationship Id="rId136" Type="http://schemas.openxmlformats.org/officeDocument/2006/relationships/hyperlink" Target="https://www.aidedd.org/dnd/monstres.php?vf=draconien-fantassin" TargetMode="External"/><Relationship Id="rId137" Type="http://schemas.openxmlformats.org/officeDocument/2006/relationships/hyperlink" Target="https://www.aidedd.org/dnd/monstres.php?vf=draegloth" TargetMode="External"/><Relationship Id="rId138" Type="http://schemas.openxmlformats.org/officeDocument/2006/relationships/hyperlink" Target="https://www.aidedd.org/dnd/monstres.php?vf=dragon-blanc-adulte" TargetMode="External"/><Relationship Id="rId139" Type="http://schemas.openxmlformats.org/officeDocument/2006/relationships/hyperlink" Target="https://www.aidedd.org/dnd/monstres.php?vf=dragon-blanc-ancien" TargetMode="External"/><Relationship Id="rId140" Type="http://schemas.openxmlformats.org/officeDocument/2006/relationships/hyperlink" Target="https://www.aidedd.org/dnd/monstres.php?vf=dragon-blanc-dragonnet" TargetMode="External"/><Relationship Id="rId141" Type="http://schemas.openxmlformats.org/officeDocument/2006/relationships/hyperlink" Target="https://www.aidedd.org/dnd/monstres.php?vf=dragon-blanc-jeune" TargetMode="External"/><Relationship Id="rId142" Type="http://schemas.openxmlformats.org/officeDocument/2006/relationships/hyperlink" Target="https://www.aidedd.org/dnd/monstres.php?vf=dragon-bleu-adulte" TargetMode="External"/><Relationship Id="rId143" Type="http://schemas.openxmlformats.org/officeDocument/2006/relationships/hyperlink" Target="https://www.aidedd.org/dnd/monstres.php?vf=dragon-bleu-ancien" TargetMode="External"/><Relationship Id="rId144" Type="http://schemas.openxmlformats.org/officeDocument/2006/relationships/hyperlink" Target="https://www.aidedd.org/dnd/monstres.php?vf=dragon-bleu-dragonnet" TargetMode="External"/><Relationship Id="rId145" Type="http://schemas.openxmlformats.org/officeDocument/2006/relationships/hyperlink" Target="https://www.aidedd.org/dnd/monstres.php?vf=dragon-bleu-jeune" TargetMode="External"/><Relationship Id="rId146" Type="http://schemas.openxmlformats.org/officeDocument/2006/relationships/hyperlink" Target="https://www.aidedd.org/dnd/monstres.php?vf=dragon-d-argent-ancien" TargetMode="External"/><Relationship Id="rId147" Type="http://schemas.openxmlformats.org/officeDocument/2006/relationships/hyperlink" Target="https://www.aidedd.org/dnd/monstres.php?vf=dragon-d-airain-adulte" TargetMode="External"/><Relationship Id="rId148" Type="http://schemas.openxmlformats.org/officeDocument/2006/relationships/hyperlink" Target="https://www.aidedd.org/dnd/monstres.php?vf=dragon-d-airain-ancien" TargetMode="External"/><Relationship Id="rId149" Type="http://schemas.openxmlformats.org/officeDocument/2006/relationships/hyperlink" Target="https://www.aidedd.org/dnd/monstres.php?vf=dragon-d-airain-dragonnet" TargetMode="External"/><Relationship Id="rId150" Type="http://schemas.openxmlformats.org/officeDocument/2006/relationships/hyperlink" Target="https://www.aidedd.org/dnd/monstres.php?vf=dragon-d-airain-jeune" TargetMode="External"/><Relationship Id="rId151" Type="http://schemas.openxmlformats.org/officeDocument/2006/relationships/hyperlink" Target="https://www.aidedd.org/dnd/monstres.php?vf=dragon-d-amethyste-adulte" TargetMode="External"/><Relationship Id="rId152" Type="http://schemas.openxmlformats.org/officeDocument/2006/relationships/hyperlink" Target="https://www.aidedd.org/dnd/monstres.php?vf=dragon-d-argent-adulte" TargetMode="External"/><Relationship Id="rId153" Type="http://schemas.openxmlformats.org/officeDocument/2006/relationships/hyperlink" Target="https://www.aidedd.org/dnd/monstres.php?vf=dragon-d-argent-dragonnet" TargetMode="External"/><Relationship Id="rId154" Type="http://schemas.openxmlformats.org/officeDocument/2006/relationships/hyperlink" Target="https://www.aidedd.org/dnd/monstres.php?vf=dragon-d-argent-jeune" TargetMode="External"/><Relationship Id="rId155" Type="http://schemas.openxmlformats.org/officeDocument/2006/relationships/hyperlink" Target="https://www.aidedd.org/dnd/monstres.php?vf=dragon-de-bronze-ancien" TargetMode="External"/><Relationship Id="rId156" Type="http://schemas.openxmlformats.org/officeDocument/2006/relationships/hyperlink" Target="https://www.aidedd.org/dnd/monstres.php?vf=dragon-de-bronze-adulte" TargetMode="External"/><Relationship Id="rId157" Type="http://schemas.openxmlformats.org/officeDocument/2006/relationships/hyperlink" Target="https://www.aidedd.org/dnd/monstres.php?vf=dragon-de-bronze-dragonnet" TargetMode="External"/><Relationship Id="rId158" Type="http://schemas.openxmlformats.org/officeDocument/2006/relationships/hyperlink" Target="https://www.aidedd.org/dnd/monstres.php?vf=dragon-de-bronze-jeune" TargetMode="External"/><Relationship Id="rId159" Type="http://schemas.openxmlformats.org/officeDocument/2006/relationships/hyperlink" Target="https://www.aidedd.org/dnd/monstres.php?vf=dragon-de-cristal-adulte" TargetMode="External"/><Relationship Id="rId160" Type="http://schemas.openxmlformats.org/officeDocument/2006/relationships/hyperlink" Target="https://www.aidedd.org/dnd/monstres.php?vf=dragon-de-cuivre-adulte" TargetMode="External"/><Relationship Id="rId161" Type="http://schemas.openxmlformats.org/officeDocument/2006/relationships/hyperlink" Target="https://www.aidedd.org/dnd/monstres.php?vf=dragon-de-cuivre-ancien" TargetMode="External"/><Relationship Id="rId162" Type="http://schemas.openxmlformats.org/officeDocument/2006/relationships/hyperlink" Target="https://www.aidedd.org/dnd/monstres.php?vf=dragon-de-cuivre-dragonnet" TargetMode="External"/><Relationship Id="rId163" Type="http://schemas.openxmlformats.org/officeDocument/2006/relationships/hyperlink" Target="https://www.aidedd.org/dnd/monstres.php?vf=dragon-de-cuivre-jeune" TargetMode="External"/><Relationship Id="rId164" Type="http://schemas.openxmlformats.org/officeDocument/2006/relationships/hyperlink" Target="https://www.aidedd.org/dnd/monstres.php?vf=dragon-de-saphir-adulte" TargetMode="External"/><Relationship Id="rId165" Type="http://schemas.openxmlformats.org/officeDocument/2006/relationships/hyperlink" Target="https://www.aidedd.org/dnd/monstres.php?vf=dragon-de-topaze-adulte" TargetMode="External"/><Relationship Id="rId166" Type="http://schemas.openxmlformats.org/officeDocument/2006/relationships/hyperlink" Target="https://www.aidedd.org/dnd/monstres.php?vf=dragon-d-ombre-rouge-jeune" TargetMode="External"/><Relationship Id="rId167" Type="http://schemas.openxmlformats.org/officeDocument/2006/relationships/hyperlink" Target="https://www.aidedd.org/dnd/monstres.php?vf=dragon-d-or-adulte" TargetMode="External"/><Relationship Id="rId168" Type="http://schemas.openxmlformats.org/officeDocument/2006/relationships/hyperlink" Target="https://www.aidedd.org/dnd/monstres.php?vf=dragon-d-or-ancien" TargetMode="External"/><Relationship Id="rId169" Type="http://schemas.openxmlformats.org/officeDocument/2006/relationships/hyperlink" Target="https://www.aidedd.org/dnd/monstres.php?vf=dragon-d-or-dragonnet" TargetMode="External"/><Relationship Id="rId170" Type="http://schemas.openxmlformats.org/officeDocument/2006/relationships/hyperlink" Target="https://www.aidedd.org/dnd/monstres.php?vf=dragon-d-or-jeune" TargetMode="External"/><Relationship Id="rId171" Type="http://schemas.openxmlformats.org/officeDocument/2006/relationships/hyperlink" Target="https://www.aidedd.org/dnd/monstres.php?vf=dragon-feerique" TargetMode="External"/><Relationship Id="rId172" Type="http://schemas.openxmlformats.org/officeDocument/2006/relationships/hyperlink" Target="https://www.aidedd.org/dnd/monstres.php?vf=dragon-noir-adulte" TargetMode="External"/><Relationship Id="rId173" Type="http://schemas.openxmlformats.org/officeDocument/2006/relationships/hyperlink" Target="https://www.aidedd.org/dnd/monstres.php?vf=dragon-noir-ancien" TargetMode="External"/><Relationship Id="rId174" Type="http://schemas.openxmlformats.org/officeDocument/2006/relationships/hyperlink" Target="https://www.aidedd.org/dnd/monstres.php?vf=dragon-noir-dragonnet" TargetMode="External"/><Relationship Id="rId175" Type="http://schemas.openxmlformats.org/officeDocument/2006/relationships/hyperlink" Target="https://www.aidedd.org/dnd/monstres.php?vf=dragon-noir-jeune" TargetMode="External"/><Relationship Id="rId176" Type="http://schemas.openxmlformats.org/officeDocument/2006/relationships/hyperlink" Target="https://www.aidedd.org/dnd/monstres.php?vf=dragon-pierre-de-lune-adulte" TargetMode="External"/><Relationship Id="rId177" Type="http://schemas.openxmlformats.org/officeDocument/2006/relationships/hyperlink" Target="https://www.aidedd.org/dnd/monstres.php?vf=dragon-rouge-adulte" TargetMode="External"/><Relationship Id="rId178" Type="http://schemas.openxmlformats.org/officeDocument/2006/relationships/hyperlink" Target="https://www.aidedd.org/dnd/monstres.php?vf=dragon-rouge-ancien" TargetMode="External"/><Relationship Id="rId179" Type="http://schemas.openxmlformats.org/officeDocument/2006/relationships/hyperlink" Target="https://www.aidedd.org/dnd/monstres.php?vf=dragon-rouge-dragonnet" TargetMode="External"/><Relationship Id="rId180" Type="http://schemas.openxmlformats.org/officeDocument/2006/relationships/hyperlink" Target="https://www.aidedd.org/dnd/monstres.php?vf=dragon-rouge-jeune" TargetMode="External"/><Relationship Id="rId181" Type="http://schemas.openxmlformats.org/officeDocument/2006/relationships/hyperlink" Target="https://www.aidedd.org/dnd/monstres.php?vf=dragon-vert-adulte" TargetMode="External"/><Relationship Id="rId182" Type="http://schemas.openxmlformats.org/officeDocument/2006/relationships/hyperlink" Target="https://www.aidedd.org/dnd/monstres.php?vf=dragon-vert-ancien" TargetMode="External"/><Relationship Id="rId183" Type="http://schemas.openxmlformats.org/officeDocument/2006/relationships/hyperlink" Target="https://www.aidedd.org/dnd/monstres.php?vf=dragon-vert-dragonnet" TargetMode="External"/><Relationship Id="rId184" Type="http://schemas.openxmlformats.org/officeDocument/2006/relationships/hyperlink" Target="https://www.aidedd.org/dnd/monstres.php?vf=dragon-vert-jeune" TargetMode="External"/><Relationship Id="rId185" Type="http://schemas.openxmlformats.org/officeDocument/2006/relationships/hyperlink" Target="https://www.aidedd.org/dnd/monstres.php?vf=dragon-tortue" TargetMode="External"/><Relationship Id="rId186" Type="http://schemas.openxmlformats.org/officeDocument/2006/relationships/hyperlink" Target="https://www.aidedd.org/dnd/monstres.php?vf=drake-gardien" TargetMode="External"/><Relationship Id="rId187" Type="http://schemas.openxmlformats.org/officeDocument/2006/relationships/hyperlink" Target="https://www.aidedd.org/dnd/monstres.php?vf=dretch" TargetMode="External"/><Relationship Id="rId188" Type="http://schemas.openxmlformats.org/officeDocument/2006/relationships/hyperlink" Target="https://www.aidedd.org/dnd/monstres.php?vf=drider" TargetMode="External"/><Relationship Id="rId189" Type="http://schemas.openxmlformats.org/officeDocument/2006/relationships/hyperlink" Target="https://www.aidedd.org/dnd/monstres.php?vf=drow" TargetMode="External"/><Relationship Id="rId190" Type="http://schemas.openxmlformats.org/officeDocument/2006/relationships/hyperlink" Target="https://www.aidedd.org/dnd/monstres.php?vf=drow-capitaine-de-maison-legacy" TargetMode="External"/><Relationship Id="rId191" Type="http://schemas.openxmlformats.org/officeDocument/2006/relationships/hyperlink" Target="https://www.aidedd.org/dnd/monstres.php?vf=drow-guerrier-d-elite" TargetMode="External"/><Relationship Id="rId192" Type="http://schemas.openxmlformats.org/officeDocument/2006/relationships/hyperlink" Target="https://www.aidedd.org/dnd/monstres.php?vf=drow-inquisitrice-legacy" TargetMode="External"/><Relationship Id="rId193" Type="http://schemas.openxmlformats.org/officeDocument/2006/relationships/hyperlink" Target="https://www.aidedd.org/dnd/monstres.php?vf=drow-mage" TargetMode="External"/><Relationship Id="rId194" Type="http://schemas.openxmlformats.org/officeDocument/2006/relationships/hyperlink" Target="https://www.aidedd.org/dnd/monstres.php?vf=drow-pretresse-de-lolth" TargetMode="External"/><Relationship Id="rId195" Type="http://schemas.openxmlformats.org/officeDocument/2006/relationships/hyperlink" Target="https://www.aidedd.org/dnd/monstres.php?vf=druide" TargetMode="External"/><Relationship Id="rId196" Type="http://schemas.openxmlformats.org/officeDocument/2006/relationships/hyperlink" Target="https://www.aidedd.org/dnd/monstres.php?vf=dryade" TargetMode="External"/><Relationship Id="rId197" Type="http://schemas.openxmlformats.org/officeDocument/2006/relationships/hyperlink" Target="https://www.aidedd.org/dnd/monstres.php?vf=duergar" TargetMode="External"/><Relationship Id="rId198" Type="http://schemas.openxmlformats.org/officeDocument/2006/relationships/hyperlink" Target="https://www.aidedd.org/dnd/monstres.php?vf=duergar-despote-legacy" TargetMode="External"/><Relationship Id="rId199" Type="http://schemas.openxmlformats.org/officeDocument/2006/relationships/hyperlink" Target="https://www.aidedd.org/dnd/monstres.php?vf=duergar-gardepierre-legacy" TargetMode="External"/><Relationship Id="rId200" Type="http://schemas.openxmlformats.org/officeDocument/2006/relationships/hyperlink" Target="https://www.aidedd.org/dnd/monstres.php?vf=duergar-kavalrachni-legacy" TargetMode="External"/><Relationship Id="rId201" Type="http://schemas.openxmlformats.org/officeDocument/2006/relationships/hyperlink" Target="https://www.aidedd.org/dnd/monstres.php?vf=duergar-mentaliste-legacy" TargetMode="External"/><Relationship Id="rId202" Type="http://schemas.openxmlformats.org/officeDocument/2006/relationships/hyperlink" Target="https://www.aidedd.org/dnd/monstres.php?vf=duergar-seigneur-de-guerre-legacy" TargetMode="External"/><Relationship Id="rId203" Type="http://schemas.openxmlformats.org/officeDocument/2006/relationships/hyperlink" Target="https://www.aidedd.org/dnd/monstres.php?vf=duodrone" TargetMode="External"/><Relationship Id="rId204" Type="http://schemas.openxmlformats.org/officeDocument/2006/relationships/hyperlink" Target="https://www.aidedd.org/dnd/monstres.php?vf=eclaireur" TargetMode="External"/><Relationship Id="rId205" Type="http://schemas.openxmlformats.org/officeDocument/2006/relationships/hyperlink" Target="https://www.aidedd.org/dnd/monstres.php?vf=efrit" TargetMode="External"/><Relationship Id="rId206" Type="http://schemas.openxmlformats.org/officeDocument/2006/relationships/hyperlink" Target="https://www.aidedd.org/dnd/monstres.php?vf=eidolon-legacy" TargetMode="External"/><Relationship Id="rId207" Type="http://schemas.openxmlformats.org/officeDocument/2006/relationships/hyperlink" Target="https://www.aidedd.org/dnd/monstres.php?vf=elan" TargetMode="External"/><Relationship Id="rId208" Type="http://schemas.openxmlformats.org/officeDocument/2006/relationships/hyperlink" Target="https://www.aidedd.org/dnd/monstres.php?vf=elan-geant" TargetMode="External"/><Relationship Id="rId209" Type="http://schemas.openxmlformats.org/officeDocument/2006/relationships/hyperlink" Target="https://www.aidedd.org/dnd/monstres.php?vf=elementaire-du-feu" TargetMode="External"/><Relationship Id="rId210" Type="http://schemas.openxmlformats.org/officeDocument/2006/relationships/hyperlink" Target="https://www.aidedd.org/dnd/monstres.php?vf=elementaire-de-la-terre" TargetMode="External"/><Relationship Id="rId211" Type="http://schemas.openxmlformats.org/officeDocument/2006/relationships/hyperlink" Target="https://www.aidedd.org/dnd/monstres.php?vf=elementaire-de-l-air" TargetMode="External"/><Relationship Id="rId212" Type="http://schemas.openxmlformats.org/officeDocument/2006/relationships/hyperlink" Target="https://www.aidedd.org/dnd/monstres.php?vf=elementaire-de-l-eau" TargetMode="External"/><Relationship Id="rId213" Type="http://schemas.openxmlformats.org/officeDocument/2006/relationships/hyperlink" Target="https://www.aidedd.org/dnd/monstres.php?vf=elephant" TargetMode="External"/><Relationship Id="rId214" Type="http://schemas.openxmlformats.org/officeDocument/2006/relationships/hyperlink" Target="https://www.aidedd.org/dnd/monstres.php?vf=empyreen" TargetMode="External"/><Relationship Id="rId215" Type="http://schemas.openxmlformats.org/officeDocument/2006/relationships/hyperlink" Target="https://www.aidedd.org/dnd/monstres.php?vf=enchanteur" TargetMode="External"/><Relationship Id="rId216" Type="http://schemas.openxmlformats.org/officeDocument/2006/relationships/hyperlink" Target="https://www.aidedd.org/dnd/monstres.php?vf=enlaceur" TargetMode="External"/><Relationship Id="rId217" Type="http://schemas.openxmlformats.org/officeDocument/2006/relationships/hyperlink" Target="https://www.aidedd.org/dnd/monstres.php?vf=epaulard" TargetMode="External"/><Relationship Id="rId218" Type="http://schemas.openxmlformats.org/officeDocument/2006/relationships/hyperlink" Target="https://www.aidedd.org/dnd/monstres.php?vf=epee-volante" TargetMode="External"/><Relationship Id="rId219" Type="http://schemas.openxmlformats.org/officeDocument/2006/relationships/hyperlink" Target="https://www.aidedd.org/dnd/monstres.php?vf=epineux" TargetMode="External"/><Relationship Id="rId220" Type="http://schemas.openxmlformats.org/officeDocument/2006/relationships/hyperlink" Target="https://www.aidedd.org/dnd/monstres.php?vf=epouvantail" TargetMode="External"/><Relationship Id="rId221" Type="http://schemas.openxmlformats.org/officeDocument/2006/relationships/hyperlink" Target="https://www.aidedd.org/dnd/monstres.php?vf=erinye" TargetMode="External"/><Relationship Id="rId222" Type="http://schemas.openxmlformats.org/officeDocument/2006/relationships/hyperlink" Target="https://www.aidedd.org/dnd/monstres.php?vf=espion" TargetMode="External"/><Relationship Id="rId223" Type="http://schemas.openxmlformats.org/officeDocument/2006/relationships/hyperlink" Target="https://www.aidedd.org/dnd/monstres.php?vf=esprit-follet" TargetMode="External"/><Relationship Id="rId224" Type="http://schemas.openxmlformats.org/officeDocument/2006/relationships/hyperlink" Target="https://www.aidedd.org/dnd/monstres.php?vf=ettercap" TargetMode="External"/><Relationship Id="rId225" Type="http://schemas.openxmlformats.org/officeDocument/2006/relationships/hyperlink" Target="https://www.aidedd.org/dnd/monstres.php?vf=ettin" TargetMode="External"/><Relationship Id="rId226" Type="http://schemas.openxmlformats.org/officeDocument/2006/relationships/hyperlink" Target="https://www.aidedd.org/dnd/monstres.php?vf=evocateur" TargetMode="External"/><Relationship Id="rId227" Type="http://schemas.openxmlformats.org/officeDocument/2006/relationships/hyperlink" Target="https://www.aidedd.org/dnd/monstres.php?vf=expert-en-arts-martiaux" TargetMode="External"/><Relationship Id="rId228" Type="http://schemas.openxmlformats.org/officeDocument/2006/relationships/hyperlink" Target="https://www.aidedd.org/dnd/monstres.php?vf=expert-en-arts-martiaux" TargetMode="External"/><Relationship Id="rId229" Type="http://schemas.openxmlformats.org/officeDocument/2006/relationships/hyperlink" Target="https://www.aidedd.org/dnd/monstres.php?vf=fanatique" TargetMode="External"/><Relationship Id="rId230" Type="http://schemas.openxmlformats.org/officeDocument/2006/relationships/hyperlink" Target="https://www.aidedd.org/dnd/monstres.php?vf=fantome" TargetMode="External"/><Relationship Id="rId231" Type="http://schemas.openxmlformats.org/officeDocument/2006/relationships/hyperlink" Target="https://www.aidedd.org/dnd/monstres.php?vf=faucon" TargetMode="External"/><Relationship Id="rId232" Type="http://schemas.openxmlformats.org/officeDocument/2006/relationships/hyperlink" Target="https://www.aidedd.org/dnd/monstres.php?vf=faucon-de-sang" TargetMode="External"/><Relationship Id="rId233" Type="http://schemas.openxmlformats.org/officeDocument/2006/relationships/hyperlink" Target="https://www.aidedd.org/dnd/monstres.php?vf=feu-follet" TargetMode="External"/><Relationship Id="rId234" Type="http://schemas.openxmlformats.org/officeDocument/2006/relationships/hyperlink" Target="https://www.aidedd.org/dnd/monstres.php?vf=flagelleur-mental" TargetMode="External"/><Relationship Id="rId235" Type="http://schemas.openxmlformats.org/officeDocument/2006/relationships/hyperlink" Target="https://www.aidedd.org/dnd/monstres.php?vf=flind" TargetMode="External"/><Relationship Id="rId236" Type="http://schemas.openxmlformats.org/officeDocument/2006/relationships/hyperlink" Target="https://www.aidedd.org/dnd/monstres.php?vf=flumph" TargetMode="External"/><Relationship Id="rId237" Type="http://schemas.openxmlformats.org/officeDocument/2006/relationships/hyperlink" Target="https://www.aidedd.org/dnd/monstres.php?vf=fomorien" TargetMode="External"/><Relationship Id="rId238" Type="http://schemas.openxmlformats.org/officeDocument/2006/relationships/hyperlink" Target="https://www.aidedd.org/dnd/monstres.php?vf=froghemoth" TargetMode="External"/><Relationship Id="rId239" Type="http://schemas.openxmlformats.org/officeDocument/2006/relationships/hyperlink" Target="https://www.aidedd.org/dnd/monstres.php?vf=galeb-duhr" TargetMode="External"/><Relationship Id="rId240" Type="http://schemas.openxmlformats.org/officeDocument/2006/relationships/hyperlink" Target="https://www.aidedd.org/dnd/monstres.php?vf=garde" TargetMode="External"/><Relationship Id="rId241" Type="http://schemas.openxmlformats.org/officeDocument/2006/relationships/hyperlink" Target="https://www.aidedd.org/dnd/monstres.php?vf=gardien-anime" TargetMode="External"/><Relationship Id="rId242" Type="http://schemas.openxmlformats.org/officeDocument/2006/relationships/hyperlink" Target="https://www.aidedd.org/dnd/monstres.php?vf=gargouille" TargetMode="External"/><Relationship Id="rId243" Type="http://schemas.openxmlformats.org/officeDocument/2006/relationships/hyperlink" Target="https://www.aidedd.org/dnd/monstres.php?vf=garou-chacal" TargetMode="External"/><Relationship Id="rId244" Type="http://schemas.openxmlformats.org/officeDocument/2006/relationships/hyperlink" Target="https://www.aidedd.org/dnd/monstres.php?vf=gauth" TargetMode="External"/><Relationship Id="rId245" Type="http://schemas.openxmlformats.org/officeDocument/2006/relationships/hyperlink" Target="https://www.aidedd.org/dnd/monstres.php?vf=gazer" TargetMode="External"/><Relationship Id="rId246" Type="http://schemas.openxmlformats.org/officeDocument/2006/relationships/hyperlink" Target="https://www.aidedd.org/dnd/monstres.php?vf=geant-des-collines" TargetMode="External"/><Relationship Id="rId247" Type="http://schemas.openxmlformats.org/officeDocument/2006/relationships/hyperlink" Target="https://www.aidedd.org/dnd/monstres.php?vf=geant-des-nuages" TargetMode="External"/><Relationship Id="rId248" Type="http://schemas.openxmlformats.org/officeDocument/2006/relationships/hyperlink" Target="https://www.aidedd.org/dnd/monstres.php?vf=geant-des-nuages-tout-sourire" TargetMode="External"/><Relationship Id="rId249" Type="http://schemas.openxmlformats.org/officeDocument/2006/relationships/hyperlink" Target="https://www.aidedd.org/dnd/monstres.php?vf=geant-des-pierres" TargetMode="External"/><Relationship Id="rId250" Type="http://schemas.openxmlformats.org/officeDocument/2006/relationships/hyperlink" Target="https://www.aidedd.org/dnd/monstres.php?vf=geant-des-pierres-marchereve" TargetMode="External"/><Relationship Id="rId251" Type="http://schemas.openxmlformats.org/officeDocument/2006/relationships/hyperlink" Target="https://www.aidedd.org/dnd/monstres.php?vf=geant-des-tempetes" TargetMode="External"/><Relationship Id="rId252" Type="http://schemas.openxmlformats.org/officeDocument/2006/relationships/hyperlink" Target="https://www.aidedd.org/dnd/monstres.php?vf=geant-des-tempetes-quintessent" TargetMode="External"/><Relationship Id="rId253" Type="http://schemas.openxmlformats.org/officeDocument/2006/relationships/hyperlink" Target="https://www.aidedd.org/dnd/monstres.php?vf=geant-du-feu" TargetMode="External"/><Relationship Id="rId254" Type="http://schemas.openxmlformats.org/officeDocument/2006/relationships/hyperlink" Target="https://www.aidedd.org/dnd/monstres.php?vf=geant-du-feu-cuirasse" TargetMode="External"/><Relationship Id="rId255" Type="http://schemas.openxmlformats.org/officeDocument/2006/relationships/hyperlink" Target="https://www.aidedd.org/dnd/monstres.php?vf=geant-du-givre" TargetMode="External"/><Relationship Id="rId256" Type="http://schemas.openxmlformats.org/officeDocument/2006/relationships/hyperlink" Target="https://www.aidedd.org/dnd/monstres.php?vf=geant-du-givre-eternel" TargetMode="External"/><Relationship Id="rId257" Type="http://schemas.openxmlformats.org/officeDocument/2006/relationships/hyperlink" Target="https://www.aidedd.org/dnd/monstres.php?vf=gelee-ocre" TargetMode="External"/><Relationship Id="rId258" Type="http://schemas.openxmlformats.org/officeDocument/2006/relationships/hyperlink" Target="https://www.aidedd.org/dnd/monstres.php?vf=girallon" TargetMode="External"/><Relationship Id="rId259" Type="http://schemas.openxmlformats.org/officeDocument/2006/relationships/hyperlink" Target="https://www.aidedd.org/dnd/monstres.php?vf=githyanki-chevalier" TargetMode="External"/><Relationship Id="rId260" Type="http://schemas.openxmlformats.org/officeDocument/2006/relationships/hyperlink" Target="https://www.aidedd.org/dnd/monstres.php?vf=githyanki-guerrier" TargetMode="External"/><Relationship Id="rId261" Type="http://schemas.openxmlformats.org/officeDocument/2006/relationships/hyperlink" Target="https://www.aidedd.org/dnd/monstres.php?vf=githzerai-moine" TargetMode="External"/><Relationship Id="rId262" Type="http://schemas.openxmlformats.org/officeDocument/2006/relationships/hyperlink" Target="https://www.aidedd.org/dnd/monstres.php?vf=githzerai-zerth" TargetMode="External"/><Relationship Id="rId263" Type="http://schemas.openxmlformats.org/officeDocument/2006/relationships/hyperlink" Target="https://www.aidedd.org/dnd/monstres.php?vf=glabrezu" TargetMode="External"/><Relationship Id="rId264" Type="http://schemas.openxmlformats.org/officeDocument/2006/relationships/hyperlink" Target="https://www.aidedd.org/dnd/monstres.php?vf=gladiateur" TargetMode="External"/><Relationship Id="rId265" Type="http://schemas.openxmlformats.org/officeDocument/2006/relationships/hyperlink" Target="https://www.aidedd.org/dnd/monstres.php?vf=gnoll" TargetMode="External"/><Relationship Id="rId266" Type="http://schemas.openxmlformats.org/officeDocument/2006/relationships/hyperlink" Target="https://www.aidedd.org/dnd/monstres.php?vf=gnoll-chasseur" TargetMode="External"/><Relationship Id="rId267" Type="http://schemas.openxmlformats.org/officeDocument/2006/relationships/hyperlink" Target="https://www.aidedd.org/dnd/monstres.php?vf=gnoll-croc-de-yeenoghu" TargetMode="External"/><Relationship Id="rId268" Type="http://schemas.openxmlformats.org/officeDocument/2006/relationships/hyperlink" Target="https://www.aidedd.org/dnd/monstres.php?vf=gnoll-decrepit" TargetMode="External"/><Relationship Id="rId269" Type="http://schemas.openxmlformats.org/officeDocument/2006/relationships/hyperlink" Target="https://www.aidedd.org/dnd/monstres.php?vf=gnoll-rongeur-de-chair" TargetMode="External"/><Relationship Id="rId270" Type="http://schemas.openxmlformats.org/officeDocument/2006/relationships/hyperlink" Target="https://www.aidedd.org/dnd/monstres.php?vf=gnoll-seigneur-de-meute" TargetMode="External"/><Relationship Id="rId271" Type="http://schemas.openxmlformats.org/officeDocument/2006/relationships/hyperlink" Target="https://www.aidedd.org/dnd/monstres.php?vf=gnome-des-profondeurs-svirfnebelin" TargetMode="External"/><Relationship Id="rId272" Type="http://schemas.openxmlformats.org/officeDocument/2006/relationships/hyperlink" Target="https://www.aidedd.org/dnd/monstres.php?vf=gobelin" TargetMode="External"/><Relationship Id="rId273" Type="http://schemas.openxmlformats.org/officeDocument/2006/relationships/hyperlink" Target="https://www.aidedd.org/dnd/monstres.php?vf=gobelin-chef" TargetMode="External"/><Relationship Id="rId274" Type="http://schemas.openxmlformats.org/officeDocument/2006/relationships/hyperlink" Target="https://www.aidedd.org/dnd/monstres.php?vf=gobelours" TargetMode="External"/><Relationship Id="rId275" Type="http://schemas.openxmlformats.org/officeDocument/2006/relationships/hyperlink" Target="https://www.aidedd.org/dnd/monstres.php?vf=gobelours-chef" TargetMode="External"/><Relationship Id="rId276" Type="http://schemas.openxmlformats.org/officeDocument/2006/relationships/hyperlink" Target="https://www.aidedd.org/dnd/monstres.php?vf=golem-de-chair" TargetMode="External"/><Relationship Id="rId277" Type="http://schemas.openxmlformats.org/officeDocument/2006/relationships/hyperlink" Target="https://www.aidedd.org/dnd/monstres.php?vf=golem-de-fer" TargetMode="External"/><Relationship Id="rId278" Type="http://schemas.openxmlformats.org/officeDocument/2006/relationships/hyperlink" Target="https://www.aidedd.org/dnd/monstres.php?vf=golem-de-pierre" TargetMode="External"/><Relationship Id="rId279" Type="http://schemas.openxmlformats.org/officeDocument/2006/relationships/hyperlink" Target="https://www.aidedd.org/dnd/monstres.php?vf=golem-d-argile" TargetMode="External"/><Relationship Id="rId280" Type="http://schemas.openxmlformats.org/officeDocument/2006/relationships/hyperlink" Target="https://www.aidedd.org/dnd/monstres.php?vf=gorgone" TargetMode="External"/><Relationship Id="rId281" Type="http://schemas.openxmlformats.org/officeDocument/2006/relationships/hyperlink" Target="https://www.aidedd.org/dnd/monstres.php?vf=goristro" TargetMode="External"/><Relationship Id="rId282" Type="http://schemas.openxmlformats.org/officeDocument/2006/relationships/hyperlink" Target="https://www.aidedd.org/dnd/monstres.php?vf=gosier-de-grolantor" TargetMode="External"/><Relationship Id="rId283" Type="http://schemas.openxmlformats.org/officeDocument/2006/relationships/hyperlink" Target="https://www.aidedd.org/dnd/monstres.php?vf=goule" TargetMode="External"/><Relationship Id="rId284" Type="http://schemas.openxmlformats.org/officeDocument/2006/relationships/hyperlink" Target="https://www.aidedd.org/dnd/monstres.php?vf=grand-singe" TargetMode="External"/><Relationship Id="rId285" Type="http://schemas.openxmlformats.org/officeDocument/2006/relationships/hyperlink" Target="https://www.aidedd.org/dnd/monstres.php?vf=graz-zt-legacy" TargetMode="External"/><Relationship Id="rId286" Type="http://schemas.openxmlformats.org/officeDocument/2006/relationships/hyperlink" Target="https://www.aidedd.org/dnd/monstres.php?vf=grell" TargetMode="External"/><Relationship Id="rId287" Type="http://schemas.openxmlformats.org/officeDocument/2006/relationships/hyperlink" Target="https://www.aidedd.org/dnd/monstres.php?vf=grenouille" TargetMode="External"/><Relationship Id="rId288" Type="http://schemas.openxmlformats.org/officeDocument/2006/relationships/hyperlink" Target="https://www.aidedd.org/dnd/monstres.php?vf=grenouille-geante" TargetMode="External"/><Relationship Id="rId289" Type="http://schemas.openxmlformats.org/officeDocument/2006/relationships/hyperlink" Target="https://www.aidedd.org/dnd/monstres.php?vf=grick" TargetMode="External"/><Relationship Id="rId290" Type="http://schemas.openxmlformats.org/officeDocument/2006/relationships/hyperlink" Target="https://www.aidedd.org/dnd/monstres.php?vf=grick-dominant" TargetMode="External"/><Relationship Id="rId291" Type="http://schemas.openxmlformats.org/officeDocument/2006/relationships/hyperlink" Target="https://www.aidedd.org/dnd/monstres.php?vf=griffe-rampante" TargetMode="External"/><Relationship Id="rId292" Type="http://schemas.openxmlformats.org/officeDocument/2006/relationships/hyperlink" Target="https://www.aidedd.org/dnd/monstres.php?vf=griffon" TargetMode="External"/><Relationship Id="rId293" Type="http://schemas.openxmlformats.org/officeDocument/2006/relationships/hyperlink" Target="https://www.aidedd.org/dnd/monstres.php?vf=grung" TargetMode="External"/><Relationship Id="rId294" Type="http://schemas.openxmlformats.org/officeDocument/2006/relationships/hyperlink" Target="https://www.aidedd.org/dnd/monstres.php?vf=grung-guerrier-d-elite" TargetMode="External"/><Relationship Id="rId295" Type="http://schemas.openxmlformats.org/officeDocument/2006/relationships/hyperlink" Target="https://www.aidedd.org/dnd/monstres.php?vf=grung-sauvage" TargetMode="External"/><Relationship Id="rId296" Type="http://schemas.openxmlformats.org/officeDocument/2006/relationships/hyperlink" Target="https://www.aidedd.org/dnd/monstres.php?vf=guenaude-annis" TargetMode="External"/><Relationship Id="rId297" Type="http://schemas.openxmlformats.org/officeDocument/2006/relationships/hyperlink" Target="https://www.aidedd.org/dnd/monstres.php?vf=guenaude-frige" TargetMode="External"/><Relationship Id="rId298" Type="http://schemas.openxmlformats.org/officeDocument/2006/relationships/hyperlink" Target="https://www.aidedd.org/dnd/monstres.php?vf=guenaude-marine" TargetMode="External"/><Relationship Id="rId299" Type="http://schemas.openxmlformats.org/officeDocument/2006/relationships/hyperlink" Target="https://www.aidedd.org/dnd/monstres.php?vf=guenaude-nocturne" TargetMode="External"/><Relationship Id="rId300" Type="http://schemas.openxmlformats.org/officeDocument/2006/relationships/hyperlink" Target="https://www.aidedd.org/dnd/monstres.php?vf=guenaude-verte" TargetMode="External"/><Relationship Id="rId301" Type="http://schemas.openxmlformats.org/officeDocument/2006/relationships/hyperlink" Target="https://www.aidedd.org/dnd/monstres.php?vf=guepe-geante" TargetMode="External"/><Relationship Id="rId302" Type="http://schemas.openxmlformats.org/officeDocument/2006/relationships/hyperlink" Target="https://www.aidedd.org/dnd/monstres.php?vf=guerrier-tribal" TargetMode="External"/><Relationship Id="rId303" Type="http://schemas.openxmlformats.org/officeDocument/2006/relationships/hyperlink" Target="https://www.aidedd.org/dnd/monstres.php?vf=gynosphinx" TargetMode="External"/><Relationship Id="rId304" Type="http://schemas.openxmlformats.org/officeDocument/2006/relationships/hyperlink" Target="https://www.aidedd.org/dnd/monstres.php?vf=harpie" TargetMode="External"/><Relationship Id="rId305" Type="http://schemas.openxmlformats.org/officeDocument/2006/relationships/hyperlink" Target="https://www.aidedd.org/dnd/monstres.php?vf=hezrou" TargetMode="External"/><Relationship Id="rId306" Type="http://schemas.openxmlformats.org/officeDocument/2006/relationships/hyperlink" Target="https://www.aidedd.org/dnd/monstres.php?vf=hippocampe" TargetMode="External"/><Relationship Id="rId307" Type="http://schemas.openxmlformats.org/officeDocument/2006/relationships/hyperlink" Target="https://www.aidedd.org/dnd/monstres.php?vf=hippocampe-geant" TargetMode="External"/><Relationship Id="rId308" Type="http://schemas.openxmlformats.org/officeDocument/2006/relationships/hyperlink" Target="https://www.aidedd.org/dnd/monstres.php?vf=hippogriffe" TargetMode="External"/><Relationship Id="rId309" Type="http://schemas.openxmlformats.org/officeDocument/2006/relationships/hyperlink" Target="https://www.aidedd.org/dnd/monstres.php?vf=hobgobelin" TargetMode="External"/><Relationship Id="rId310" Type="http://schemas.openxmlformats.org/officeDocument/2006/relationships/hyperlink" Target="https://www.aidedd.org/dnd/monstres.php?vf=hobgobelin-capitaine" TargetMode="External"/><Relationship Id="rId311" Type="http://schemas.openxmlformats.org/officeDocument/2006/relationships/hyperlink" Target="https://www.aidedd.org/dnd/monstres.php?vf=hobgobelin-ombre-de-fer" TargetMode="External"/><Relationship Id="rId312" Type="http://schemas.openxmlformats.org/officeDocument/2006/relationships/hyperlink" Target="https://www.aidedd.org/dnd/monstres.php?vf=hobgobelin-ravageur" TargetMode="External"/><Relationship Id="rId313" Type="http://schemas.openxmlformats.org/officeDocument/2006/relationships/hyperlink" Target="https://www.aidedd.org/dnd/monstres.php?vf=hobgobelin-seigneur-de-guerre" TargetMode="External"/><Relationship Id="rId314" Type="http://schemas.openxmlformats.org/officeDocument/2006/relationships/hyperlink" Target="https://www.aidedd.org/dnd/monstres.php?vf=homme-lezard" TargetMode="External"/><Relationship Id="rId315" Type="http://schemas.openxmlformats.org/officeDocument/2006/relationships/hyperlink" Target="https://www.aidedd.org/dnd/monstres.php?vf=homme-lezard-chaman" TargetMode="External"/><Relationship Id="rId316" Type="http://schemas.openxmlformats.org/officeDocument/2006/relationships/hyperlink" Target="https://www.aidedd.org/dnd/monstres.php?vf=homme-poisson" TargetMode="External"/><Relationship Id="rId317" Type="http://schemas.openxmlformats.org/officeDocument/2006/relationships/hyperlink" Target="https://www.aidedd.org/dnd/monstres.php?vf=homoncule" TargetMode="External"/><Relationship Id="rId318" Type="http://schemas.openxmlformats.org/officeDocument/2006/relationships/hyperlink" Target="https://www.aidedd.org/dnd/monstres.php?vf=horreur-casquee" TargetMode="External"/><Relationship Id="rId319" Type="http://schemas.openxmlformats.org/officeDocument/2006/relationships/hyperlink" Target="https://www.aidedd.org/dnd/monstres.php?vf=horreur-crochue" TargetMode="External"/><Relationship Id="rId320" Type="http://schemas.openxmlformats.org/officeDocument/2006/relationships/hyperlink" Target="https://www.aidedd.org/dnd/monstres.php?vf=hydre" TargetMode="External"/><Relationship Id="rId321" Type="http://schemas.openxmlformats.org/officeDocument/2006/relationships/hyperlink" Target="https://www.aidedd.org/dnd/monstres.php?vf=hyene" TargetMode="External"/><Relationship Id="rId322" Type="http://schemas.openxmlformats.org/officeDocument/2006/relationships/hyperlink" Target="https://www.aidedd.org/dnd/monstres.php?vf=hyene-geante" TargetMode="External"/><Relationship Id="rId323" Type="http://schemas.openxmlformats.org/officeDocument/2006/relationships/hyperlink" Target="https://www.aidedd.org/dnd/monstres.php?vf=illusionniste" TargetMode="External"/><Relationship Id="rId324" Type="http://schemas.openxmlformats.org/officeDocument/2006/relationships/hyperlink" Target="https://www.aidedd.org/dnd/monstres.php?vf=invocateur" TargetMode="External"/><Relationship Id="rId325" Type="http://schemas.openxmlformats.org/officeDocument/2006/relationships/hyperlink" Target="https://www.aidedd.org/dnd/monstres.php?vf=kenku" TargetMode="External"/><Relationship Id="rId326" Type="http://schemas.openxmlformats.org/officeDocument/2006/relationships/hyperlink" Target="https://www.aidedd.org/dnd/monstres.php?vf=ki-rin" TargetMode="External"/><Relationship Id="rId327" Type="http://schemas.openxmlformats.org/officeDocument/2006/relationships/hyperlink" Target="https://www.aidedd.org/dnd/monstres.php?vf=kobold" TargetMode="External"/><Relationship Id="rId328" Type="http://schemas.openxmlformats.org/officeDocument/2006/relationships/hyperlink" Target="https://www.aidedd.org/dnd/monstres.php?vf=kobold-aile" TargetMode="External"/><Relationship Id="rId329" Type="http://schemas.openxmlformats.org/officeDocument/2006/relationships/hyperlink" Target="https://www.aidedd.org/dnd/monstres.php?vf=kobold-bouclier-de-dragon" TargetMode="External"/><Relationship Id="rId330" Type="http://schemas.openxmlformats.org/officeDocument/2006/relationships/hyperlink" Target="https://www.aidedd.org/dnd/monstres.php?vf=kobold-ensorceleur-des-ecailles" TargetMode="External"/><Relationship Id="rId331" Type="http://schemas.openxmlformats.org/officeDocument/2006/relationships/hyperlink" Target="https://www.aidedd.org/dnd/monstres.php?vf=kobold-inventeur" TargetMode="External"/><Relationship Id="rId332" Type="http://schemas.openxmlformats.org/officeDocument/2006/relationships/hyperlink" Target="https://www.aidedd.org/dnd/monstres.php?vf=korred" TargetMode="External"/><Relationship Id="rId333" Type="http://schemas.openxmlformats.org/officeDocument/2006/relationships/hyperlink" Target="https://www.aidedd.org/dnd/monstres.php?vf=kraken" TargetMode="External"/><Relationship Id="rId334" Type="http://schemas.openxmlformats.org/officeDocument/2006/relationships/hyperlink" Target="https://www.aidedd.org/dnd/monstres.php?vf=kuo-toa" TargetMode="External"/><Relationship Id="rId335" Type="http://schemas.openxmlformats.org/officeDocument/2006/relationships/hyperlink" Target="https://www.aidedd.org/dnd/monstres.php?vf=kuo-toa-archipretre" TargetMode="External"/><Relationship Id="rId336" Type="http://schemas.openxmlformats.org/officeDocument/2006/relationships/hyperlink" Target="https://www.aidedd.org/dnd/monstres.php?vf=kuo-toa-fouet" TargetMode="External"/><Relationship Id="rId337" Type="http://schemas.openxmlformats.org/officeDocument/2006/relationships/hyperlink" Target="https://www.aidedd.org/dnd/monstres.php?vf=lamie" TargetMode="External"/><Relationship Id="rId338" Type="http://schemas.openxmlformats.org/officeDocument/2006/relationships/hyperlink" Target="https://www.aidedd.org/dnd/monstres.php?vf=lemure" TargetMode="External"/><Relationship Id="rId339" Type="http://schemas.openxmlformats.org/officeDocument/2006/relationships/hyperlink" Target="https://www.aidedd.org/dnd/monstres.php?vf=leucrotta" TargetMode="External"/><Relationship Id="rId340" Type="http://schemas.openxmlformats.org/officeDocument/2006/relationships/hyperlink" Target="https://www.aidedd.org/dnd/monstres.php?vf=lezard" TargetMode="External"/><Relationship Id="rId341" Type="http://schemas.openxmlformats.org/officeDocument/2006/relationships/hyperlink" Target="https://www.aidedd.org/dnd/monstres.php?vf=lezard-geant" TargetMode="External"/><Relationship Id="rId342" Type="http://schemas.openxmlformats.org/officeDocument/2006/relationships/hyperlink" Target="https://www.aidedd.org/dnd/monstres.php?vf=liche" TargetMode="External"/><Relationship Id="rId343" Type="http://schemas.openxmlformats.org/officeDocument/2006/relationships/hyperlink" Target="https://www.aidedd.org/dnd/monstres.php?vf=licorne" TargetMode="External"/><Relationship Id="rId344" Type="http://schemas.openxmlformats.org/officeDocument/2006/relationships/hyperlink" Target="https://www.aidedd.org/dnd/monstres.php?vf=lierreux" TargetMode="External"/><Relationship Id="rId345" Type="http://schemas.openxmlformats.org/officeDocument/2006/relationships/hyperlink" Target="https://www.aidedd.org/dnd/monstres.php?vf=lion" TargetMode="External"/><Relationship Id="rId346" Type="http://schemas.openxmlformats.org/officeDocument/2006/relationships/hyperlink" Target="https://www.aidedd.org/dnd/monstres.php?vf=loup" TargetMode="External"/><Relationship Id="rId347" Type="http://schemas.openxmlformats.org/officeDocument/2006/relationships/hyperlink" Target="https://www.aidedd.org/dnd/monstres.php?vf=loup-arctique" TargetMode="External"/><Relationship Id="rId348" Type="http://schemas.openxmlformats.org/officeDocument/2006/relationships/hyperlink" Target="https://www.aidedd.org/dnd/monstres.php?vf=loup-sanguinaire" TargetMode="External"/><Relationship Id="rId349" Type="http://schemas.openxmlformats.org/officeDocument/2006/relationships/hyperlink" Target="https://www.aidedd.org/dnd/monstres.php?vf=loup-garou" TargetMode="External"/><Relationship Id="rId350" Type="http://schemas.openxmlformats.org/officeDocument/2006/relationships/hyperlink" Target="https://www.aidedd.org/dnd/monstres.php?vf=mage" TargetMode="External"/><Relationship Id="rId351" Type="http://schemas.openxmlformats.org/officeDocument/2006/relationships/hyperlink" Target="https://www.aidedd.org/dnd/monstres.php?vf=magmatique" TargetMode="External"/><Relationship Id="rId352" Type="http://schemas.openxmlformats.org/officeDocument/2006/relationships/hyperlink" Target="https://www.aidedd.org/dnd/monstres.php?vf=maitre-voleur" TargetMode="External"/><Relationship Id="rId353" Type="http://schemas.openxmlformats.org/officeDocument/2006/relationships/hyperlink" Target="https://www.aidedd.org/dnd/monstres.php?vf=malfrat" TargetMode="External"/><Relationship Id="rId354" Type="http://schemas.openxmlformats.org/officeDocument/2006/relationships/hyperlink" Target="https://www.aidedd.org/dnd/monstres.php?vf=mammouth" TargetMode="External"/><Relationship Id="rId355" Type="http://schemas.openxmlformats.org/officeDocument/2006/relationships/hyperlink" Target="https://www.aidedd.org/dnd/monstres.php?vf=mane" TargetMode="External"/><Relationship Id="rId356" Type="http://schemas.openxmlformats.org/officeDocument/2006/relationships/hyperlink" Target="https://www.aidedd.org/dnd/monstres.php?vf=mante-obscure" TargetMode="External"/><Relationship Id="rId357" Type="http://schemas.openxmlformats.org/officeDocument/2006/relationships/hyperlink" Target="https://www.aidedd.org/dnd/monstres.php?vf=manteleur" TargetMode="External"/><Relationship Id="rId358" Type="http://schemas.openxmlformats.org/officeDocument/2006/relationships/hyperlink" Target="https://www.aidedd.org/dnd/monstres.php?vf=manticore" TargetMode="External"/><Relationship Id="rId359" Type="http://schemas.openxmlformats.org/officeDocument/2006/relationships/hyperlink" Target="https://www.aidedd.org/dnd/monstres.php?vf=maride" TargetMode="External"/><Relationship Id="rId360" Type="http://schemas.openxmlformats.org/officeDocument/2006/relationships/hyperlink" Target="https://www.aidedd.org/dnd/monstres.php?vf=marilith" TargetMode="External"/><Relationship Id="rId361" Type="http://schemas.openxmlformats.org/officeDocument/2006/relationships/hyperlink" Target="https://www.aidedd.org/dnd/monstres.php?vf=mastodonte-des-ombres" TargetMode="External"/><Relationship Id="rId362" Type="http://schemas.openxmlformats.org/officeDocument/2006/relationships/hyperlink" Target="https://www.aidedd.org/dnd/monstres.php?vf=meduse" TargetMode="External"/><Relationship Id="rId363" Type="http://schemas.openxmlformats.org/officeDocument/2006/relationships/hyperlink" Target="https://www.aidedd.org/dnd/monstres.php?vf=mephite-boueux" TargetMode="External"/><Relationship Id="rId364" Type="http://schemas.openxmlformats.org/officeDocument/2006/relationships/hyperlink" Target="https://www.aidedd.org/dnd/monstres.php?vf=mephite-fumant" TargetMode="External"/><Relationship Id="rId365" Type="http://schemas.openxmlformats.org/officeDocument/2006/relationships/hyperlink" Target="https://www.aidedd.org/dnd/monstres.php?vf=mephite-gele" TargetMode="External"/><Relationship Id="rId366" Type="http://schemas.openxmlformats.org/officeDocument/2006/relationships/hyperlink" Target="https://www.aidedd.org/dnd/monstres.php?vf=mephite-magmatique" TargetMode="External"/><Relationship Id="rId367" Type="http://schemas.openxmlformats.org/officeDocument/2006/relationships/hyperlink" Target="https://www.aidedd.org/dnd/monstres.php?vf=mephite-poussiereux" TargetMode="External"/><Relationship Id="rId368" Type="http://schemas.openxmlformats.org/officeDocument/2006/relationships/hyperlink" Target="https://www.aidedd.org/dnd/monstres.php?vf=mephite-vaporeux" TargetMode="External"/><Relationship Id="rId369" Type="http://schemas.openxmlformats.org/officeDocument/2006/relationships/hyperlink" Target="https://www.aidedd.org/dnd/monstres.php?vf=merrow" TargetMode="External"/><Relationship Id="rId370" Type="http://schemas.openxmlformats.org/officeDocument/2006/relationships/hyperlink" Target="https://www.aidedd.org/dnd/monstres.php?vf=mezzoloth" TargetMode="External"/><Relationship Id="rId371" Type="http://schemas.openxmlformats.org/officeDocument/2006/relationships/hyperlink" Target="https://www.aidedd.org/dnd/monstres.php?vf=mille-pattes-geant" TargetMode="External"/><Relationship Id="rId372" Type="http://schemas.openxmlformats.org/officeDocument/2006/relationships/hyperlink" Target="https://www.aidedd.org/dnd/monstres.php?vf=mimique" TargetMode="External"/><Relationship Id="rId373" Type="http://schemas.openxmlformats.org/officeDocument/2006/relationships/hyperlink" Target="https://www.aidedd.org/dnd/monstres.php?vf=minotaure" TargetMode="External"/><Relationship Id="rId374" Type="http://schemas.openxmlformats.org/officeDocument/2006/relationships/hyperlink" Target="https://www.aidedd.org/dnd/monstres.php?vf=moisissure-violette" TargetMode="External"/><Relationship Id="rId375" Type="http://schemas.openxmlformats.org/officeDocument/2006/relationships/hyperlink" Target="https://www.aidedd.org/dnd/monstres.php?vf=moloch-legacy" TargetMode="External"/><Relationship Id="rId376" Type="http://schemas.openxmlformats.org/officeDocument/2006/relationships/hyperlink" Target="https://www.aidedd.org/dnd/monstres.php?vf=molosse" TargetMode="External"/><Relationship Id="rId377" Type="http://schemas.openxmlformats.org/officeDocument/2006/relationships/hyperlink" Target="https://www.aidedd.org/dnd/monstres.php?vf=molosse-des-ombres" TargetMode="External"/><Relationship Id="rId378" Type="http://schemas.openxmlformats.org/officeDocument/2006/relationships/hyperlink" Target="https://www.aidedd.org/dnd/monstres.php?vf=momie" TargetMode="External"/><Relationship Id="rId379" Type="http://schemas.openxmlformats.org/officeDocument/2006/relationships/hyperlink" Target="https://www.aidedd.org/dnd/monstres.php?vf=monodrone" TargetMode="External"/><Relationship Id="rId380" Type="http://schemas.openxmlformats.org/officeDocument/2006/relationships/hyperlink" Target="https://www.aidedd.org/dnd/monstres.php?vf=morkoth" TargetMode="External"/><Relationship Id="rId381" Type="http://schemas.openxmlformats.org/officeDocument/2006/relationships/hyperlink" Target="https://www.aidedd.org/dnd/monstres.php?vf=mule" TargetMode="External"/><Relationship Id="rId382" Type="http://schemas.openxmlformats.org/officeDocument/2006/relationships/hyperlink" Target="https://www.aidedd.org/dnd/monstres.php?vf=myconide-adulte" TargetMode="External"/><Relationship Id="rId383" Type="http://schemas.openxmlformats.org/officeDocument/2006/relationships/hyperlink" Target="https://www.aidedd.org/dnd/monstres.php?vf=myconide-pousse" TargetMode="External"/><Relationship Id="rId384" Type="http://schemas.openxmlformats.org/officeDocument/2006/relationships/hyperlink" Target="https://www.aidedd.org/dnd/monstres.php?vf=myconide-souverain" TargetMode="External"/><Relationship Id="rId385" Type="http://schemas.openxmlformats.org/officeDocument/2006/relationships/hyperlink" Target="https://www.aidedd.org/dnd/monstres.php?vf=naga-corrupteur" TargetMode="External"/><Relationship Id="rId386" Type="http://schemas.openxmlformats.org/officeDocument/2006/relationships/hyperlink" Target="https://www.aidedd.org/dnd/monstres.php?vf=naga-gardien" TargetMode="External"/><Relationship Id="rId387" Type="http://schemas.openxmlformats.org/officeDocument/2006/relationships/hyperlink" Target="https://www.aidedd.org/dnd/monstres.php?vf=naga-osseux" TargetMode="External"/><Relationship Id="rId388" Type="http://schemas.openxmlformats.org/officeDocument/2006/relationships/hyperlink" Target="https://www.aidedd.org/dnd/monstres.php?vf=nalfeshnie" TargetMode="External"/><Relationship Id="rId389" Type="http://schemas.openxmlformats.org/officeDocument/2006/relationships/hyperlink" Target="https://www.aidedd.org/dnd/monstres.php?vf=narzugon-legacy" TargetMode="External"/><Relationship Id="rId390" Type="http://schemas.openxmlformats.org/officeDocument/2006/relationships/hyperlink" Target="https://www.aidedd.org/dnd/monstres.php?vf=necromant" TargetMode="External"/><Relationship Id="rId391" Type="http://schemas.openxmlformats.org/officeDocument/2006/relationships/hyperlink" Target="https://www.aidedd.org/dnd/monstres.php?vf=necrophage" TargetMode="External"/><Relationship Id="rId392" Type="http://schemas.openxmlformats.org/officeDocument/2006/relationships/hyperlink" Target="https://www.aidedd.org/dnd/monstres.php?vf=neogi" TargetMode="External"/><Relationship Id="rId393" Type="http://schemas.openxmlformats.org/officeDocument/2006/relationships/hyperlink" Target="https://www.aidedd.org/dnd/monstres.php?vf=neogi-larve" TargetMode="External"/><Relationship Id="rId394" Type="http://schemas.openxmlformats.org/officeDocument/2006/relationships/hyperlink" Target="https://www.aidedd.org/dnd/monstres.php?vf=neogi-maitre" TargetMode="External"/><Relationship Id="rId395" Type="http://schemas.openxmlformats.org/officeDocument/2006/relationships/hyperlink" Target="https://www.aidedd.org/dnd/monstres.php?vf=neothelide" TargetMode="External"/><Relationship Id="rId396" Type="http://schemas.openxmlformats.org/officeDocument/2006/relationships/hyperlink" Target="https://www.aidedd.org/dnd/monstres.php?vf=nielleux" TargetMode="External"/><Relationship Id="rId397" Type="http://schemas.openxmlformats.org/officeDocument/2006/relationships/hyperlink" Target="https://www.aidedd.org/dnd/monstres.php?vf=nilbog" TargetMode="External"/><Relationship Id="rId398" Type="http://schemas.openxmlformats.org/officeDocument/2006/relationships/hyperlink" Target="https://www.aidedd.org/dnd/monstres.php?vf=noble" TargetMode="External"/><Relationship Id="rId399" Type="http://schemas.openxmlformats.org/officeDocument/2006/relationships/hyperlink" Target="https://www.aidedd.org/dnd/monstres.php?vf=nothic" TargetMode="External"/><Relationship Id="rId400" Type="http://schemas.openxmlformats.org/officeDocument/2006/relationships/hyperlink" Target="https://www.aidedd.org/dnd/monstres.php?vf=nuee-de-chauves-souris" TargetMode="External"/><Relationship Id="rId401" Type="http://schemas.openxmlformats.org/officeDocument/2006/relationships/hyperlink" Target="https://www.aidedd.org/dnd/monstres.php?vf=nuee-de-corbeaux" TargetMode="External"/><Relationship Id="rId402" Type="http://schemas.openxmlformats.org/officeDocument/2006/relationships/hyperlink" Target="https://www.aidedd.org/dnd/monstres.php?vf=nuee-de-piranhas" TargetMode="External"/><Relationship Id="rId403" Type="http://schemas.openxmlformats.org/officeDocument/2006/relationships/hyperlink" Target="https://www.aidedd.org/dnd/monstres.php?vf=nuee-de-rats" TargetMode="External"/><Relationship Id="rId404" Type="http://schemas.openxmlformats.org/officeDocument/2006/relationships/hyperlink" Target="https://www.aidedd.org/dnd/monstres.php?vf=nuee-de-rats-crane" TargetMode="External"/><Relationship Id="rId405" Type="http://schemas.openxmlformats.org/officeDocument/2006/relationships/hyperlink" Target="https://www.aidedd.org/dnd/monstres.php?vf=nuee-de-serpents-venimeux" TargetMode="External"/><Relationship Id="rId406" Type="http://schemas.openxmlformats.org/officeDocument/2006/relationships/hyperlink" Target="https://www.aidedd.org/dnd/monstres.php?vf=nuee-de-vers-putrides" TargetMode="External"/><Relationship Id="rId407" Type="http://schemas.openxmlformats.org/officeDocument/2006/relationships/hyperlink" Target="https://www.aidedd.org/dnd/monstres.php?vf=nuee-d-insectes" TargetMode="External"/><Relationship Id="rId408" Type="http://schemas.openxmlformats.org/officeDocument/2006/relationships/hyperlink" Target="https://www.aidedd.org/dnd/monstres.php?vf=nycaloth" TargetMode="External"/><Relationship Id="rId409" Type="http://schemas.openxmlformats.org/officeDocument/2006/relationships/hyperlink" Target="https://www.aidedd.org/dnd/monstres.php?vf=occultiste-d-archifee" TargetMode="External"/><Relationship Id="rId410" Type="http://schemas.openxmlformats.org/officeDocument/2006/relationships/hyperlink" Target="https://www.aidedd.org/dnd/monstres.php?vf=occultiste-de-l-archifee" TargetMode="External"/><Relationship Id="rId411" Type="http://schemas.openxmlformats.org/officeDocument/2006/relationships/hyperlink" Target="https://www.aidedd.org/dnd/monstres.php?vf=occultiste-de-fielon" TargetMode="External"/><Relationship Id="rId412" Type="http://schemas.openxmlformats.org/officeDocument/2006/relationships/hyperlink" Target="https://www.aidedd.org/dnd/monstres.php?vf=occultiste-du-fielon" TargetMode="External"/><Relationship Id="rId413" Type="http://schemas.openxmlformats.org/officeDocument/2006/relationships/hyperlink" Target="https://www.aidedd.org/dnd/monstres.php?vf=occultiste-de-grand-ancien" TargetMode="External"/><Relationship Id="rId414" Type="http://schemas.openxmlformats.org/officeDocument/2006/relationships/hyperlink" Target="https://www.aidedd.org/dnd/monstres.php?vf=occultiste-du-grand-ancien" TargetMode="External"/><Relationship Id="rId415" Type="http://schemas.openxmlformats.org/officeDocument/2006/relationships/hyperlink" Target="https://www.aidedd.org/dnd/monstres.php?vf=ogre" TargetMode="External"/><Relationship Id="rId416" Type="http://schemas.openxmlformats.org/officeDocument/2006/relationships/hyperlink" Target="https://www.aidedd.org/dnd/monstres.php?vf=ombre" TargetMode="External"/><Relationship Id="rId417" Type="http://schemas.openxmlformats.org/officeDocument/2006/relationships/hyperlink" Target="https://www.aidedd.org/dnd/monstres.php?vf=oni" TargetMode="External"/><Relationship Id="rId418" Type="http://schemas.openxmlformats.org/officeDocument/2006/relationships/hyperlink" Target="https://www.aidedd.org/dnd/monstres.php?vf=orc" TargetMode="External"/><Relationship Id="rId419" Type="http://schemas.openxmlformats.org/officeDocument/2006/relationships/hyperlink" Target="https://www.aidedd.org/dnd/monstres.php?vf=orc-chef-de-guerre" TargetMode="External"/><Relationship Id="rId420" Type="http://schemas.openxmlformats.org/officeDocument/2006/relationships/hyperlink" Target="https://www.aidedd.org/dnd/monstres.php?vf=orc-croc-rouge-de-shargaas" TargetMode="External"/><Relationship Id="rId421" Type="http://schemas.openxmlformats.org/officeDocument/2006/relationships/hyperlink" Target="https://www.aidedd.org/dnd/monstres.php?vf=orc-griffe-de-luthic" TargetMode="External"/><Relationship Id="rId422" Type="http://schemas.openxmlformats.org/officeDocument/2006/relationships/hyperlink" Target="https://www.aidedd.org/dnd/monstres.php?vf=orc-lame-d-ilneval" TargetMode="External"/><Relationship Id="rId423" Type="http://schemas.openxmlformats.org/officeDocument/2006/relationships/hyperlink" Target="https://www.aidedd.org/dnd/monstres.php?vf=orc-main-de-yurtrus" TargetMode="External"/><Relationship Id="rId424" Type="http://schemas.openxmlformats.org/officeDocument/2006/relationships/hyperlink" Target="https://www.aidedd.org/dnd/monstres.php?vf=orc-oeil-de-gruumsh" TargetMode="External"/><Relationship Id="rId425" Type="http://schemas.openxmlformats.org/officeDocument/2006/relationships/hyperlink" Target="https://www.aidedd.org/dnd/monstres.php?vf=orcus-legacy" TargetMode="External"/><Relationship Id="rId426" Type="http://schemas.openxmlformats.org/officeDocument/2006/relationships/hyperlink" Target="https://www.aidedd.org/dnd/monstres.php?vf=orog" TargetMode="External"/><Relationship Id="rId427" Type="http://schemas.openxmlformats.org/officeDocument/2006/relationships/hyperlink" Target="https://www.aidedd.org/dnd/monstres.php?vf=otyugh" TargetMode="External"/><Relationship Id="rId428" Type="http://schemas.openxmlformats.org/officeDocument/2006/relationships/hyperlink" Target="https://www.aidedd.org/dnd/monstres.php?vf=ours-brun" TargetMode="External"/><Relationship Id="rId429" Type="http://schemas.openxmlformats.org/officeDocument/2006/relationships/hyperlink" Target="https://www.aidedd.org/dnd/monstres.php?vf=ours-noir" TargetMode="External"/><Relationship Id="rId430" Type="http://schemas.openxmlformats.org/officeDocument/2006/relationships/hyperlink" Target="https://www.aidedd.org/dnd/monstres.php?vf=ours-polaire" TargetMode="External"/><Relationship Id="rId431" Type="http://schemas.openxmlformats.org/officeDocument/2006/relationships/hyperlink" Target="https://www.aidedd.org/dnd/monstres.php?vf=ours-garou" TargetMode="External"/><Relationship Id="rId432" Type="http://schemas.openxmlformats.org/officeDocument/2006/relationships/hyperlink" Target="https://www.aidedd.org/dnd/monstres.php?vf=ours-hibou" TargetMode="External"/><Relationship Id="rId433" Type="http://schemas.openxmlformats.org/officeDocument/2006/relationships/hyperlink" Target="https://www.aidedd.org/dnd/monstres.php?vf=oxydeur" TargetMode="External"/><Relationship Id="rId434" Type="http://schemas.openxmlformats.org/officeDocument/2006/relationships/hyperlink" Target="https://www.aidedd.org/dnd/monstres.php?vf=panthere" TargetMode="External"/><Relationship Id="rId435" Type="http://schemas.openxmlformats.org/officeDocument/2006/relationships/hyperlink" Target="https://www.aidedd.org/dnd/monstres.php?vf=pegase" TargetMode="External"/><Relationship Id="rId436" Type="http://schemas.openxmlformats.org/officeDocument/2006/relationships/hyperlink" Target="https://www.aidedd.org/dnd/monstres.php?vf=pentadrone" TargetMode="External"/><Relationship Id="rId437" Type="http://schemas.openxmlformats.org/officeDocument/2006/relationships/hyperlink" Target="https://www.aidedd.org/dnd/monstres.php?vf=perceur" TargetMode="External"/><Relationship Id="rId438" Type="http://schemas.openxmlformats.org/officeDocument/2006/relationships/hyperlink" Target="https://www.aidedd.org/dnd/monstres.php?vf=peryton" TargetMode="External"/><Relationship Id="rId439" Type="http://schemas.openxmlformats.org/officeDocument/2006/relationships/hyperlink" Target="https://www.aidedd.org/dnd/monstres.php?vf=piegeur" TargetMode="External"/><Relationship Id="rId440" Type="http://schemas.openxmlformats.org/officeDocument/2006/relationships/hyperlink" Target="https://www.aidedd.org/dnd/monstres.php?vf=pieuvre" TargetMode="External"/><Relationship Id="rId441" Type="http://schemas.openxmlformats.org/officeDocument/2006/relationships/hyperlink" Target="https://www.aidedd.org/dnd/monstres.php?vf=pieuvre-geante" TargetMode="External"/><Relationship Id="rId442" Type="http://schemas.openxmlformats.org/officeDocument/2006/relationships/hyperlink" Target="https://www.aidedd.org/dnd/monstres.php?vf=piranha" TargetMode="External"/><Relationship Id="rId443" Type="http://schemas.openxmlformats.org/officeDocument/2006/relationships/hyperlink" Target="https://www.aidedd.org/dnd/monstres.php?vf=pixie" TargetMode="External"/><Relationship Id="rId444" Type="http://schemas.openxmlformats.org/officeDocument/2006/relationships/hyperlink" Target="https://www.aidedd.org/dnd/monstres.php?vf=planetar" TargetMode="External"/><Relationship Id="rId445" Type="http://schemas.openxmlformats.org/officeDocument/2006/relationships/hyperlink" Target="https://www.aidedd.org/dnd/monstres.php?vf=plesiosaure" TargetMode="External"/><Relationship Id="rId446" Type="http://schemas.openxmlformats.org/officeDocument/2006/relationships/hyperlink" Target="https://www.aidedd.org/dnd/monstres.php?vf=poney" TargetMode="External"/><Relationship Id="rId447" Type="http://schemas.openxmlformats.org/officeDocument/2006/relationships/hyperlink" Target="https://www.aidedd.org/dnd/monstres.php?vf=pouding-noir" TargetMode="External"/><Relationship Id="rId448" Type="http://schemas.openxmlformats.org/officeDocument/2006/relationships/hyperlink" Target="https://www.aidedd.org/dnd/monstres.php?vf=prestelet" TargetMode="External"/><Relationship Id="rId449" Type="http://schemas.openxmlformats.org/officeDocument/2006/relationships/hyperlink" Target="https://www.aidedd.org/dnd/monstres.php?vf=pretre" TargetMode="External"/><Relationship Id="rId450" Type="http://schemas.openxmlformats.org/officeDocument/2006/relationships/hyperlink" Target="https://www.aidedd.org/dnd/monstres.php?vf=pretre-de-guerre" TargetMode="External"/><Relationship Id="rId451" Type="http://schemas.openxmlformats.org/officeDocument/2006/relationships/hyperlink" Target="https://www.aidedd.org/dnd/monstres.php?vf=pretre-de-guerre-legacy" TargetMode="External"/><Relationship Id="rId452" Type="http://schemas.openxmlformats.org/officeDocument/2006/relationships/hyperlink" Target="https://www.aidedd.org/dnd/monstres.php?vf=pretre-du-kraken-legacy" TargetMode="External"/><Relationship Id="rId453" Type="http://schemas.openxmlformats.org/officeDocument/2006/relationships/hyperlink" Target="https://www.aidedd.org/dnd/monstres.php?vf=pretre-du-kraken" TargetMode="External"/><Relationship Id="rId454" Type="http://schemas.openxmlformats.org/officeDocument/2006/relationships/hyperlink" Target="https://www.aidedd.org/dnd/monstres.php?vf=pseudodragon" TargetMode="External"/><Relationship Id="rId455" Type="http://schemas.openxmlformats.org/officeDocument/2006/relationships/hyperlink" Target="https://www.aidedd.org/dnd/monstres.php?vf=pteranodon" TargetMode="External"/><Relationship Id="rId456" Type="http://schemas.openxmlformats.org/officeDocument/2006/relationships/hyperlink" Target="https://www.aidedd.org/dnd/monstres.php?vf=quadrone" TargetMode="External"/><Relationship Id="rId457" Type="http://schemas.openxmlformats.org/officeDocument/2006/relationships/hyperlink" Target="https://www.aidedd.org/dnd/monstres.php?vf=quaggoth" TargetMode="External"/><Relationship Id="rId458" Type="http://schemas.openxmlformats.org/officeDocument/2006/relationships/hyperlink" Target="https://www.aidedd.org/dnd/monstres.php?vf=quaggoth-serviteur-des-spores" TargetMode="External"/><Relationship Id="rId459" Type="http://schemas.openxmlformats.org/officeDocument/2006/relationships/hyperlink" Target="https://www.aidedd.org/dnd/monstres.php?vf=quasit" TargetMode="External"/><Relationship Id="rId460" Type="http://schemas.openxmlformats.org/officeDocument/2006/relationships/hyperlink" Target="https://www.aidedd.org/dnd/monstres.php?vf=quetzalcoatlus-legacy" TargetMode="External"/><Relationship Id="rId461" Type="http://schemas.openxmlformats.org/officeDocument/2006/relationships/hyperlink" Target="https://www.aidedd.org/dnd/monstres.php?vf=rakshasa" TargetMode="External"/><Relationship Id="rId462" Type="http://schemas.openxmlformats.org/officeDocument/2006/relationships/hyperlink" Target="https://www.aidedd.org/dnd/monstres.php?vf=rat" TargetMode="External"/><Relationship Id="rId463" Type="http://schemas.openxmlformats.org/officeDocument/2006/relationships/hyperlink" Target="https://www.aidedd.org/dnd/monstres.php?vf=rat-geant" TargetMode="External"/><Relationship Id="rId464" Type="http://schemas.openxmlformats.org/officeDocument/2006/relationships/hyperlink" Target="https://www.aidedd.org/dnd/monstres.php?vf=rat-crane-legacy" TargetMode="External"/><Relationship Id="rId465" Type="http://schemas.openxmlformats.org/officeDocument/2006/relationships/hyperlink" Target="https://www.aidedd.org/dnd/monstres.php?vf=rat-garou" TargetMode="External"/><Relationship Id="rId466" Type="http://schemas.openxmlformats.org/officeDocument/2006/relationships/hyperlink" Target="https://www.aidedd.org/dnd/monstres.php?vf=rejeton-de-kyuss-legacy" TargetMode="External"/><Relationship Id="rId467" Type="http://schemas.openxmlformats.org/officeDocument/2006/relationships/hyperlink" Target="https://www.aidedd.org/dnd/monstres.php?vf=rejeton-des-mers-legacy" TargetMode="External"/><Relationship Id="rId468" Type="http://schemas.openxmlformats.org/officeDocument/2006/relationships/hyperlink" Target="https://www.aidedd.org/dnd/monstres.php?vf=rejeton-des-abimes-legacy" TargetMode="External"/><Relationship Id="rId469" Type="http://schemas.openxmlformats.org/officeDocument/2006/relationships/hyperlink" Target="https://www.aidedd.org/dnd/monstres.php?vf=remorhaz" TargetMode="External"/><Relationship Id="rId470" Type="http://schemas.openxmlformats.org/officeDocument/2006/relationships/hyperlink" Target="https://www.aidedd.org/dnd/monstres.php?vf=remorhaz-jeune" TargetMode="External"/><Relationship Id="rId471" Type="http://schemas.openxmlformats.org/officeDocument/2006/relationships/hyperlink" Target="https://www.aidedd.org/dnd/monstres.php?vf=requin-de-recif" TargetMode="External"/><Relationship Id="rId472" Type="http://schemas.openxmlformats.org/officeDocument/2006/relationships/hyperlink" Target="https://www.aidedd.org/dnd/monstres.php?vf=requin-geant" TargetMode="External"/><Relationship Id="rId473" Type="http://schemas.openxmlformats.org/officeDocument/2006/relationships/hyperlink" Target="https://www.aidedd.org/dnd/monstres.php?vf=requin-chasseur" TargetMode="External"/><Relationship Id="rId474" Type="http://schemas.openxmlformats.org/officeDocument/2006/relationships/hyperlink" Target="https://www.aidedd.org/dnd/monstres.php?vf=resinieux" TargetMode="External"/><Relationship Id="rId475" Type="http://schemas.openxmlformats.org/officeDocument/2006/relationships/hyperlink" Target="https://www.aidedd.org/dnd/monstres.php?vf=revenant" TargetMode="External"/><Relationship Id="rId476" Type="http://schemas.openxmlformats.org/officeDocument/2006/relationships/hyperlink" Target="https://www.aidedd.org/dnd/monstres.php?vf=rhinoceros" TargetMode="External"/><Relationship Id="rId477" Type="http://schemas.openxmlformats.org/officeDocument/2006/relationships/hyperlink" Target="https://www.aidedd.org/dnd/monstres.php?vf=roc" TargetMode="External"/><Relationship Id="rId478" Type="http://schemas.openxmlformats.org/officeDocument/2006/relationships/hyperlink" Target="https://www.aidedd.org/dnd/monstres.php?vf=roi-reine-lezard" TargetMode="External"/><Relationship Id="rId479" Type="http://schemas.openxmlformats.org/officeDocument/2006/relationships/hyperlink" Target="https://www.aidedd.org/dnd/monstres.php?vf=rothe" TargetMode="External"/><Relationship Id="rId480" Type="http://schemas.openxmlformats.org/officeDocument/2006/relationships/hyperlink" Target="https://www.aidedd.org/dnd/monstres.php?vf=rothe-des-profondeurs-legacy" TargetMode="External"/><Relationship Id="rId481" Type="http://schemas.openxmlformats.org/officeDocument/2006/relationships/hyperlink" Target="https://www.aidedd.org/dnd/monstres.php?vf=roturier" TargetMode="External"/><Relationship Id="rId482" Type="http://schemas.openxmlformats.org/officeDocument/2006/relationships/hyperlink" Target="https://www.aidedd.org/dnd/monstres.php?vf=sahuagin" TargetMode="External"/><Relationship Id="rId483" Type="http://schemas.openxmlformats.org/officeDocument/2006/relationships/hyperlink" Target="https://www.aidedd.org/dnd/monstres.php?vf=sahuagin-baron" TargetMode="External"/><Relationship Id="rId484" Type="http://schemas.openxmlformats.org/officeDocument/2006/relationships/hyperlink" Target="https://www.aidedd.org/dnd/monstres.php?vf=sahuagin-pretresse" TargetMode="External"/><Relationship Id="rId485" Type="http://schemas.openxmlformats.org/officeDocument/2006/relationships/hyperlink" Target="https://www.aidedd.org/dnd/monstres.php?vf=salamandre" TargetMode="External"/><Relationship Id="rId486" Type="http://schemas.openxmlformats.org/officeDocument/2006/relationships/hyperlink" Target="https://www.aidedd.org/dnd/monstres.php?vf=sanglier" TargetMode="External"/><Relationship Id="rId487" Type="http://schemas.openxmlformats.org/officeDocument/2006/relationships/hyperlink" Target="https://www.aidedd.org/dnd/monstres.php?vf=sanglier-geant" TargetMode="External"/><Relationship Id="rId488" Type="http://schemas.openxmlformats.org/officeDocument/2006/relationships/hyperlink" Target="https://www.aidedd.org/dnd/monstres.php?vf=sanglier-garou" TargetMode="External"/><Relationship Id="rId489" Type="http://schemas.openxmlformats.org/officeDocument/2006/relationships/hyperlink" Target="https://www.aidedd.org/dnd/monstres.php?vf=satyre" TargetMode="External"/><Relationship Id="rId490" Type="http://schemas.openxmlformats.org/officeDocument/2006/relationships/hyperlink" Target="https://www.aidedd.org/dnd/monstres.php?vf=sauteur-geant-legacy" TargetMode="External"/><Relationship Id="rId491" Type="http://schemas.openxmlformats.org/officeDocument/2006/relationships/hyperlink" Target="https://www.aidedd.org/dnd/monstres.php?vf=scarabee-de-feu-geant" TargetMode="External"/><Relationship Id="rId492" Type="http://schemas.openxmlformats.org/officeDocument/2006/relationships/hyperlink" Target="https://www.aidedd.org/dnd/monstres.php?vf=scorpion" TargetMode="External"/><Relationship Id="rId493" Type="http://schemas.openxmlformats.org/officeDocument/2006/relationships/hyperlink" Target="https://www.aidedd.org/dnd/monstres.php?vf=scorpion-geant" TargetMode="External"/><Relationship Id="rId494" Type="http://schemas.openxmlformats.org/officeDocument/2006/relationships/hyperlink" Target="https://www.aidedd.org/dnd/monstres.php?vf=seigneur-de-guerre-legacy" TargetMode="External"/><Relationship Id="rId495" Type="http://schemas.openxmlformats.org/officeDocument/2006/relationships/hyperlink" Target="https://www.aidedd.org/dnd/monstres.php?vf=seigneur-de-guerre" TargetMode="External"/><Relationship Id="rId496" Type="http://schemas.openxmlformats.org/officeDocument/2006/relationships/hyperlink" Target="https://www.aidedd.org/dnd/monstres.php?vf=seigneur-momie" TargetMode="External"/><Relationship Id="rId497" Type="http://schemas.openxmlformats.org/officeDocument/2006/relationships/hyperlink" Target="https://www.aidedd.org/dnd/monstres.php?vf=sentinelle-d-eau" TargetMode="External"/><Relationship Id="rId498" Type="http://schemas.openxmlformats.org/officeDocument/2006/relationships/hyperlink" Target="https://www.aidedd.org/dnd/monstres.php?vf=serpent-constricteur" TargetMode="External"/><Relationship Id="rId499" Type="http://schemas.openxmlformats.org/officeDocument/2006/relationships/hyperlink" Target="https://www.aidedd.org/dnd/monstres.php?vf=serpent-constricteur-geant" TargetMode="External"/><Relationship Id="rId500" Type="http://schemas.openxmlformats.org/officeDocument/2006/relationships/hyperlink" Target="https://www.aidedd.org/dnd/monstres.php?vf=serpent-de-feu" TargetMode="External"/><Relationship Id="rId501" Type="http://schemas.openxmlformats.org/officeDocument/2006/relationships/hyperlink" Target="https://www.aidedd.org/dnd/monstres.php?vf=serpent-venimeux" TargetMode="External"/><Relationship Id="rId502" Type="http://schemas.openxmlformats.org/officeDocument/2006/relationships/hyperlink" Target="https://www.aidedd.org/dnd/monstres.php?vf=serpent-venimeux-geant" TargetMode="External"/><Relationship Id="rId503" Type="http://schemas.openxmlformats.org/officeDocument/2006/relationships/hyperlink" Target="https://www.aidedd.org/dnd/monstres.php?vf=serpent-volant" TargetMode="External"/><Relationship Id="rId504" Type="http://schemas.openxmlformats.org/officeDocument/2006/relationships/hyperlink" Target="https://www.aidedd.org/dnd/monstres.php?vf=shoosuva-legacy" TargetMode="External"/><Relationship Id="rId505" Type="http://schemas.openxmlformats.org/officeDocument/2006/relationships/hyperlink" Target="https://www.aidedd.org/dnd/monstres.php?vf=sibriex-legacy" TargetMode="External"/><Relationship Id="rId506" Type="http://schemas.openxmlformats.org/officeDocument/2006/relationships/hyperlink" Target="https://www.aidedd.org/dnd/monstres.php?vf=singe-geant" TargetMode="External"/><Relationship Id="rId507" Type="http://schemas.openxmlformats.org/officeDocument/2006/relationships/hyperlink" Target="https://www.aidedd.org/dnd/monstres.php?vf=slaad-bleu" TargetMode="External"/><Relationship Id="rId508" Type="http://schemas.openxmlformats.org/officeDocument/2006/relationships/hyperlink" Target="https://www.aidedd.org/dnd/monstres.php?vf=slaad-funeste" TargetMode="External"/><Relationship Id="rId509" Type="http://schemas.openxmlformats.org/officeDocument/2006/relationships/hyperlink" Target="https://www.aidedd.org/dnd/monstres.php?vf=slaad-gris" TargetMode="External"/><Relationship Id="rId510" Type="http://schemas.openxmlformats.org/officeDocument/2006/relationships/hyperlink" Target="https://www.aidedd.org/dnd/monstres.php?vf=slaad-rouge" TargetMode="External"/><Relationship Id="rId511" Type="http://schemas.openxmlformats.org/officeDocument/2006/relationships/hyperlink" Target="https://www.aidedd.org/dnd/monstres.php?vf=slaad-vert" TargetMode="External"/><Relationship Id="rId512" Type="http://schemas.openxmlformats.org/officeDocument/2006/relationships/hyperlink" Target="https://www.aidedd.org/dnd/monstres.php?vf=slaad-tetard" TargetMode="External"/><Relationship Id="rId513" Type="http://schemas.openxmlformats.org/officeDocument/2006/relationships/hyperlink" Target="https://www.aidedd.org/dnd/monstres.php?vf=solar" TargetMode="External"/><Relationship Id="rId514" Type="http://schemas.openxmlformats.org/officeDocument/2006/relationships/hyperlink" Target="https://www.aidedd.org/dnd/monstres.php?vf=sombrelin-legacy" TargetMode="External"/><Relationship Id="rId515" Type="http://schemas.openxmlformats.org/officeDocument/2006/relationships/hyperlink" Target="https://www.aidedd.org/dnd/monstres.php?vf=sombrelin-aine-legacy" TargetMode="External"/><Relationship Id="rId516" Type="http://schemas.openxmlformats.org/officeDocument/2006/relationships/hyperlink" Target="https://www.aidedd.org/dnd/monstres.php?vf=spectateur" TargetMode="External"/><Relationship Id="rId517" Type="http://schemas.openxmlformats.org/officeDocument/2006/relationships/hyperlink" Target="https://www.aidedd.org/dnd/monstres.php?vf=spectre" TargetMode="External"/><Relationship Id="rId518" Type="http://schemas.openxmlformats.org/officeDocument/2006/relationships/hyperlink" Target="https://www.aidedd.org/dnd/monstres.php?vf=spore-gazeuse" TargetMode="External"/><Relationship Id="rId519" Type="http://schemas.openxmlformats.org/officeDocument/2006/relationships/hyperlink" Target="https://www.aidedd.org/dnd/monstres.php?vf=squelette" TargetMode="External"/><Relationship Id="rId520" Type="http://schemas.openxmlformats.org/officeDocument/2006/relationships/hyperlink" Target="https://www.aidedd.org/dnd/monstres.php?vf=squelette-de-cheval-de-guerre" TargetMode="External"/><Relationship Id="rId521" Type="http://schemas.openxmlformats.org/officeDocument/2006/relationships/hyperlink" Target="https://www.aidedd.org/dnd/monstres.php?vf=squelette-de-minotaure" TargetMode="External"/><Relationship Id="rId522" Type="http://schemas.openxmlformats.org/officeDocument/2006/relationships/hyperlink" Target="https://www.aidedd.org/dnd/monstres.php?vf=strige" TargetMode="External"/><Relationship Id="rId523" Type="http://schemas.openxmlformats.org/officeDocument/2006/relationships/hyperlink" Target="https://www.aidedd.org/dnd/monstres.php?vf=succube" TargetMode="External"/><Relationship Id="rId524" Type="http://schemas.openxmlformats.org/officeDocument/2006/relationships/hyperlink" Target="https://www.aidedd.org/dnd/monstres.php?vf=sylvanien" TargetMode="External"/><Relationship Id="rId525" Type="http://schemas.openxmlformats.org/officeDocument/2006/relationships/hyperlink" Target="https://www.aidedd.org/dnd/monstres.php?vf=tanarukk-legacy" TargetMode="External"/><Relationship Id="rId526" Type="http://schemas.openxmlformats.org/officeDocument/2006/relationships/hyperlink" Target="https://www.aidedd.org/dnd/monstres.php?vf=tapis-etouffant" TargetMode="External"/><Relationship Id="rId527" Type="http://schemas.openxmlformats.org/officeDocument/2006/relationships/hyperlink" Target="https://www.aidedd.org/dnd/monstres.php?vf=tarasque" TargetMode="External"/><Relationship Id="rId528" Type="http://schemas.openxmlformats.org/officeDocument/2006/relationships/hyperlink" Target="https://www.aidedd.org/dnd/monstres.php?vf=temoin-spirituel-legacy" TargetMode="External"/><Relationship Id="rId529" Type="http://schemas.openxmlformats.org/officeDocument/2006/relationships/hyperlink" Target="https://www.aidedd.org/dnd/monstres.php?vf=tertre-errant" TargetMode="External"/><Relationship Id="rId530" Type="http://schemas.openxmlformats.org/officeDocument/2006/relationships/hyperlink" Target="https://www.aidedd.org/dnd/monstres.php?vf=thri-kreen" TargetMode="External"/><Relationship Id="rId531" Type="http://schemas.openxmlformats.org/officeDocument/2006/relationships/hyperlink" Target="https://www.aidedd.org/dnd/monstres.php?vf=tigre" TargetMode="External"/><Relationship Id="rId532" Type="http://schemas.openxmlformats.org/officeDocument/2006/relationships/hyperlink" Target="https://www.aidedd.org/dnd/monstres.php?vf=tigre-a-dents-de-sabre" TargetMode="External"/><Relationship Id="rId533" Type="http://schemas.openxmlformats.org/officeDocument/2006/relationships/hyperlink" Target="https://www.aidedd.org/dnd/monstres.php?vf=tigre-garou" TargetMode="External"/><Relationship Id="rId534" Type="http://schemas.openxmlformats.org/officeDocument/2006/relationships/hyperlink" Target="https://www.aidedd.org/dnd/monstres.php?vf=tlincalli-legacy" TargetMode="External"/><Relationship Id="rId535" Type="http://schemas.openxmlformats.org/officeDocument/2006/relationships/hyperlink" Target="https://www.aidedd.org/dnd/monstres.php?vf=torve" TargetMode="External"/><Relationship Id="rId536" Type="http://schemas.openxmlformats.org/officeDocument/2006/relationships/hyperlink" Target="https://www.aidedd.org/dnd/monstres.php?vf=transmutateur-legacy" TargetMode="External"/><Relationship Id="rId537" Type="http://schemas.openxmlformats.org/officeDocument/2006/relationships/hyperlink" Target="https://www.aidedd.org/dnd/monstres.php?vf=traqueur-gluant-legacy" TargetMode="External"/><Relationship Id="rId538" Type="http://schemas.openxmlformats.org/officeDocument/2006/relationships/hyperlink" Target="https://www.aidedd.org/dnd/monstres.php?vf=traqueur-invisible" TargetMode="External"/><Relationship Id="rId539" Type="http://schemas.openxmlformats.org/officeDocument/2006/relationships/hyperlink" Target="https://www.aidedd.org/dnd/monstres.php?vf=triceratops" TargetMode="External"/><Relationship Id="rId540" Type="http://schemas.openxmlformats.org/officeDocument/2006/relationships/hyperlink" Target="https://www.aidedd.org/dnd/monstres.php?vf=tridrone" TargetMode="External"/><Relationship Id="rId541" Type="http://schemas.openxmlformats.org/officeDocument/2006/relationships/hyperlink" Target="https://www.aidedd.org/dnd/monstres.php?vf=triton-du-feu-guerrier-legacy" TargetMode="External"/><Relationship Id="rId542" Type="http://schemas.openxmlformats.org/officeDocument/2006/relationships/hyperlink" Target="https://www.aidedd.org/dnd/monstres.php?vf=triton-du-feu-occultiste-d-imix-legacy" TargetMode="External"/><Relationship Id="rId543" Type="http://schemas.openxmlformats.org/officeDocument/2006/relationships/hyperlink" Target="https://www.aidedd.org/dnd/monstres.php?vf=troglodyte" TargetMode="External"/><Relationship Id="rId544" Type="http://schemas.openxmlformats.org/officeDocument/2006/relationships/hyperlink" Target="https://www.aidedd.org/dnd/monstres.php?vf=troll" TargetMode="External"/><Relationship Id="rId545" Type="http://schemas.openxmlformats.org/officeDocument/2006/relationships/hyperlink" Target="https://www.aidedd.org/dnd/monstres.php?vf=tyramort" TargetMode="External"/><Relationship Id="rId546" Type="http://schemas.openxmlformats.org/officeDocument/2006/relationships/hyperlink" Target="https://www.aidedd.org/dnd/monstres.php?vf=tyrannoeil" TargetMode="External"/><Relationship Id="rId547" Type="http://schemas.openxmlformats.org/officeDocument/2006/relationships/hyperlink" Target="https://www.aidedd.org/dnd/monstres.php?vf=tyrannosaure" TargetMode="External"/><Relationship Id="rId548" Type="http://schemas.openxmlformats.org/officeDocument/2006/relationships/hyperlink" Target="https://www.aidedd.org/dnd/monstres.php?vf=ulitharid-legacy" TargetMode="External"/><Relationship Id="rId549" Type="http://schemas.openxmlformats.org/officeDocument/2006/relationships/hyperlink" Target="https://www.aidedd.org/dnd/monstres.php?vf=ultroloth" TargetMode="External"/><Relationship Id="rId550" Type="http://schemas.openxmlformats.org/officeDocument/2006/relationships/hyperlink" Target="https://www.aidedd.org/dnd/monstres.php?vf=vampirien" TargetMode="External"/><Relationship Id="rId551" Type="http://schemas.openxmlformats.org/officeDocument/2006/relationships/hyperlink" Target="https://www.aidedd.org/dnd/monstres.php?vf=vargouille-legacy" TargetMode="External"/><Relationship Id="rId552" Type="http://schemas.openxmlformats.org/officeDocument/2006/relationships/hyperlink" Target="https://www.aidedd.org/dnd/monstres.php?vf=vase-grise" TargetMode="External"/><Relationship Id="rId553" Type="http://schemas.openxmlformats.org/officeDocument/2006/relationships/hyperlink" Target="https://www.aidedd.org/dnd/monstres.php?vf=vautour" TargetMode="External"/><Relationship Id="rId554" Type="http://schemas.openxmlformats.org/officeDocument/2006/relationships/hyperlink" Target="https://www.aidedd.org/dnd/monstres.php?vf=vautour-geant" TargetMode="External"/><Relationship Id="rId555" Type="http://schemas.openxmlformats.org/officeDocument/2006/relationships/hyperlink" Target="https://www.aidedd.org/dnd/monstres.php?vf=vegepygmee-legacy" TargetMode="External"/><Relationship Id="rId556" Type="http://schemas.openxmlformats.org/officeDocument/2006/relationships/hyperlink" Target="https://www.aidedd.org/dnd/monstres.php?vf=vegepygmee-chef-legacy" TargetMode="External"/><Relationship Id="rId557" Type="http://schemas.openxmlformats.org/officeDocument/2006/relationships/hyperlink" Target="https://www.aidedd.org/dnd/monstres.php?vf=velociraptor-legacy" TargetMode="External"/><Relationship Id="rId558" Type="http://schemas.openxmlformats.org/officeDocument/2006/relationships/hyperlink" Target="https://www.aidedd.org/dnd/monstres.php?vf=ver-pourpre" TargetMode="External"/><Relationship Id="rId559" Type="http://schemas.openxmlformats.org/officeDocument/2006/relationships/hyperlink" Target="https://www.aidedd.org/dnd/monstres.php?vf=veteran" TargetMode="External"/><Relationship Id="rId560" Type="http://schemas.openxmlformats.org/officeDocument/2006/relationships/hyperlink" Target="https://www.aidedd.org/dnd/monstres.php?vf=vissepince-legacy" TargetMode="External"/><Relationship Id="rId561" Type="http://schemas.openxmlformats.org/officeDocument/2006/relationships/hyperlink" Target="https://www.aidedd.org/dnd/monstres.php?vf=vrock" TargetMode="External"/><Relationship Id="rId562" Type="http://schemas.openxmlformats.org/officeDocument/2006/relationships/hyperlink" Target="https://www.aidedd.org/dnd/monstres.php?vf=wiverne" TargetMode="External"/><Relationship Id="rId563" Type="http://schemas.openxmlformats.org/officeDocument/2006/relationships/hyperlink" Target="https://www.aidedd.org/dnd/monstres.php?vf=worg" TargetMode="External"/><Relationship Id="rId564" Type="http://schemas.openxmlformats.org/officeDocument/2006/relationships/hyperlink" Target="https://www.aidedd.org/dnd/monstres.php?vf=xorn" TargetMode="External"/><Relationship Id="rId565" Type="http://schemas.openxmlformats.org/officeDocument/2006/relationships/hyperlink" Target="https://www.aidedd.org/dnd/monstres.php?vf=xvart-legacy" TargetMode="External"/><Relationship Id="rId566" Type="http://schemas.openxmlformats.org/officeDocument/2006/relationships/hyperlink" Target="https://www.aidedd.org/dnd/monstres.php?vf=xvart-occultiste-de-raxivort-legacy" TargetMode="External"/><Relationship Id="rId567" Type="http://schemas.openxmlformats.org/officeDocument/2006/relationships/hyperlink" Target="https://www.aidedd.org/dnd/monstres.php?vf=yeti" TargetMode="External"/><Relationship Id="rId568" Type="http://schemas.openxmlformats.org/officeDocument/2006/relationships/hyperlink" Target="https://www.aidedd.org/dnd/monstres.php?vf=yeti-abominable" TargetMode="External"/><Relationship Id="rId569" Type="http://schemas.openxmlformats.org/officeDocument/2006/relationships/hyperlink" Target="https://www.aidedd.org/dnd/monstres.php?vf=yochlol" TargetMode="External"/><Relationship Id="rId570" Type="http://schemas.openxmlformats.org/officeDocument/2006/relationships/hyperlink" Target="https://www.aidedd.org/dnd/monstres.php?vf=yuan-ti-abomination" TargetMode="External"/><Relationship Id="rId571" Type="http://schemas.openxmlformats.org/officeDocument/2006/relationships/hyperlink" Target="https://www.aidedd.org/dnd/monstres.php?vf=yuan-ti-anatheme-legacy" TargetMode="External"/><Relationship Id="rId572" Type="http://schemas.openxmlformats.org/officeDocument/2006/relationships/hyperlink" Target="https://www.aidedd.org/dnd/monstres.php?vf=yuan-ti-annonciateur-de-cauchemars-legacy" TargetMode="External"/><Relationship Id="rId573" Type="http://schemas.openxmlformats.org/officeDocument/2006/relationships/hyperlink" Target="https://www.aidedd.org/dnd/monstres.php?vf=yuan-ti-chuchoteur-de-consciences-legacy" TargetMode="External"/><Relationship Id="rId574" Type="http://schemas.openxmlformats.org/officeDocument/2006/relationships/hyperlink" Target="https://www.aidedd.org/dnd/monstres.php?vf=yuan-ti-garde-des-couvees-legacy" TargetMode="External"/><Relationship Id="rId575" Type="http://schemas.openxmlformats.org/officeDocument/2006/relationships/hyperlink" Target="https://www.aidedd.org/dnd/monstres.php?vf=yuan-ti-maitre-des-fosses-legacy" TargetMode="External"/><Relationship Id="rId576" Type="http://schemas.openxmlformats.org/officeDocument/2006/relationships/hyperlink" Target="https://www.aidedd.org/dnd/monstres.php?vf=yuan-ti-malison" TargetMode="External"/><Relationship Id="rId577" Type="http://schemas.openxmlformats.org/officeDocument/2006/relationships/hyperlink" Target="https://www.aidedd.org/dnd/monstres.php?vf=yuan-ti-sang-pur" TargetMode="External"/><Relationship Id="rId578" Type="http://schemas.openxmlformats.org/officeDocument/2006/relationships/hyperlink" Target="https://www.aidedd.org/dnd/monstres.php?vf=zariel-legacy" TargetMode="External"/><Relationship Id="rId579" Type="http://schemas.openxmlformats.org/officeDocument/2006/relationships/hyperlink" Target="https://www.aidedd.org/dnd/monstres.php?vf=zombi" TargetMode="External"/><Relationship Id="rId580" Type="http://schemas.openxmlformats.org/officeDocument/2006/relationships/hyperlink" Target="https://www.aidedd.org/dnd/monstres.php?vf=zombi-ogre" TargetMode="External"/><Relationship Id="rId581" Type="http://schemas.openxmlformats.org/officeDocument/2006/relationships/hyperlink" Target="https://www.aidedd.org/dnd/monstres.php?vf=zombi-tyrannoei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594"/>
  <sheetViews>
    <sheetView showFormulas="false" showGridLines="true" showRowColHeaders="true" showZeros="true" rightToLeft="false" tabSelected="true" showOutlineSymbols="true" defaultGridColor="true" view="normal" topLeftCell="Q1" colorId="64" zoomScale="100" zoomScaleNormal="100" zoomScalePageLayoutView="100" workbookViewId="0">
      <selection pane="topLeft" activeCell="A1" activeCellId="0" sqref="A1:BK594"/>
    </sheetView>
  </sheetViews>
  <sheetFormatPr defaultColWidth="11.53515625" defaultRowHeight="12.8" customHeight="false" zeroHeight="false" outlineLevelRow="0" outlineLevelCol="0"/>
  <sheetData>
    <row r="1" customFormat="false" ht="13.8" hidden="false" customHeight="false" outlineLevel="0" collapsed="false">
      <c r="A1" s="1" t="s">
        <v>0</v>
      </c>
      <c r="B1" s="1" t="s">
        <v>1</v>
      </c>
      <c r="C1" s="1" t="s">
        <v>2</v>
      </c>
      <c r="D1" s="2" t="s">
        <v>3</v>
      </c>
      <c r="E1" s="3" t="s">
        <v>4</v>
      </c>
      <c r="F1" s="1" t="s">
        <v>5</v>
      </c>
      <c r="G1" s="1" t="s">
        <v>6</v>
      </c>
      <c r="H1" s="1" t="s">
        <v>7</v>
      </c>
      <c r="I1" s="3"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1" t="s">
        <v>26</v>
      </c>
    </row>
    <row r="2" customFormat="false" ht="16.4" hidden="false" customHeight="false" outlineLevel="0" collapsed="false">
      <c r="A2" s="4" t="s">
        <v>27</v>
      </c>
      <c r="B2" s="1" t="s">
        <v>28</v>
      </c>
      <c r="C2" s="1" t="s">
        <v>29</v>
      </c>
      <c r="D2" s="5" t="n">
        <v>0.25</v>
      </c>
      <c r="E2" s="3" t="n">
        <f aca="false">VLOOKUP(D2,'[1]REF Tables'!$A$2:$B$40,2)</f>
        <v>50</v>
      </c>
      <c r="F2" s="1" t="s">
        <v>30</v>
      </c>
      <c r="G2" s="1" t="n">
        <v>12</v>
      </c>
      <c r="H2" s="1" t="s">
        <v>31</v>
      </c>
      <c r="I2" s="3" t="s">
        <v>32</v>
      </c>
      <c r="J2" s="1" t="n">
        <v>10</v>
      </c>
      <c r="K2" s="1" t="str">
        <f aca="false">IF(J2=1,"-5",IF(OR(J2=2,J2=3),"-4",IF(OR(J2=4,J2=5),"-3",IF(OR(J2=6,J2=7),"-2",IF(OR(J2=8,J2=9),"-1",IF(OR(J2=10,J2=11),"0",IF(OR(J2=12,J2=13),"+1",IF(OR(J2=14,J2=15),"+2",IF(OR(J2=16,J2=17),"+3",IF(OR(J2=18,J2=19),"+4",IF(OR(J2=20,J2=21),"+5",IF(OR(J2=22,J2=23),"+6",IF(OR(J2=24,J2=25),"+7",IF(OR(J2=26,J2=27),"+8",IF(OR(J2=28,J2=29),"+9",IF(J2=30,"+10"," "))))))))))))))))</f>
        <v>0</v>
      </c>
      <c r="L2" s="1" t="n">
        <v>14</v>
      </c>
      <c r="M2" s="1" t="str">
        <f aca="false">IF(L2=1,"-5",IF(OR(L2=2,L2=3),"-4",IF(OR(L2=4,L2=5),"-3",IF(OR(L2=6,L2=7),"-2",IF(OR(L2=8,L2=9),"-1",IF(OR(L2=10,L2=11),"0",IF(OR(L2=12,L2=13),"+1",IF(OR(L2=14,L2=15),"+2",IF(OR(L2=16,L2=17),"+3",IF(OR(L2=18,L2=19),"+4",IF(OR(L2=20,L2=21),"+5",IF(OR(L2=22,L2=23),"+6",IF(OR(L2=24,L2=25),"+7",IF(OR(L2=26,L2=27),"+8",IF(OR(L2=28,L2=29),"+9",IF(L2=30,"+10"," "))))))))))))))))</f>
        <v>+2</v>
      </c>
      <c r="N2" s="1" t="n">
        <v>10</v>
      </c>
      <c r="O2" s="1" t="str">
        <f aca="false">IF(N2=1,"-5",IF(OR(N2=2,N2=3),"-4",IF(OR(N2=4,N2=5),"-3",IF(OR(N2=6,N2=7),"-2",IF(OR(N2=8,N2=9),"-1",IF(OR(N2=10,N2=11),"0",IF(OR(N2=12,N2=13),"+1",IF(OR(N2=14,N2=15),"+2",IF(OR(N2=16,N2=17),"+3",IF(OR(N2=18,N2=19),"+4",IF(OR(N2=20,N2=21),"+5",IF(OR(N2=22,N2=23),"+6",IF(OR(N2=24,N2=25),"+7",IF(OR(N2=26,N2=27),"+8",IF(OR(N2=28,N2=29),"+9",IF(N2=30,"+10"," "))))))))))))))))</f>
        <v>0</v>
      </c>
      <c r="P2" s="1" t="n">
        <v>11</v>
      </c>
      <c r="Q2" s="1" t="str">
        <f aca="false">IF(P2=1,"-5",IF(OR(P2=2,P2=3),"-4",IF(OR(P2=4,P2=5),"-3",IF(OR(P2=6,P2=7),"-2",IF(OR(P2=8,P2=9),"-1",IF(OR(P2=10,P2=11),"0",IF(OR(P2=12,P2=13),"+1",IF(OR(P2=14,P2=15),"+2",IF(OR(P2=16,P2=17),"+3",IF(OR(P2=18,P2=19),"+4",IF(OR(P2=20,P2=21),"+5",IF(OR(P2=22,P2=23),"+6",IF(OR(P2=24,P2=25),"+7",IF(OR(P2=26,P2=27),"+8",IF(OR(P2=28,P2=29),"+9",IF(P2=30,"+10"," "))))))))))))))))</f>
        <v>0</v>
      </c>
      <c r="R2" s="1" t="n">
        <v>12</v>
      </c>
      <c r="S2" s="1" t="str">
        <f aca="false">IF(R2=1,"-5",IF(OR(R2=2,R2=3),"-4",IF(OR(R2=4,R2=5),"-3",IF(OR(R2=6,R2=7),"-2",IF(OR(R2=8,R2=9),"-1",IF(OR(R2=10,R2=11),"0",IF(OR(R2=12,R2=13),"+1",IF(OR(R2=14,R2=15),"+2",IF(OR(R2=16,R2=17),"+3",IF(OR(R2=18,R2=19),"+4",IF(OR(R2=20,R2=21),"+5",IF(OR(R2=22,R2=23),"+6",IF(OR(R2=24,R2=25),"+7",IF(OR(R2=26,R2=27),"+8",IF(OR(R2=28,R2=29),"+9",IF(R2=30,"+10"," "))))))))))))))))</f>
        <v>+1</v>
      </c>
      <c r="T2" s="1" t="n">
        <v>11</v>
      </c>
      <c r="U2" s="1" t="str">
        <f aca="false">IF(T2=1,"-5",IF(OR(T2=2,T2=3),"-4",IF(OR(T2=4,T2=5),"-3",IF(OR(T2=6,T2=7),"-2",IF(OR(T2=8,T2=9),"-1",IF(OR(T2=10,T2=11),"0",IF(OR(T2=12,T2=13),"+1",IF(OR(T2=14,T2=15),"+2",IF(OR(T2=16,T2=17),"+3",IF(OR(T2=18,T2=19),"+4",IF(OR(T2=20,T2=21),"+5",IF(OR(T2=22,T2=23),"+6",IF(OR(T2=24,T2=25),"+7",IF(OR(T2=26,T2=27),"+8",IF(OR(T2=28,T2=29),"+9",IF(T2=30,"+10"," "))))))))))))))))</f>
        <v>0</v>
      </c>
      <c r="V2" s="1" t="s">
        <v>33</v>
      </c>
      <c r="W2" s="1" t="s">
        <v>34</v>
      </c>
      <c r="X2" s="2" t="s">
        <v>35</v>
      </c>
      <c r="Y2" s="2" t="s">
        <v>36</v>
      </c>
      <c r="Z2" s="2" t="s">
        <v>37</v>
      </c>
      <c r="AA2" s="1" t="s">
        <v>37</v>
      </c>
    </row>
    <row r="3" customFormat="false" ht="16.4" hidden="false" customHeight="false" outlineLevel="0" collapsed="false">
      <c r="A3" s="4" t="s">
        <v>38</v>
      </c>
      <c r="B3" s="1" t="s">
        <v>39</v>
      </c>
      <c r="C3" s="1" t="s">
        <v>40</v>
      </c>
      <c r="D3" s="5" t="n">
        <v>9</v>
      </c>
      <c r="E3" s="6" t="n">
        <f aca="false">VLOOKUP(D3,'[1]REF Tables'!$A$2:$B$40,2)</f>
        <v>5000</v>
      </c>
      <c r="F3" s="1" t="s">
        <v>30</v>
      </c>
      <c r="G3" s="1" t="n">
        <v>12</v>
      </c>
      <c r="H3" s="1" t="s">
        <v>41</v>
      </c>
      <c r="I3" s="3" t="s">
        <v>42</v>
      </c>
      <c r="J3" s="1" t="n">
        <v>9</v>
      </c>
      <c r="K3" s="1" t="str">
        <f aca="false">IF(J3=1,"-5",IF(OR(J3=2,J3=3),"-4",IF(OR(J3=4,J3=5),"-3",IF(OR(J3=6,J3=7),"-2",IF(OR(J3=8,J3=9),"-1",IF(OR(J3=10,J3=11),"0",IF(OR(J3=12,J3=13),"+1",IF(OR(J3=14,J3=15),"+2",IF(OR(J3=16,J3=17),"+3",IF(OR(J3=18,J3=19),"+4",IF(OR(J3=20,J3=21),"+5",IF(OR(J3=22,J3=23),"+6",IF(OR(J3=24,J3=25),"+7",IF(OR(J3=26,J3=27),"+8",IF(OR(J3=28,J3=29),"+9",IF(J3=30,"+10"," "))))))))))))))))</f>
        <v>-1</v>
      </c>
      <c r="L3" s="1" t="n">
        <v>14</v>
      </c>
      <c r="M3" s="1" t="str">
        <f aca="false">IF(L3=1,"-5",IF(OR(L3=2,L3=3),"-4",IF(OR(L3=4,L3=5),"-3",IF(OR(L3=6,L3=7),"-2",IF(OR(L3=8,L3=9),"-1",IF(OR(L3=10,L3=11),"0",IF(OR(L3=12,L3=13),"+1",IF(OR(L3=14,L3=15),"+2",IF(OR(L3=16,L3=17),"+3",IF(OR(L3=18,L3=19),"+4",IF(OR(L3=20,L3=21),"+5",IF(OR(L3=22,L3=23),"+6",IF(OR(L3=24,L3=25),"+7",IF(OR(L3=26,L3=27),"+8",IF(OR(L3=28,L3=29),"+9",IF(L3=30,"+10"," "))))))))))))))))</f>
        <v>+2</v>
      </c>
      <c r="N3" s="1" t="n">
        <v>14</v>
      </c>
      <c r="O3" s="1" t="str">
        <f aca="false">IF(N3=1,"-5",IF(OR(N3=2,N3=3),"-4",IF(OR(N3=4,N3=5),"-3",IF(OR(N3=6,N3=7),"-2",IF(OR(N3=8,N3=9),"-1",IF(OR(N3=10,N3=11),"0",IF(OR(N3=12,N3=13),"+1",IF(OR(N3=14,N3=15),"+2",IF(OR(N3=16,N3=17),"+3",IF(OR(N3=18,N3=19),"+4",IF(OR(N3=20,N3=21),"+5",IF(OR(N3=22,N3=23),"+6",IF(OR(N3=24,N3=25),"+7",IF(OR(N3=26,N3=27),"+8",IF(OR(N3=28,N3=29),"+9",IF(N3=30,"+10"," "))))))))))))))))</f>
        <v>+2</v>
      </c>
      <c r="P3" s="1" t="n">
        <v>18</v>
      </c>
      <c r="Q3" s="1" t="str">
        <f aca="false">IF(P3=1,"-5",IF(OR(P3=2,P3=3),"-4",IF(OR(P3=4,P3=5),"-3",IF(OR(P3=6,P3=7),"-2",IF(OR(P3=8,P3=9),"-1",IF(OR(P3=10,P3=11),"0",IF(OR(P3=12,P3=13),"+1",IF(OR(P3=14,P3=15),"+2",IF(OR(P3=16,P3=17),"+3",IF(OR(P3=18,P3=19),"+4",IF(OR(P3=20,P3=21),"+5",IF(OR(P3=22,P3=23),"+6",IF(OR(P3=24,P3=25),"+7",IF(OR(P3=26,P3=27),"+8",IF(OR(P3=28,P3=29),"+9",IF(P3=30,"+10"," "))))))))))))))))</f>
        <v>+4</v>
      </c>
      <c r="R3" s="1" t="n">
        <v>12</v>
      </c>
      <c r="S3" s="1" t="str">
        <f aca="false">IF(R3=1,"-5",IF(OR(R3=2,R3=3),"-4",IF(OR(R3=4,R3=5),"-3",IF(OR(R3=6,R3=7),"-2",IF(OR(R3=8,R3=9),"-1",IF(OR(R3=10,R3=11),"0",IF(OR(R3=12,R3=13),"+1",IF(OR(R3=14,R3=15),"+2",IF(OR(R3=16,R3=17),"+3",IF(OR(R3=18,R3=19),"+4",IF(OR(R3=20,R3=21),"+5",IF(OR(R3=22,R3=23),"+6",IF(OR(R3=24,R3=25),"+7",IF(OR(R3=26,R3=27),"+8",IF(OR(R3=28,R3=29),"+9",IF(R3=30,"+10"," "))))))))))))))))</f>
        <v>+1</v>
      </c>
      <c r="T3" s="1" t="n">
        <v>11</v>
      </c>
      <c r="U3" s="1" t="str">
        <f aca="false">IF(T3=1,"-5",IF(OR(T3=2,T3=3),"-4",IF(OR(T3=4,T3=5),"-3",IF(OR(T3=6,T3=7),"-2",IF(OR(T3=8,T3=9),"-1",IF(OR(T3=10,T3=11),"0",IF(OR(T3=12,T3=13),"+1",IF(OR(T3=14,T3=15),"+2",IF(OR(T3=16,T3=17),"+3",IF(OR(T3=18,T3=19),"+4",IF(OR(T3=20,T3=21),"+5",IF(OR(T3=22,T3=23),"+6",IF(OR(T3=24,T3=25),"+7",IF(OR(T3=26,T3=27),"+8",IF(OR(T3=28,T3=29),"+9",IF(T3=30,"+10"," "))))))))))))))))</f>
        <v>0</v>
      </c>
      <c r="V3" s="1" t="s">
        <v>43</v>
      </c>
      <c r="W3" s="1" t="s">
        <v>44</v>
      </c>
      <c r="X3" s="2" t="s">
        <v>45</v>
      </c>
      <c r="Y3" s="2" t="s">
        <v>46</v>
      </c>
      <c r="Z3" s="2" t="s">
        <v>37</v>
      </c>
      <c r="AA3" s="1" t="s">
        <v>37</v>
      </c>
    </row>
    <row r="4" customFormat="false" ht="16.4" hidden="false" customHeight="false" outlineLevel="0" collapsed="false">
      <c r="A4" s="4" t="s">
        <v>47</v>
      </c>
      <c r="B4" s="1" t="s">
        <v>48</v>
      </c>
      <c r="C4" s="1" t="s">
        <v>49</v>
      </c>
      <c r="D4" s="5" t="n">
        <v>10</v>
      </c>
      <c r="E4" s="6" t="n">
        <f aca="false">VLOOKUP(D4,'[1]REF Tables'!$A$2:$B$40,2)</f>
        <v>5900</v>
      </c>
      <c r="F4" s="1" t="s">
        <v>50</v>
      </c>
      <c r="G4" s="1" t="n">
        <v>17</v>
      </c>
      <c r="H4" s="1" t="s">
        <v>51</v>
      </c>
      <c r="I4" s="3" t="s">
        <v>52</v>
      </c>
      <c r="J4" s="1" t="n">
        <v>21</v>
      </c>
      <c r="K4" s="1" t="str">
        <f aca="false">IF(J4=1,"-5",IF(OR(J4=2,J4=3),"-4",IF(OR(J4=4,J4=5),"-3",IF(OR(J4=6,J4=7),"-2",IF(OR(J4=8,J4=9),"-1",IF(OR(J4=10,J4=11),"0",IF(OR(J4=12,J4=13),"+1",IF(OR(J4=14,J4=15),"+2",IF(OR(J4=16,J4=17),"+3",IF(OR(J4=18,J4=19),"+4",IF(OR(J4=20,J4=21),"+5",IF(OR(J4=22,J4=23),"+6",IF(OR(J4=24,J4=25),"+7",IF(OR(J4=26,J4=27),"+8",IF(OR(J4=28,J4=29),"+9",IF(J4=30,"+10"," "))))))))))))))))</f>
        <v>+5</v>
      </c>
      <c r="L4" s="1" t="n">
        <v>9</v>
      </c>
      <c r="M4" s="1" t="str">
        <f aca="false">IF(L4=1,"-5",IF(OR(L4=2,L4=3),"-4",IF(OR(L4=4,L4=5),"-3",IF(OR(L4=6,L4=7),"-2",IF(OR(L4=8,L4=9),"-1",IF(OR(L4=10,L4=11),"0",IF(OR(L4=12,L4=13),"+1",IF(OR(L4=14,L4=15),"+2",IF(OR(L4=16,L4=17),"+3",IF(OR(L4=18,L4=19),"+4",IF(OR(L4=20,L4=21),"+5",IF(OR(L4=22,L4=23),"+6",IF(OR(L4=24,L4=25),"+7",IF(OR(L4=26,L4=27),"+8",IF(OR(L4=28,L4=29),"+9",IF(L4=30,"+10"," "))))))))))))))))</f>
        <v>-1</v>
      </c>
      <c r="N4" s="1" t="n">
        <v>15</v>
      </c>
      <c r="O4" s="1" t="str">
        <f aca="false">IF(N4=1,"-5",IF(OR(N4=2,N4=3),"-4",IF(OR(N4=4,N4=5),"-3",IF(OR(N4=6,N4=7),"-2",IF(OR(N4=8,N4=9),"-1",IF(OR(N4=10,N4=11),"0",IF(OR(N4=12,N4=13),"+1",IF(OR(N4=14,N4=15),"+2",IF(OR(N4=16,N4=17),"+3",IF(OR(N4=18,N4=19),"+4",IF(OR(N4=20,N4=21),"+5",IF(OR(N4=22,N4=23),"+6",IF(OR(N4=24,N4=25),"+7",IF(OR(N4=26,N4=27),"+8",IF(OR(N4=28,N4=29),"+9",IF(N4=30,"+10"," "))))))))))))))))</f>
        <v>+2</v>
      </c>
      <c r="P4" s="1" t="n">
        <v>18</v>
      </c>
      <c r="Q4" s="1" t="str">
        <f aca="false">IF(P4=1,"-5",IF(OR(P4=2,P4=3),"-4",IF(OR(P4=4,P4=5),"-3",IF(OR(P4=6,P4=7),"-2",IF(OR(P4=8,P4=9),"-1",IF(OR(P4=10,P4=11),"0",IF(OR(P4=12,P4=13),"+1",IF(OR(P4=14,P4=15),"+2",IF(OR(P4=16,P4=17),"+3",IF(OR(P4=18,P4=19),"+4",IF(OR(P4=20,P4=21),"+5",IF(OR(P4=22,P4=23),"+6",IF(OR(P4=24,P4=25),"+7",IF(OR(P4=26,P4=27),"+8",IF(OR(P4=28,P4=29),"+9",IF(P4=30,"+10"," "))))))))))))))))</f>
        <v>+4</v>
      </c>
      <c r="R4" s="1" t="n">
        <v>15</v>
      </c>
      <c r="S4" s="1" t="str">
        <f aca="false">IF(R4=1,"-5",IF(OR(R4=2,R4=3),"-4",IF(OR(R4=4,R4=5),"-3",IF(OR(R4=6,R4=7),"-2",IF(OR(R4=8,R4=9),"-1",IF(OR(R4=10,R4=11),"0",IF(OR(R4=12,R4=13),"+1",IF(OR(R4=14,R4=15),"+2",IF(OR(R4=16,R4=17),"+3",IF(OR(R4=18,R4=19),"+4",IF(OR(R4=20,R4=21),"+5",IF(OR(R4=22,R4=23),"+6",IF(OR(R4=24,R4=25),"+7",IF(OR(R4=26,R4=27),"+8",IF(OR(R4=28,R4=29),"+9",IF(R4=30,"+10"," "))))))))))))))))</f>
        <v>+2</v>
      </c>
      <c r="T4" s="1" t="n">
        <v>18</v>
      </c>
      <c r="U4" s="1" t="str">
        <f aca="false">IF(T4=1,"-5",IF(OR(T4=2,T4=3),"-4",IF(OR(T4=4,T4=5),"-3",IF(OR(T4=6,T4=7),"-2",IF(OR(T4=8,T4=9),"-1",IF(OR(T4=10,T4=11),"0",IF(OR(T4=12,T4=13),"+1",IF(OR(T4=14,T4=15),"+2",IF(OR(T4=16,T4=17),"+3",IF(OR(T4=18,T4=19),"+4",IF(OR(T4=20,T4=21),"+5",IF(OR(T4=22,T4=23),"+6",IF(OR(T4=24,T4=25),"+7",IF(OR(T4=26,T4=27),"+8",IF(OR(T4=28,T4=29),"+9",IF(T4=30,"+10"," "))))))))))))))))</f>
        <v>+4</v>
      </c>
      <c r="V4" s="1" t="s">
        <v>53</v>
      </c>
      <c r="W4" s="1" t="s">
        <v>54</v>
      </c>
      <c r="X4" s="2" t="s">
        <v>55</v>
      </c>
      <c r="Y4" s="2" t="s">
        <v>56</v>
      </c>
      <c r="Z4" s="2" t="s">
        <v>37</v>
      </c>
      <c r="AA4" s="1" t="s">
        <v>57</v>
      </c>
    </row>
    <row r="5" customFormat="false" ht="16.4" hidden="false" customHeight="false" outlineLevel="0" collapsed="false">
      <c r="A5" s="4" t="s">
        <v>58</v>
      </c>
      <c r="B5" s="1" t="s">
        <v>59</v>
      </c>
      <c r="C5" s="1" t="s">
        <v>37</v>
      </c>
      <c r="D5" s="5" t="n">
        <v>0.25</v>
      </c>
      <c r="E5" s="3" t="n">
        <f aca="false">VLOOKUP(D5,'[1]REF Tables'!$A$2:$B$40,2)</f>
        <v>50</v>
      </c>
      <c r="F5" s="1" t="s">
        <v>50</v>
      </c>
      <c r="G5" s="1" t="n">
        <v>10</v>
      </c>
      <c r="H5" s="1" t="s">
        <v>60</v>
      </c>
      <c r="I5" s="3" t="s">
        <v>42</v>
      </c>
      <c r="J5" s="1" t="n">
        <v>18</v>
      </c>
      <c r="K5" s="1" t="str">
        <f aca="false">IF(J5=1,"-5",IF(OR(J5=2,J5=3),"-4",IF(OR(J5=4,J5=5),"-3",IF(OR(J5=6,J5=7),"-2",IF(OR(J5=8,J5=9),"-1",IF(OR(J5=10,J5=11),"0",IF(OR(J5=12,J5=13),"+1",IF(OR(J5=14,J5=15),"+2",IF(OR(J5=16,J5=17),"+3",IF(OR(J5=18,J5=19),"+4",IF(OR(J5=20,J5=21),"+5",IF(OR(J5=22,J5=23),"+6",IF(OR(J5=24,J5=25),"+7",IF(OR(J5=26,J5=27),"+8",IF(OR(J5=28,J5=29),"+9",IF(J5=30,"+10"," "))))))))))))))))</f>
        <v>+4</v>
      </c>
      <c r="L5" s="1" t="n">
        <v>10</v>
      </c>
      <c r="M5" s="1" t="str">
        <f aca="false">IF(L5=1,"-5",IF(OR(L5=2,L5=3),"-4",IF(OR(L5=4,L5=5),"-3",IF(OR(L5=6,L5=7),"-2",IF(OR(L5=8,L5=9),"-1",IF(OR(L5=10,L5=11),"0",IF(OR(L5=12,L5=13),"+1",IF(OR(L5=14,L5=15),"+2",IF(OR(L5=16,L5=17),"+3",IF(OR(L5=18,L5=19),"+4",IF(OR(L5=20,L5=21),"+5",IF(OR(L5=22,L5=23),"+6",IF(OR(L5=24,L5=25),"+7",IF(OR(L5=26,L5=27),"+8",IF(OR(L5=28,L5=29),"+9",IF(L5=30,"+10"," "))))))))))))))))</f>
        <v>0</v>
      </c>
      <c r="N5" s="1" t="n">
        <v>14</v>
      </c>
      <c r="O5" s="1" t="str">
        <f aca="false">IF(N5=1,"-5",IF(OR(N5=2,N5=3),"-4",IF(OR(N5=4,N5=5),"-3",IF(OR(N5=6,N5=7),"-2",IF(OR(N5=8,N5=9),"-1",IF(OR(N5=10,N5=11),"0",IF(OR(N5=12,N5=13),"+1",IF(OR(N5=14,N5=15),"+2",IF(OR(N5=16,N5=17),"+3",IF(OR(N5=18,N5=19),"+4",IF(OR(N5=20,N5=21),"+5",IF(OR(N5=22,N5=23),"+6",IF(OR(N5=24,N5=25),"+7",IF(OR(N5=26,N5=27),"+8",IF(OR(N5=28,N5=29),"+9",IF(N5=30,"+10"," "))))))))))))))))</f>
        <v>+2</v>
      </c>
      <c r="P5" s="1" t="n">
        <v>2</v>
      </c>
      <c r="Q5" s="1" t="str">
        <f aca="false">IF(P5=1,"-5",IF(OR(P5=2,P5=3),"-4",IF(OR(P5=4,P5=5),"-3",IF(OR(P5=6,P5=7),"-2",IF(OR(P5=8,P5=9),"-1",IF(OR(P5=10,P5=11),"0",IF(OR(P5=12,P5=13),"+1",IF(OR(P5=14,P5=15),"+2",IF(OR(P5=16,P5=17),"+3",IF(OR(P5=18,P5=19),"+4",IF(OR(P5=20,P5=21),"+5",IF(OR(P5=22,P5=23),"+6",IF(OR(P5=24,P5=25),"+7",IF(OR(P5=26,P5=27),"+8",IF(OR(P5=28,P5=29),"+9",IF(P5=30,"+10"," "))))))))))))))))</f>
        <v>-4</v>
      </c>
      <c r="R5" s="1" t="n">
        <v>10</v>
      </c>
      <c r="S5" s="1" t="str">
        <f aca="false">IF(R5=1,"-5",IF(OR(R5=2,R5=3),"-4",IF(OR(R5=4,R5=5),"-3",IF(OR(R5=6,R5=7),"-2",IF(OR(R5=8,R5=9),"-1",IF(OR(R5=10,R5=11),"0",IF(OR(R5=12,R5=13),"+1",IF(OR(R5=14,R5=15),"+2",IF(OR(R5=16,R5=17),"+3",IF(OR(R5=18,R5=19),"+4",IF(OR(R5=20,R5=21),"+5",IF(OR(R5=22,R5=23),"+6",IF(OR(R5=24,R5=25),"+7",IF(OR(R5=26,R5=27),"+8",IF(OR(R5=28,R5=29),"+9",IF(R5=30,"+10"," "))))))))))))))))</f>
        <v>0</v>
      </c>
      <c r="T5" s="1" t="n">
        <v>4</v>
      </c>
      <c r="U5" s="1" t="str">
        <f aca="false">IF(T5=1,"-5",IF(OR(T5=2,T5=3),"-4",IF(OR(T5=4,T5=5),"-3",IF(OR(T5=6,T5=7),"-2",IF(OR(T5=8,T5=9),"-1",IF(OR(T5=10,T5=11),"0",IF(OR(T5=12,T5=13),"+1",IF(OR(T5=14,T5=15),"+2",IF(OR(T5=16,T5=17),"+3",IF(OR(T5=18,T5=19),"+4",IF(OR(T5=20,T5=21),"+5",IF(OR(T5=22,T5=23),"+6",IF(OR(T5=24,T5=25),"+7",IF(OR(T5=26,T5=27),"+8",IF(OR(T5=28,T5=29),"+9",IF(T5=30,"+10"," "))))))))))))))))</f>
        <v>-3</v>
      </c>
      <c r="V5" s="1" t="s">
        <v>37</v>
      </c>
      <c r="W5" s="1" t="s">
        <v>37</v>
      </c>
      <c r="X5" s="2" t="s">
        <v>61</v>
      </c>
      <c r="Y5" s="2" t="s">
        <v>62</v>
      </c>
      <c r="Z5" s="2" t="s">
        <v>37</v>
      </c>
      <c r="AA5" s="1" t="s">
        <v>37</v>
      </c>
    </row>
    <row r="6" customFormat="false" ht="16.4" hidden="false" customHeight="false" outlineLevel="0" collapsed="false">
      <c r="A6" s="4" t="s">
        <v>63</v>
      </c>
      <c r="B6" s="1" t="s">
        <v>39</v>
      </c>
      <c r="C6" s="1" t="s">
        <v>40</v>
      </c>
      <c r="D6" s="5" t="n">
        <v>0.25</v>
      </c>
      <c r="E6" s="3" t="n">
        <f aca="false">VLOOKUP(D6,'[1]REF Tables'!$A$2:$B$40,2)</f>
        <v>50</v>
      </c>
      <c r="F6" s="1" t="s">
        <v>30</v>
      </c>
      <c r="G6" s="1" t="n">
        <v>10</v>
      </c>
      <c r="H6" s="1" t="s">
        <v>64</v>
      </c>
      <c r="I6" s="3" t="s">
        <v>42</v>
      </c>
      <c r="J6" s="1" t="n">
        <v>10</v>
      </c>
      <c r="K6" s="1" t="str">
        <f aca="false">IF(J6=1,"-5",IF(OR(J6=2,J6=3),"-4",IF(OR(J6=4,J6=5),"-3",IF(OR(J6=6,J6=7),"-2",IF(OR(J6=8,J6=9),"-1",IF(OR(J6=10,J6=11),"0",IF(OR(J6=12,J6=13),"+1",IF(OR(J6=14,J6=15),"+2",IF(OR(J6=16,J6=17),"+3",IF(OR(J6=18,J6=19),"+4",IF(OR(J6=20,J6=21),"+5",IF(OR(J6=22,J6=23),"+6",IF(OR(J6=24,J6=25),"+7",IF(OR(J6=26,J6=27),"+8",IF(OR(J6=28,J6=29),"+9",IF(J6=30,"+10"," "))))))))))))))))</f>
        <v>0</v>
      </c>
      <c r="L6" s="1" t="n">
        <v>10</v>
      </c>
      <c r="M6" s="1" t="str">
        <f aca="false">IF(L6=1,"-5",IF(OR(L6=2,L6=3),"-4",IF(OR(L6=4,L6=5),"-3",IF(OR(L6=6,L6=7),"-2",IF(OR(L6=8,L6=9),"-1",IF(OR(L6=10,L6=11),"0",IF(OR(L6=12,L6=13),"+1",IF(OR(L6=14,L6=15),"+2",IF(OR(L6=16,L6=17),"+3",IF(OR(L6=18,L6=19),"+4",IF(OR(L6=20,L6=21),"+5",IF(OR(L6=22,L6=23),"+6",IF(OR(L6=24,L6=25),"+7",IF(OR(L6=26,L6=27),"+8",IF(OR(L6=28,L6=29),"+9",IF(L6=30,"+10"," "))))))))))))))))</f>
        <v>0</v>
      </c>
      <c r="N6" s="1" t="n">
        <v>10</v>
      </c>
      <c r="O6" s="1" t="str">
        <f aca="false">IF(N6=1,"-5",IF(OR(N6=2,N6=3),"-4",IF(OR(N6=4,N6=5),"-3",IF(OR(N6=6,N6=7),"-2",IF(OR(N6=8,N6=9),"-1",IF(OR(N6=10,N6=11),"0",IF(OR(N6=12,N6=13),"+1",IF(OR(N6=14,N6=15),"+2",IF(OR(N6=16,N6=17),"+3",IF(OR(N6=18,N6=19),"+4",IF(OR(N6=20,N6=21),"+5",IF(OR(N6=22,N6=23),"+6",IF(OR(N6=24,N6=25),"+7",IF(OR(N6=26,N6=27),"+8",IF(OR(N6=28,N6=29),"+9",IF(N6=30,"+10"," "))))))))))))))))</f>
        <v>0</v>
      </c>
      <c r="P6" s="1" t="n">
        <v>10</v>
      </c>
      <c r="Q6" s="1" t="str">
        <f aca="false">IF(P6=1,"-5",IF(OR(P6=2,P6=3),"-4",IF(OR(P6=4,P6=5),"-3",IF(OR(P6=6,P6=7),"-2",IF(OR(P6=8,P6=9),"-1",IF(OR(P6=10,P6=11),"0",IF(OR(P6=12,P6=13),"+1",IF(OR(P6=14,P6=15),"+2",IF(OR(P6=16,P6=17),"+3",IF(OR(P6=18,P6=19),"+4",IF(OR(P6=20,P6=21),"+5",IF(OR(P6=22,P6=23),"+6",IF(OR(P6=24,P6=25),"+7",IF(OR(P6=26,P6=27),"+8",IF(OR(P6=28,P6=29),"+9",IF(P6=30,"+10"," "))))))))))))))))</f>
        <v>0</v>
      </c>
      <c r="R6" s="1" t="n">
        <v>14</v>
      </c>
      <c r="S6" s="1" t="str">
        <f aca="false">IF(R6=1,"-5",IF(OR(R6=2,R6=3),"-4",IF(OR(R6=4,R6=5),"-3",IF(OR(R6=6,R6=7),"-2",IF(OR(R6=8,R6=9),"-1",IF(OR(R6=10,R6=11),"0",IF(OR(R6=12,R6=13),"+1",IF(OR(R6=14,R6=15),"+2",IF(OR(R6=16,R6=17),"+3",IF(OR(R6=18,R6=19),"+4",IF(OR(R6=20,R6=21),"+5",IF(OR(R6=22,R6=23),"+6",IF(OR(R6=24,R6=25),"+7",IF(OR(R6=26,R6=27),"+8",IF(OR(R6=28,R6=29),"+9",IF(R6=30,"+10"," "))))))))))))))))</f>
        <v>+2</v>
      </c>
      <c r="T6" s="1" t="n">
        <v>11</v>
      </c>
      <c r="U6" s="1" t="str">
        <f aca="false">IF(T6=1,"-5",IF(OR(T6=2,T6=3),"-4",IF(OR(T6=4,T6=5),"-3",IF(OR(T6=6,T6=7),"-2",IF(OR(T6=8,T6=9),"-1",IF(OR(T6=10,T6=11),"0",IF(OR(T6=12,T6=13),"+1",IF(OR(T6=14,T6=15),"+2",IF(OR(T6=16,T6=17),"+3",IF(OR(T6=18,T6=19),"+4",IF(OR(T6=20,T6=21),"+5",IF(OR(T6=22,T6=23),"+6",IF(OR(T6=24,T6=25),"+7",IF(OR(T6=26,T6=27),"+8",IF(OR(T6=28,T6=29),"+9",IF(T6=30,"+10"," "))))))))))))))))</f>
        <v>0</v>
      </c>
      <c r="V6" s="1" t="s">
        <v>65</v>
      </c>
      <c r="W6" s="1" t="s">
        <v>66</v>
      </c>
      <c r="X6" s="2" t="s">
        <v>67</v>
      </c>
      <c r="Y6" s="2" t="s">
        <v>68</v>
      </c>
      <c r="Z6" s="2" t="s">
        <v>37</v>
      </c>
      <c r="AA6" s="1" t="s">
        <v>37</v>
      </c>
    </row>
    <row r="7" customFormat="false" ht="16.4" hidden="false" customHeight="false" outlineLevel="0" collapsed="false">
      <c r="A7" s="4" t="s">
        <v>69</v>
      </c>
      <c r="B7" s="1" t="s">
        <v>59</v>
      </c>
      <c r="C7" s="1" t="s">
        <v>29</v>
      </c>
      <c r="D7" s="5" t="n">
        <v>1</v>
      </c>
      <c r="E7" s="3" t="n">
        <f aca="false">VLOOKUP(D7,'[1]REF Tables'!$A$2:$B$40,2)</f>
        <v>200</v>
      </c>
      <c r="F7" s="1" t="s">
        <v>50</v>
      </c>
      <c r="G7" s="1" t="n">
        <v>13</v>
      </c>
      <c r="H7" s="1" t="s">
        <v>70</v>
      </c>
      <c r="I7" s="3" t="s">
        <v>71</v>
      </c>
      <c r="J7" s="1" t="n">
        <v>16</v>
      </c>
      <c r="K7" s="1" t="str">
        <f aca="false">IF(J7=1,"-5",IF(OR(J7=2,J7=3),"-4",IF(OR(J7=4,J7=5),"-3",IF(OR(J7=6,J7=7),"-2",IF(OR(J7=8,J7=9),"-1",IF(OR(J7=10,J7=11),"0",IF(OR(J7=12,J7=13),"+1",IF(OR(J7=14,J7=15),"+2",IF(OR(J7=16,J7=17),"+3",IF(OR(J7=18,J7=19),"+4",IF(OR(J7=20,J7=21),"+5",IF(OR(J7=22,J7=23),"+6",IF(OR(J7=24,J7=25),"+7",IF(OR(J7=26,J7=27),"+8",IF(OR(J7=28,J7=29),"+9",IF(J7=30,"+10"," "))))))))))))))))</f>
        <v>+3</v>
      </c>
      <c r="L7" s="1" t="n">
        <v>17</v>
      </c>
      <c r="M7" s="1" t="str">
        <f aca="false">IF(L7=1,"-5",IF(OR(L7=2,L7=3),"-4",IF(OR(L7=4,L7=5),"-3",IF(OR(L7=6,L7=7),"-2",IF(OR(L7=8,L7=9),"-1",IF(OR(L7=10,L7=11),"0",IF(OR(L7=12,L7=13),"+1",IF(OR(L7=14,L7=15),"+2",IF(OR(L7=16,L7=17),"+3",IF(OR(L7=18,L7=19),"+4",IF(OR(L7=20,L7=21),"+5",IF(OR(L7=22,L7=23),"+6",IF(OR(L7=24,L7=25),"+7",IF(OR(L7=26,L7=27),"+8",IF(OR(L7=28,L7=29),"+9",IF(L7=30,"+10"," "))))))))))))))))</f>
        <v>+3</v>
      </c>
      <c r="N7" s="1" t="n">
        <v>13</v>
      </c>
      <c r="O7" s="1" t="str">
        <f aca="false">IF(N7=1,"-5",IF(OR(N7=2,N7=3),"-4",IF(OR(N7=4,N7=5),"-3",IF(OR(N7=6,N7=7),"-2",IF(OR(N7=8,N7=9),"-1",IF(OR(N7=10,N7=11),"0",IF(OR(N7=12,N7=13),"+1",IF(OR(N7=14,N7=15),"+2",IF(OR(N7=16,N7=17),"+3",IF(OR(N7=18,N7=19),"+4",IF(OR(N7=20,N7=21),"+5",IF(OR(N7=22,N7=23),"+6",IF(OR(N7=24,N7=25),"+7",IF(OR(N7=26,N7=27),"+8",IF(OR(N7=28,N7=29),"+9",IF(N7=30,"+10"," "))))))))))))))))</f>
        <v>+1</v>
      </c>
      <c r="P7" s="1" t="n">
        <v>8</v>
      </c>
      <c r="Q7" s="1" t="str">
        <f aca="false">IF(P7=1,"-5",IF(OR(P7=2,P7=3),"-4",IF(OR(P7=4,P7=5),"-3",IF(OR(P7=6,P7=7),"-2",IF(OR(P7=8,P7=9),"-1",IF(OR(P7=10,P7=11),"0",IF(OR(P7=12,P7=13),"+1",IF(OR(P7=14,P7=15),"+2",IF(OR(P7=16,P7=17),"+3",IF(OR(P7=18,P7=19),"+4",IF(OR(P7=20,P7=21),"+5",IF(OR(P7=22,P7=23),"+6",IF(OR(P7=24,P7=25),"+7",IF(OR(P7=26,P7=27),"+8",IF(OR(P7=28,P7=29),"+9",IF(P7=30,"+10"," "))))))))))))))))</f>
        <v>-1</v>
      </c>
      <c r="R7" s="1" t="n">
        <v>14</v>
      </c>
      <c r="S7" s="1" t="str">
        <f aca="false">IF(R7=1,"-5",IF(OR(R7=2,R7=3),"-4",IF(OR(R7=4,R7=5),"-3",IF(OR(R7=6,R7=7),"-2",IF(OR(R7=8,R7=9),"-1",IF(OR(R7=10,R7=11),"0",IF(OR(R7=12,R7=13),"+1",IF(OR(R7=14,R7=15),"+2",IF(OR(R7=16,R7=17),"+3",IF(OR(R7=18,R7=19),"+4",IF(OR(R7=20,R7=21),"+5",IF(OR(R7=22,R7=23),"+6",IF(OR(R7=24,R7=25),"+7",IF(OR(R7=26,R7=27),"+8",IF(OR(R7=28,R7=29),"+9",IF(R7=30,"+10"," "))))))))))))))))</f>
        <v>+2</v>
      </c>
      <c r="T7" s="1" t="n">
        <v>10</v>
      </c>
      <c r="U7" s="1" t="str">
        <f aca="false">IF(T7=1,"-5",IF(OR(T7=2,T7=3),"-4",IF(OR(T7=4,T7=5),"-3",IF(OR(T7=6,T7=7),"-2",IF(OR(T7=8,T7=9),"-1",IF(OR(T7=10,T7=11),"0",IF(OR(T7=12,T7=13),"+1",IF(OR(T7=14,T7=15),"+2",IF(OR(T7=16,T7=17),"+3",IF(OR(T7=18,T7=19),"+4",IF(OR(T7=20,T7=21),"+5",IF(OR(T7=22,T7=23),"+6",IF(OR(T7=24,T7=25),"+7",IF(OR(T7=26,T7=27),"+8",IF(OR(T7=28,T7=29),"+9",IF(T7=30,"+10"," "))))))))))))))))</f>
        <v>0</v>
      </c>
      <c r="V7" s="1" t="s">
        <v>72</v>
      </c>
      <c r="W7" s="1" t="s">
        <v>73</v>
      </c>
      <c r="X7" s="2" t="s">
        <v>74</v>
      </c>
      <c r="Y7" s="2" t="s">
        <v>75</v>
      </c>
      <c r="Z7" s="2" t="s">
        <v>37</v>
      </c>
      <c r="AA7" s="1" t="s">
        <v>37</v>
      </c>
    </row>
    <row r="8" customFormat="false" ht="16.4" hidden="false" customHeight="false" outlineLevel="0" collapsed="false">
      <c r="A8" s="4" t="s">
        <v>76</v>
      </c>
      <c r="B8" s="1" t="s">
        <v>77</v>
      </c>
      <c r="C8" s="1" t="s">
        <v>78</v>
      </c>
      <c r="D8" s="5" t="n">
        <v>10</v>
      </c>
      <c r="E8" s="6" t="n">
        <f aca="false">VLOOKUP(D8,'[1]REF Tables'!$A$2:$B$40,2)</f>
        <v>5900</v>
      </c>
      <c r="F8" s="1" t="s">
        <v>30</v>
      </c>
      <c r="G8" s="1" t="n">
        <v>15</v>
      </c>
      <c r="H8" s="1" t="s">
        <v>79</v>
      </c>
      <c r="I8" s="3" t="s">
        <v>42</v>
      </c>
      <c r="J8" s="1" t="n">
        <v>11</v>
      </c>
      <c r="K8" s="1" t="str">
        <f aca="false">IF(J8=1,"-5",IF(OR(J8=2,J8=3),"-4",IF(OR(J8=4,J8=5),"-3",IF(OR(J8=6,J8=7),"-2",IF(OR(J8=8,J8=9),"-1",IF(OR(J8=10,J8=11),"0",IF(OR(J8=12,J8=13),"+1",IF(OR(J8=14,J8=15),"+2",IF(OR(J8=16,J8=17),"+3",IF(OR(J8=18,J8=19),"+4",IF(OR(J8=20,J8=21),"+5",IF(OR(J8=22,J8=23),"+6",IF(OR(J8=24,J8=25),"+7",IF(OR(J8=26,J8=27),"+8",IF(OR(J8=28,J8=29),"+9",IF(J8=30,"+10"," "))))))))))))))))</f>
        <v>0</v>
      </c>
      <c r="L8" s="1" t="n">
        <v>12</v>
      </c>
      <c r="M8" s="1" t="str">
        <f aca="false">IF(L8=1,"-5",IF(OR(L8=2,L8=3),"-4",IF(OR(L8=4,L8=5),"-3",IF(OR(L8=6,L8=7),"-2",IF(OR(L8=8,L8=9),"-1",IF(OR(L8=10,L8=11),"0",IF(OR(L8=12,L8=13),"+1",IF(OR(L8=14,L8=15),"+2",IF(OR(L8=16,L8=17),"+3",IF(OR(L8=18,L8=19),"+4",IF(OR(L8=20,L8=21),"+5",IF(OR(L8=22,L8=23),"+6",IF(OR(L8=24,L8=25),"+7",IF(OR(L8=26,L8=27),"+8",IF(OR(L8=28,L8=29),"+9",IF(L8=30,"+10"," "))))))))))))))))</f>
        <v>+1</v>
      </c>
      <c r="N8" s="1" t="n">
        <v>16</v>
      </c>
      <c r="O8" s="1" t="str">
        <f aca="false">IF(N8=1,"-5",IF(OR(N8=2,N8=3),"-4",IF(OR(N8=4,N8=5),"-3",IF(OR(N8=6,N8=7),"-2",IF(OR(N8=8,N8=9),"-1",IF(OR(N8=10,N8=11),"0",IF(OR(N8=12,N8=13),"+1",IF(OR(N8=14,N8=15),"+2",IF(OR(N8=16,N8=17),"+3",IF(OR(N8=18,N8=19),"+4",IF(OR(N8=20,N8=21),"+5",IF(OR(N8=22,N8=23),"+6",IF(OR(N8=24,N8=25),"+7",IF(OR(N8=26,N8=27),"+8",IF(OR(N8=28,N8=29),"+9",IF(N8=30,"+10"," "))))))))))))))))</f>
        <v>+3</v>
      </c>
      <c r="P8" s="1" t="n">
        <v>19</v>
      </c>
      <c r="Q8" s="1" t="str">
        <f aca="false">IF(P8=1,"-5",IF(OR(P8=2,P8=3),"-4",IF(OR(P8=4,P8=5),"-3",IF(OR(P8=6,P8=7),"-2",IF(OR(P8=8,P8=9),"-1",IF(OR(P8=10,P8=11),"0",IF(OR(P8=12,P8=13),"+1",IF(OR(P8=14,P8=15),"+2",IF(OR(P8=16,P8=17),"+3",IF(OR(P8=18,P8=19),"+4",IF(OR(P8=20,P8=21),"+5",IF(OR(P8=22,P8=23),"+6",IF(OR(P8=24,P8=25),"+7",IF(OR(P8=26,P8=27),"+8",IF(OR(P8=28,P8=29),"+9",IF(P8=30,"+10"," "))))))))))))))))</f>
        <v>+4</v>
      </c>
      <c r="R8" s="1" t="n">
        <v>17</v>
      </c>
      <c r="S8" s="1" t="str">
        <f aca="false">IF(R8=1,"-5",IF(OR(R8=2,R8=3),"-4",IF(OR(R8=4,R8=5),"-3",IF(OR(R8=6,R8=7),"-2",IF(OR(R8=8,R8=9),"-1",IF(OR(R8=10,R8=11),"0",IF(OR(R8=12,R8=13),"+1",IF(OR(R8=14,R8=15),"+2",IF(OR(R8=16,R8=17),"+3",IF(OR(R8=18,R8=19),"+4",IF(OR(R8=20,R8=21),"+5",IF(OR(R8=22,R8=23),"+6",IF(OR(R8=24,R8=25),"+7",IF(OR(R8=26,R8=27),"+8",IF(OR(R8=28,R8=29),"+9",IF(R8=30,"+10"," "))))))))))))))))</f>
        <v>+3</v>
      </c>
      <c r="T8" s="1" t="n">
        <v>17</v>
      </c>
      <c r="U8" s="1" t="str">
        <f aca="false">IF(T8=1,"-5",IF(OR(T8=2,T8=3),"-4",IF(OR(T8=4,T8=5),"-3",IF(OR(T8=6,T8=7),"-2",IF(OR(T8=8,T8=9),"-1",IF(OR(T8=10,T8=11),"0",IF(OR(T8=12,T8=13),"+1",IF(OR(T8=14,T8=15),"+2",IF(OR(T8=16,T8=17),"+3",IF(OR(T8=18,T8=19),"+4",IF(OR(T8=20,T8=21),"+5",IF(OR(T8=22,T8=23),"+6",IF(OR(T8=24,T8=25),"+7",IF(OR(T8=26,T8=27),"+8",IF(OR(T8=28,T8=29),"+9",IF(T8=30,"+10"," "))))))))))))))))</f>
        <v>+3</v>
      </c>
      <c r="V8" s="1" t="s">
        <v>80</v>
      </c>
      <c r="W8" s="1" t="s">
        <v>81</v>
      </c>
      <c r="X8" s="2" t="s">
        <v>82</v>
      </c>
      <c r="Y8" s="2" t="s">
        <v>83</v>
      </c>
      <c r="Z8" s="2" t="s">
        <v>37</v>
      </c>
      <c r="AA8" s="1" t="s">
        <v>37</v>
      </c>
    </row>
    <row r="9" customFormat="false" ht="16.4" hidden="false" customHeight="false" outlineLevel="0" collapsed="false">
      <c r="A9" s="7" t="s">
        <v>84</v>
      </c>
      <c r="B9" s="1" t="s">
        <v>77</v>
      </c>
      <c r="C9" s="1" t="s">
        <v>85</v>
      </c>
      <c r="D9" s="8" t="n">
        <v>5</v>
      </c>
      <c r="E9" s="9" t="n">
        <f aca="false">VLOOKUP(D9,'[1]REF Tables'!$A$2:$B$40,2)</f>
        <v>1800</v>
      </c>
      <c r="F9" s="1" t="s">
        <v>30</v>
      </c>
      <c r="G9" s="10" t="n">
        <v>13</v>
      </c>
      <c r="H9" s="1" t="s">
        <v>86</v>
      </c>
      <c r="I9" s="1" t="s">
        <v>87</v>
      </c>
      <c r="J9" s="10" t="n">
        <v>6</v>
      </c>
      <c r="K9" s="1" t="str">
        <f aca="false">IF(J9=1,"-5",IF(OR(J9=2,J9=3),"-4",IF(OR(J9=4,J9=5),"-3",IF(OR(J9=6,J9=7),"-2",IF(OR(J9=8,J9=9),"-1",IF(OR(J9=10,J9=11),"0",IF(OR(J9=12,J9=13),"+1",IF(OR(J9=14,J9=15),"+2",IF(OR(J9=16,J9=17),"+3",IF(OR(J9=18,J9=19),"+4",IF(OR(J9=20,J9=21),"+5",IF(OR(J9=22,J9=23),"+6",IF(OR(J9=24,J9=25),"+7",IF(OR(J9=26,J9=27),"+8",IF(OR(J9=28,J9=29),"+9",IF(J9=30,"+10"," "))))))))))))))))</f>
        <v>-2</v>
      </c>
      <c r="L9" s="10" t="n">
        <v>17</v>
      </c>
      <c r="M9" s="1" t="str">
        <f aca="false">IF(L9=1,"-5",IF(OR(L9=2,L9=3),"-4",IF(OR(L9=4,L9=5),"-3",IF(OR(L9=6,L9=7),"-2",IF(OR(L9=8,L9=9),"-1",IF(OR(L9=10,L9=11),"0",IF(OR(L9=12,L9=13),"+1",IF(OR(L9=14,L9=15),"+2",IF(OR(L9=16,L9=17),"+3",IF(OR(L9=18,L9=19),"+4",IF(OR(L9=20,L9=21),"+5",IF(OR(L9=22,L9=23),"+6",IF(OR(L9=24,L9=25),"+7",IF(OR(L9=26,L9=27),"+8",IF(OR(L9=28,L9=29),"+9",IF(L9=30,"+10"," "))))))))))))))))</f>
        <v>+3</v>
      </c>
      <c r="N9" s="10" t="n">
        <v>10</v>
      </c>
      <c r="O9" s="1" t="str">
        <f aca="false">IF(N9=1,"-5",IF(OR(N9=2,N9=3),"-4",IF(OR(N9=4,N9=5),"-3",IF(OR(N9=6,N9=7),"-2",IF(OR(N9=8,N9=9),"-1",IF(OR(N9=10,N9=11),"0",IF(OR(N9=12,N9=13),"+1",IF(OR(N9=14,N9=15),"+2",IF(OR(N9=16,N9=17),"+3",IF(OR(N9=18,N9=19),"+4",IF(OR(N9=20,N9=21),"+5",IF(OR(N9=22,N9=23),"+6",IF(OR(N9=24,N9=25),"+7",IF(OR(N9=26,N9=27),"+8",IF(OR(N9=28,N9=29),"+9",IF(N9=30,"+10"," "))))))))))))))))</f>
        <v>0</v>
      </c>
      <c r="P9" s="10" t="n">
        <v>17</v>
      </c>
      <c r="Q9" s="1" t="str">
        <f aca="false">IF(P9=1,"-5",IF(OR(P9=2,P9=3),"-4",IF(OR(P9=4,P9=5),"-3",IF(OR(P9=6,P9=7),"-2",IF(OR(P9=8,P9=9),"-1",IF(OR(P9=10,P9=11),"0",IF(OR(P9=12,P9=13),"+1",IF(OR(P9=14,P9=15),"+2",IF(OR(P9=16,P9=17),"+3",IF(OR(P9=18,P9=19),"+4",IF(OR(P9=20,P9=21),"+5",IF(OR(P9=22,P9=23),"+6",IF(OR(P9=24,P9=25),"+7",IF(OR(P9=26,P9=27),"+8",IF(OR(P9=28,P9=29),"+9",IF(P9=30,"+10"," "))))))))))))))))</f>
        <v>+3</v>
      </c>
      <c r="R9" s="10" t="n">
        <v>15</v>
      </c>
      <c r="S9" s="1" t="str">
        <f aca="false">IF(R9=1,"-5",IF(OR(R9=2,R9=3),"-4",IF(OR(R9=4,R9=5),"-3",IF(OR(R9=6,R9=7),"-2",IF(OR(R9=8,R9=9),"-1",IF(OR(R9=10,R9=11),"0",IF(OR(R9=12,R9=13),"+1",IF(OR(R9=14,R9=15),"+2",IF(OR(R9=16,R9=17),"+3",IF(OR(R9=18,R9=19),"+4",IF(OR(R9=20,R9=21),"+5",IF(OR(R9=22,R9=23),"+6",IF(OR(R9=24,R9=25),"+7",IF(OR(R9=26,R9=27),"+8",IF(OR(R9=28,R9=29),"+9",IF(R9=30,"+10"," "))))))))))))))))</f>
        <v>+2</v>
      </c>
      <c r="T9" s="10" t="n">
        <v>16</v>
      </c>
      <c r="U9" s="1" t="str">
        <f aca="false">IF(T9=1,"-5",IF(OR(T9=2,T9=3),"-4",IF(OR(T9=4,T9=5),"-3",IF(OR(T9=6,T9=7),"-2",IF(OR(T9=8,T9=9),"-1",IF(OR(T9=10,T9=11),"0",IF(OR(T9=12,T9=13),"+1",IF(OR(T9=14,T9=15),"+2",IF(OR(T9=16,T9=17),"+3",IF(OR(T9=18,T9=19),"+4",IF(OR(T9=20,T9=21),"+5",IF(OR(T9=22,T9=23),"+6",IF(OR(T9=24,T9=25),"+7",IF(OR(T9=26,T9=27),"+8",IF(OR(T9=28,T9=29),"+9",IF(T9=30,"+10"," "))))))))))))))))</f>
        <v>+3</v>
      </c>
      <c r="V9" s="1" t="s">
        <v>88</v>
      </c>
      <c r="W9" s="1" t="s">
        <v>89</v>
      </c>
      <c r="X9" s="11" t="s">
        <v>90</v>
      </c>
      <c r="Y9" s="11" t="s">
        <v>91</v>
      </c>
      <c r="Z9" s="11" t="s">
        <v>37</v>
      </c>
      <c r="AA9" s="12" t="s">
        <v>37</v>
      </c>
      <c r="AB9" s="1"/>
      <c r="AC9" s="1"/>
      <c r="AD9" s="1"/>
      <c r="AE9" s="1"/>
      <c r="AF9" s="1"/>
    </row>
    <row r="10" customFormat="false" ht="16.4" hidden="false" customHeight="false" outlineLevel="0" collapsed="false">
      <c r="A10" s="4" t="s">
        <v>92</v>
      </c>
      <c r="B10" s="1" t="s">
        <v>59</v>
      </c>
      <c r="C10" s="1" t="s">
        <v>37</v>
      </c>
      <c r="D10" s="5" t="n">
        <v>2</v>
      </c>
      <c r="E10" s="3" t="n">
        <f aca="false">VLOOKUP(D10,'[1]REF Tables'!$A$2:$B$40,2)</f>
        <v>450</v>
      </c>
      <c r="F10" s="1" t="s">
        <v>50</v>
      </c>
      <c r="G10" s="1" t="n">
        <v>13</v>
      </c>
      <c r="H10" s="1" t="s">
        <v>93</v>
      </c>
      <c r="I10" s="3" t="s">
        <v>94</v>
      </c>
      <c r="J10" s="1" t="n">
        <v>19</v>
      </c>
      <c r="K10" s="1" t="str">
        <f aca="false">IF(J10=1,"-5",IF(OR(J10=2,J10=3),"-4",IF(OR(J10=4,J10=5),"-3",IF(OR(J10=6,J10=7),"-2",IF(OR(J10=8,J10=9),"-1",IF(OR(J10=10,J10=11),"0",IF(OR(J10=12,J10=13),"+1",IF(OR(J10=14,J10=15),"+2",IF(OR(J10=16,J10=17),"+3",IF(OR(J10=18,J10=19),"+4",IF(OR(J10=20,J10=21),"+5",IF(OR(J10=22,J10=23),"+6",IF(OR(J10=24,J10=25),"+7",IF(OR(J10=26,J10=27),"+8",IF(OR(J10=28,J10=29),"+9",IF(J10=30,"+10"," "))))))))))))))))</f>
        <v>+4</v>
      </c>
      <c r="L10" s="1" t="n">
        <v>13</v>
      </c>
      <c r="M10" s="1" t="str">
        <f aca="false">IF(L10=1,"-5",IF(OR(L10=2,L10=3),"-4",IF(OR(L10=4,L10=5),"-3",IF(OR(L10=6,L10=7),"-2",IF(OR(L10=8,L10=9),"-1",IF(OR(L10=10,L10=11),"0",IF(OR(L10=12,L10=13),"+1",IF(OR(L10=14,L10=15),"+2",IF(OR(L10=16,L10=17),"+3",IF(OR(L10=18,L10=19),"+4",IF(OR(L10=20,L10=21),"+5",IF(OR(L10=22,L10=23),"+6",IF(OR(L10=24,L10=25),"+7",IF(OR(L10=26,L10=27),"+8",IF(OR(L10=28,L10=29),"+9",IF(L10=30,"+10"," "))))))))))))))))</f>
        <v>+1</v>
      </c>
      <c r="N10" s="1" t="n">
        <v>17</v>
      </c>
      <c r="O10" s="1" t="str">
        <f aca="false">IF(N10=1,"-5",IF(OR(N10=2,N10=3),"-4",IF(OR(N10=4,N10=5),"-3",IF(OR(N10=6,N10=7),"-2",IF(OR(N10=8,N10=9),"-1",IF(OR(N10=10,N10=11),"0",IF(OR(N10=12,N10=13),"+1",IF(OR(N10=14,N10=15),"+2",IF(OR(N10=16,N10=17),"+3",IF(OR(N10=18,N10=19),"+4",IF(OR(N10=20,N10=21),"+5",IF(OR(N10=22,N10=23),"+6",IF(OR(N10=24,N10=25),"+7",IF(OR(N10=26,N10=27),"+8",IF(OR(N10=28,N10=29),"+9",IF(N10=30,"+10"," "))))))))))))))))</f>
        <v>+3</v>
      </c>
      <c r="P10" s="1" t="n">
        <v>2</v>
      </c>
      <c r="Q10" s="1" t="str">
        <f aca="false">IF(P10=1,"-5",IF(OR(P10=2,P10=3),"-4",IF(OR(P10=4,P10=5),"-3",IF(OR(P10=6,P10=7),"-2",IF(OR(P10=8,P10=9),"-1",IF(OR(P10=10,P10=11),"0",IF(OR(P10=12,P10=13),"+1",IF(OR(P10=14,P10=15),"+2",IF(OR(P10=16,P10=17),"+3",IF(OR(P10=18,P10=19),"+4",IF(OR(P10=20,P10=21),"+5",IF(OR(P10=22,P10=23),"+6",IF(OR(P10=24,P10=25),"+7",IF(OR(P10=26,P10=27),"+8",IF(OR(P10=28,P10=29),"+9",IF(P10=30,"+10"," "))))))))))))))))</f>
        <v>-4</v>
      </c>
      <c r="R10" s="1" t="n">
        <v>12</v>
      </c>
      <c r="S10" s="1" t="str">
        <f aca="false">IF(R10=1,"-5",IF(OR(R10=2,R10=3),"-4",IF(OR(R10=4,R10=5),"-3",IF(OR(R10=6,R10=7),"-2",IF(OR(R10=8,R10=9),"-1",IF(OR(R10=10,R10=11),"0",IF(OR(R10=12,R10=13),"+1",IF(OR(R10=14,R10=15),"+2",IF(OR(R10=16,R10=17),"+3",IF(OR(R10=18,R10=19),"+4",IF(OR(R10=20,R10=21),"+5",IF(OR(R10=22,R10=23),"+6",IF(OR(R10=24,R10=25),"+7",IF(OR(R10=26,R10=27),"+8",IF(OR(R10=28,R10=29),"+9",IF(R10=30,"+10"," "))))))))))))))))</f>
        <v>+1</v>
      </c>
      <c r="T10" s="1" t="n">
        <v>5</v>
      </c>
      <c r="U10" s="1" t="str">
        <f aca="false">IF(T10=1,"-5",IF(OR(T10=2,T10=3),"-4",IF(OR(T10=4,T10=5),"-3",IF(OR(T10=6,T10=7),"-2",IF(OR(T10=8,T10=9),"-1",IF(OR(T10=10,T10=11),"0",IF(OR(T10=12,T10=13),"+1",IF(OR(T10=14,T10=15),"+2",IF(OR(T10=16,T10=17),"+3",IF(OR(T10=18,T10=19),"+4",IF(OR(T10=20,T10=21),"+5",IF(OR(T10=22,T10=23),"+6",IF(OR(T10=24,T10=25),"+7",IF(OR(T10=26,T10=27),"+8",IF(OR(T10=28,T10=29),"+9",IF(T10=30,"+10"," "))))))))))))))))</f>
        <v>-3</v>
      </c>
      <c r="V10" s="1" t="s">
        <v>33</v>
      </c>
      <c r="W10" s="1" t="s">
        <v>37</v>
      </c>
      <c r="X10" s="2" t="s">
        <v>95</v>
      </c>
      <c r="Y10" s="2" t="s">
        <v>96</v>
      </c>
      <c r="Z10" s="2" t="s">
        <v>37</v>
      </c>
      <c r="AA10" s="1" t="s">
        <v>37</v>
      </c>
    </row>
    <row r="11" customFormat="false" ht="16.4" hidden="false" customHeight="false" outlineLevel="0" collapsed="false">
      <c r="A11" s="4" t="s">
        <v>97</v>
      </c>
      <c r="B11" s="1" t="s">
        <v>77</v>
      </c>
      <c r="C11" s="1" t="s">
        <v>85</v>
      </c>
      <c r="D11" s="5" t="n">
        <v>5</v>
      </c>
      <c r="E11" s="6" t="n">
        <f aca="false">VLOOKUP(D11,'[1]REF Tables'!$A$2:$B$40,2)</f>
        <v>1800</v>
      </c>
      <c r="F11" s="1" t="s">
        <v>30</v>
      </c>
      <c r="G11" s="1" t="n">
        <v>13</v>
      </c>
      <c r="H11" s="1" t="s">
        <v>98</v>
      </c>
      <c r="I11" s="3" t="s">
        <v>99</v>
      </c>
      <c r="J11" s="1" t="n">
        <v>6</v>
      </c>
      <c r="K11" s="1" t="str">
        <f aca="false">IF(J11=1,"-5",IF(OR(J11=2,J11=3),"-4",IF(OR(J11=4,J11=5),"-3",IF(OR(J11=6,J11=7),"-2",IF(OR(J11=8,J11=9),"-1",IF(OR(J11=10,J11=11),"0",IF(OR(J11=12,J11=13),"+1",IF(OR(J11=14,J11=15),"+2",IF(OR(J11=16,J11=17),"+3",IF(OR(J11=18,J11=19),"+4",IF(OR(J11=20,J11=21),"+5",IF(OR(J11=22,J11=23),"+6",IF(OR(J11=24,J11=25),"+7",IF(OR(J11=26,J11=27),"+8",IF(OR(J11=28,J11=29),"+9",IF(J11=30,"+10"," "))))))))))))))))</f>
        <v>-2</v>
      </c>
      <c r="L11" s="1" t="n">
        <v>16</v>
      </c>
      <c r="M11" s="1" t="str">
        <f aca="false">IF(L11=1,"-5",IF(OR(L11=2,L11=3),"-4",IF(OR(L11=4,L11=5),"-3",IF(OR(L11=6,L11=7),"-2",IF(OR(L11=8,L11=9),"-1",IF(OR(L11=10,L11=11),"0",IF(OR(L11=12,L11=13),"+1",IF(OR(L11=14,L11=15),"+2",IF(OR(L11=16,L11=17),"+3",IF(OR(L11=18,L11=19),"+4",IF(OR(L11=20,L11=21),"+5",IF(OR(L11=22,L11=23),"+6",IF(OR(L11=24,L11=25),"+7",IF(OR(L11=26,L11=27),"+8",IF(OR(L11=28,L11=29),"+9",IF(L11=30,"+10"," "))))))))))))))))</f>
        <v>+3</v>
      </c>
      <c r="N11" s="1" t="n">
        <v>16</v>
      </c>
      <c r="O11" s="1" t="str">
        <f aca="false">IF(N11=1,"-5",IF(OR(N11=2,N11=3),"-4",IF(OR(N11=4,N11=5),"-3",IF(OR(N11=6,N11=7),"-2",IF(OR(N11=8,N11=9),"-1",IF(OR(N11=10,N11=11),"0",IF(OR(N11=12,N11=13),"+1",IF(OR(N11=14,N11=15),"+2",IF(OR(N11=16,N11=17),"+3",IF(OR(N11=18,N11=19),"+4",IF(OR(N11=20,N11=21),"+5",IF(OR(N11=22,N11=23),"+6",IF(OR(N11=24,N11=25),"+7",IF(OR(N11=26,N11=27),"+8",IF(OR(N11=28,N11=29),"+9",IF(N11=30,"+10"," "))))))))))))))))</f>
        <v>+3</v>
      </c>
      <c r="P11" s="1" t="n">
        <v>12</v>
      </c>
      <c r="Q11" s="1" t="str">
        <f aca="false">IF(P11=1,"-5",IF(OR(P11=2,P11=3),"-4",IF(OR(P11=4,P11=5),"-3",IF(OR(P11=6,P11=7),"-2",IF(OR(P11=8,P11=9),"-1",IF(OR(P11=10,P11=11),"0",IF(OR(P11=12,P11=13),"+1",IF(OR(P11=14,P11=15),"+2",IF(OR(P11=16,P11=17),"+3",IF(OR(P11=18,P11=19),"+4",IF(OR(P11=20,P11=21),"+5",IF(OR(P11=22,P11=23),"+6",IF(OR(P11=24,P11=25),"+7",IF(OR(P11=26,P11=27),"+8",IF(OR(P11=28,P11=29),"+9",IF(P11=30,"+10"," "))))))))))))))))</f>
        <v>+1</v>
      </c>
      <c r="R11" s="1" t="n">
        <v>14</v>
      </c>
      <c r="S11" s="1" t="str">
        <f aca="false">IF(R11=1,"-5",IF(OR(R11=2,R11=3),"-4",IF(OR(R11=4,R11=5),"-3",IF(OR(R11=6,R11=7),"-2",IF(OR(R11=8,R11=9),"-1",IF(OR(R11=10,R11=11),"0",IF(OR(R11=12,R11=13),"+1",IF(OR(R11=14,R11=15),"+2",IF(OR(R11=16,R11=17),"+3",IF(OR(R11=18,R11=19),"+4",IF(OR(R11=20,R11=21),"+5",IF(OR(R11=22,R11=23),"+6",IF(OR(R11=24,R11=25),"+7",IF(OR(R11=26,R11=27),"+8",IF(OR(R11=28,R11=29),"+9",IF(R11=30,"+10"," "))))))))))))))))</f>
        <v>+2</v>
      </c>
      <c r="T11" s="1" t="n">
        <v>15</v>
      </c>
      <c r="U11" s="1" t="str">
        <f aca="false">IF(T11=1,"-5",IF(OR(T11=2,T11=3),"-4",IF(OR(T11=4,T11=5),"-3",IF(OR(T11=6,T11=7),"-2",IF(OR(T11=8,T11=9),"-1",IF(OR(T11=10,T11=11),"0",IF(OR(T11=12,T11=13),"+1",IF(OR(T11=14,T11=15),"+2",IF(OR(T11=16,T11=17),"+3",IF(OR(T11=18,T11=19),"+4",IF(OR(T11=20,T11=21),"+5",IF(OR(T11=22,T11=23),"+6",IF(OR(T11=24,T11=25),"+7",IF(OR(T11=26,T11=27),"+8",IF(OR(T11=28,T11=29),"+9",IF(T11=30,"+10"," "))))))))))))))))</f>
        <v>+2</v>
      </c>
      <c r="V11" s="1" t="s">
        <v>100</v>
      </c>
      <c r="W11" s="1" t="s">
        <v>101</v>
      </c>
      <c r="X11" s="2" t="s">
        <v>102</v>
      </c>
      <c r="Y11" s="2" t="s">
        <v>103</v>
      </c>
      <c r="Z11" s="2" t="s">
        <v>37</v>
      </c>
      <c r="AA11" s="1" t="s">
        <v>37</v>
      </c>
    </row>
    <row r="12" customFormat="false" ht="16.4" hidden="false" customHeight="false" outlineLevel="0" collapsed="false">
      <c r="A12" s="4" t="s">
        <v>104</v>
      </c>
      <c r="B12" s="1" t="s">
        <v>105</v>
      </c>
      <c r="C12" s="1" t="s">
        <v>106</v>
      </c>
      <c r="D12" s="5" t="n">
        <v>17</v>
      </c>
      <c r="E12" s="6" t="n">
        <f aca="false">VLOOKUP(D12,'[1]REF Tables'!$A$2:$B$40,2)</f>
        <v>18000</v>
      </c>
      <c r="F12" s="1" t="s">
        <v>50</v>
      </c>
      <c r="G12" s="1" t="n">
        <v>17</v>
      </c>
      <c r="H12" s="1" t="s">
        <v>107</v>
      </c>
      <c r="I12" s="3" t="s">
        <v>108</v>
      </c>
      <c r="J12" s="1" t="n">
        <v>22</v>
      </c>
      <c r="K12" s="1" t="str">
        <f aca="false">IF(J12=1,"-5",IF(OR(J12=2,J12=3),"-4",IF(OR(J12=4,J12=5),"-3",IF(OR(J12=6,J12=7),"-2",IF(OR(J12=8,J12=9),"-1",IF(OR(J12=10,J12=11),"0",IF(OR(J12=12,J12=13),"+1",IF(OR(J12=14,J12=15),"+2",IF(OR(J12=16,J12=17),"+3",IF(OR(J12=18,J12=19),"+4",IF(OR(J12=20,J12=21),"+5",IF(OR(J12=22,J12=23),"+6",IF(OR(J12=24,J12=25),"+7",IF(OR(J12=26,J12=27),"+8",IF(OR(J12=28,J12=29),"+9",IF(J12=30,"+10"," "))))))))))))))))</f>
        <v>+6</v>
      </c>
      <c r="L12" s="1" t="n">
        <v>10</v>
      </c>
      <c r="M12" s="1" t="str">
        <f aca="false">IF(L12=1,"-5",IF(OR(L12=2,L12=3),"-4",IF(OR(L12=4,L12=5),"-3",IF(OR(L12=6,L12=7),"-2",IF(OR(L12=8,L12=9),"-1",IF(OR(L12=10,L12=11),"0",IF(OR(L12=12,L12=13),"+1",IF(OR(L12=14,L12=15),"+2",IF(OR(L12=16,L12=17),"+3",IF(OR(L12=18,L12=19),"+4",IF(OR(L12=20,L12=21),"+5",IF(OR(L12=22,L12=23),"+6",IF(OR(L12=24,L12=25),"+7",IF(OR(L12=26,L12=27),"+8",IF(OR(L12=28,L12=29),"+9",IF(L12=30,"+10"," "))))))))))))))))</f>
        <v>0</v>
      </c>
      <c r="N12" s="1" t="n">
        <v>20</v>
      </c>
      <c r="O12" s="1" t="str">
        <f aca="false">IF(N12=1,"-5",IF(OR(N12=2,N12=3),"-4",IF(OR(N12=4,N12=5),"-3",IF(OR(N12=6,N12=7),"-2",IF(OR(N12=8,N12=9),"-1",IF(OR(N12=10,N12=11),"0",IF(OR(N12=12,N12=13),"+1",IF(OR(N12=14,N12=15),"+2",IF(OR(N12=16,N12=17),"+3",IF(OR(N12=18,N12=19),"+4",IF(OR(N12=20,N12=21),"+5",IF(OR(N12=22,N12=23),"+6",IF(OR(N12=24,N12=25),"+7",IF(OR(N12=26,N12=27),"+8",IF(OR(N12=28,N12=29),"+9",IF(N12=30,"+10"," "))))))))))))))))</f>
        <v>+5</v>
      </c>
      <c r="P12" s="1" t="n">
        <v>16</v>
      </c>
      <c r="Q12" s="1" t="str">
        <f aca="false">IF(P12=1,"-5",IF(OR(P12=2,P12=3),"-4",IF(OR(P12=4,P12=5),"-3",IF(OR(P12=6,P12=7),"-2",IF(OR(P12=8,P12=9),"-1",IF(OR(P12=10,P12=11),"0",IF(OR(P12=12,P12=13),"+1",IF(OR(P12=14,P12=15),"+2",IF(OR(P12=16,P12=17),"+3",IF(OR(P12=18,P12=19),"+4",IF(OR(P12=20,P12=21),"+5",IF(OR(P12=22,P12=23),"+6",IF(OR(P12=24,P12=25),"+7",IF(OR(P12=26,P12=27),"+8",IF(OR(P12=28,P12=29),"+9",IF(P12=30,"+10"," "))))))))))))))))</f>
        <v>+3</v>
      </c>
      <c r="R12" s="1" t="n">
        <v>18</v>
      </c>
      <c r="S12" s="1" t="str">
        <f aca="false">IF(R12=1,"-5",IF(OR(R12=2,R12=3),"-4",IF(OR(R12=4,R12=5),"-3",IF(OR(R12=6,R12=7),"-2",IF(OR(R12=8,R12=9),"-1",IF(OR(R12=10,R12=11),"0",IF(OR(R12=12,R12=13),"+1",IF(OR(R12=14,R12=15),"+2",IF(OR(R12=16,R12=17),"+3",IF(OR(R12=18,R12=19),"+4",IF(OR(R12=20,R12=21),"+5",IF(OR(R12=22,R12=23),"+6",IF(OR(R12=24,R12=25),"+7",IF(OR(R12=26,R12=27),"+8",IF(OR(R12=28,R12=29),"+9",IF(R12=30,"+10"," "))))))))))))))))</f>
        <v>+4</v>
      </c>
      <c r="T12" s="1" t="n">
        <v>23</v>
      </c>
      <c r="U12" s="1" t="str">
        <f aca="false">IF(T12=1,"-5",IF(OR(T12=2,T12=3),"-4",IF(OR(T12=4,T12=5),"-3",IF(OR(T12=6,T12=7),"-2",IF(OR(T12=8,T12=9),"-1",IF(OR(T12=10,T12=11),"0",IF(OR(T12=12,T12=13),"+1",IF(OR(T12=14,T12=15),"+2",IF(OR(T12=16,T12=17),"+3",IF(OR(T12=18,T12=19),"+4",IF(OR(T12=20,T12=21),"+5",IF(OR(T12=22,T12=23),"+6",IF(OR(T12=24,T12=25),"+7",IF(OR(T12=26,T12=27),"+8",IF(OR(T12=28,T12=29),"+9",IF(T12=30,"+10"," "))))))))))))))))</f>
        <v>+6</v>
      </c>
      <c r="V12" s="1" t="s">
        <v>109</v>
      </c>
      <c r="W12" s="1" t="s">
        <v>110</v>
      </c>
      <c r="X12" s="2" t="s">
        <v>111</v>
      </c>
      <c r="Y12" s="2" t="s">
        <v>112</v>
      </c>
      <c r="Z12" s="2" t="s">
        <v>37</v>
      </c>
      <c r="AA12" s="1" t="s">
        <v>113</v>
      </c>
    </row>
    <row r="13" customFormat="false" ht="16.4" hidden="false" customHeight="false" outlineLevel="0" collapsed="false">
      <c r="A13" s="4" t="s">
        <v>114</v>
      </c>
      <c r="B13" s="1" t="s">
        <v>105</v>
      </c>
      <c r="C13" s="1" t="s">
        <v>37</v>
      </c>
      <c r="D13" s="5" t="n">
        <v>2</v>
      </c>
      <c r="E13" s="3" t="n">
        <f aca="false">VLOOKUP(D13,'[1]REF Tables'!$A$2:$B$40,2)</f>
        <v>450</v>
      </c>
      <c r="F13" s="1" t="s">
        <v>50</v>
      </c>
      <c r="G13" s="1" t="s">
        <v>115</v>
      </c>
      <c r="H13" s="1" t="s">
        <v>116</v>
      </c>
      <c r="I13" s="3" t="s">
        <v>117</v>
      </c>
      <c r="J13" s="1" t="n">
        <v>17</v>
      </c>
      <c r="K13" s="1" t="str">
        <f aca="false">IF(J13=1,"-5",IF(OR(J13=2,J13=3),"-4",IF(OR(J13=4,J13=5),"-3",IF(OR(J13=6,J13=7),"-2",IF(OR(J13=8,J13=9),"-1",IF(OR(J13=10,J13=11),"0",IF(OR(J13=12,J13=13),"+1",IF(OR(J13=14,J13=15),"+2",IF(OR(J13=16,J13=17),"+3",IF(OR(J13=18,J13=19),"+4",IF(OR(J13=20,J13=21),"+5",IF(OR(J13=22,J13=23),"+6",IF(OR(J13=24,J13=25),"+7",IF(OR(J13=26,J13=27),"+8",IF(OR(J13=28,J13=29),"+9",IF(J13=30,"+10"," "))))))))))))))))</f>
        <v>+3</v>
      </c>
      <c r="L13" s="1" t="n">
        <v>11</v>
      </c>
      <c r="M13" s="1" t="str">
        <f aca="false">IF(L13=1,"-5",IF(OR(L13=2,L13=3),"-4",IF(OR(L13=4,L13=5),"-3",IF(OR(L13=6,L13=7),"-2",IF(OR(L13=8,L13=9),"-1",IF(OR(L13=10,L13=11),"0",IF(OR(L13=12,L13=13),"+1",IF(OR(L13=14,L13=15),"+2",IF(OR(L13=16,L13=17),"+3",IF(OR(L13=18,L13=19),"+4",IF(OR(L13=20,L13=21),"+5",IF(OR(L13=22,L13=23),"+6",IF(OR(L13=24,L13=25),"+7",IF(OR(L13=26,L13=27),"+8",IF(OR(L13=28,L13=29),"+9",IF(L13=30,"+10"," "))))))))))))))))</f>
        <v>0</v>
      </c>
      <c r="N13" s="1" t="n">
        <v>13</v>
      </c>
      <c r="O13" s="1" t="str">
        <f aca="false">IF(N13=1,"-5",IF(OR(N13=2,N13=3),"-4",IF(OR(N13=4,N13=5),"-3",IF(OR(N13=6,N13=7),"-2",IF(OR(N13=8,N13=9),"-1",IF(OR(N13=10,N13=11),"0",IF(OR(N13=12,N13=13),"+1",IF(OR(N13=14,N13=15),"+2",IF(OR(N13=16,N13=17),"+3",IF(OR(N13=18,N13=19),"+4",IF(OR(N13=20,N13=21),"+5",IF(OR(N13=22,N13=23),"+6",IF(OR(N13=24,N13=25),"+7",IF(OR(N13=26,N13=27),"+8",IF(OR(N13=28,N13=29),"+9",IF(N13=30,"+10"," "))))))))))))))))</f>
        <v>+1</v>
      </c>
      <c r="P13" s="1" t="n">
        <v>1</v>
      </c>
      <c r="Q13" s="1" t="str">
        <f aca="false">IF(P13=1,"-5",IF(OR(P13=2,P13=3),"-4",IF(OR(P13=4,P13=5),"-3",IF(OR(P13=6,P13=7),"-2",IF(OR(P13=8,P13=9),"-1",IF(OR(P13=10,P13=11),"0",IF(OR(P13=12,P13=13),"+1",IF(OR(P13=14,P13=15),"+2",IF(OR(P13=16,P13=17),"+3",IF(OR(P13=18,P13=19),"+4",IF(OR(P13=20,P13=21),"+5",IF(OR(P13=22,P13=23),"+6",IF(OR(P13=24,P13=25),"+7",IF(OR(P13=26,P13=27),"+8",IF(OR(P13=28,P13=29),"+9",IF(P13=30,"+10"," "))))))))))))))))</f>
        <v>-5</v>
      </c>
      <c r="R13" s="1" t="n">
        <v>13</v>
      </c>
      <c r="S13" s="1" t="str">
        <f aca="false">IF(R13=1,"-5",IF(OR(R13=2,R13=3),"-4",IF(OR(R13=4,R13=5),"-3",IF(OR(R13=6,R13=7),"-2",IF(OR(R13=8,R13=9),"-1",IF(OR(R13=10,R13=11),"0",IF(OR(R13=12,R13=13),"+1",IF(OR(R13=14,R13=15),"+2",IF(OR(R13=16,R13=17),"+3",IF(OR(R13=18,R13=19),"+4",IF(OR(R13=20,R13=21),"+5",IF(OR(R13=22,R13=23),"+6",IF(OR(R13=24,R13=25),"+7",IF(OR(R13=26,R13=27),"+8",IF(OR(R13=28,R13=29),"+9",IF(R13=30,"+10"," "))))))))))))))))</f>
        <v>+1</v>
      </c>
      <c r="T13" s="1" t="n">
        <v>6</v>
      </c>
      <c r="U13" s="1" t="str">
        <f aca="false">IF(T13=1,"-5",IF(OR(T13=2,T13=3),"-4",IF(OR(T13=4,T13=5),"-3",IF(OR(T13=6,T13=7),"-2",IF(OR(T13=8,T13=9),"-1",IF(OR(T13=10,T13=11),"0",IF(OR(T13=12,T13=13),"+1",IF(OR(T13=14,T13=15),"+2",IF(OR(T13=16,T13=17),"+3",IF(OR(T13=18,T13=19),"+4",IF(OR(T13=20,T13=21),"+5",IF(OR(T13=22,T13=23),"+6",IF(OR(T13=24,T13=25),"+7",IF(OR(T13=26,T13=27),"+8",IF(OR(T13=28,T13=29),"+9",IF(T13=30,"+10"," "))))))))))))))))</f>
        <v>-2</v>
      </c>
      <c r="V13" s="1" t="s">
        <v>37</v>
      </c>
      <c r="W13" s="1" t="s">
        <v>37</v>
      </c>
      <c r="X13" s="2" t="s">
        <v>118</v>
      </c>
      <c r="Y13" s="2" t="s">
        <v>119</v>
      </c>
      <c r="Z13" s="2" t="s">
        <v>37</v>
      </c>
      <c r="AA13" s="1" t="s">
        <v>37</v>
      </c>
    </row>
    <row r="14" customFormat="false" ht="16.4" hidden="false" customHeight="false" outlineLevel="0" collapsed="false">
      <c r="A14" s="4" t="s">
        <v>120</v>
      </c>
      <c r="B14" s="1" t="s">
        <v>59</v>
      </c>
      <c r="C14" s="1" t="s">
        <v>37</v>
      </c>
      <c r="D14" s="5" t="n">
        <v>3</v>
      </c>
      <c r="E14" s="3" t="n">
        <f aca="false">VLOOKUP(D14,'[1]REF Tables'!$A$2:$B$40,2)</f>
        <v>700</v>
      </c>
      <c r="F14" s="1" t="s">
        <v>121</v>
      </c>
      <c r="G14" s="1" t="n">
        <v>15</v>
      </c>
      <c r="H14" s="1" t="s">
        <v>122</v>
      </c>
      <c r="I14" s="3" t="s">
        <v>42</v>
      </c>
      <c r="J14" s="1" t="n">
        <v>19</v>
      </c>
      <c r="K14" s="1" t="str">
        <f aca="false">IF(J14=1,"-5",IF(OR(J14=2,J14=3),"-4",IF(OR(J14=4,J14=5),"-3",IF(OR(J14=6,J14=7),"-2",IF(OR(J14=8,J14=9),"-1",IF(OR(J14=10,J14=11),"0",IF(OR(J14=12,J14=13),"+1",IF(OR(J14=14,J14=15),"+2",IF(OR(J14=16,J14=17),"+3",IF(OR(J14=18,J14=19),"+4",IF(OR(J14=20,J14=21),"+5",IF(OR(J14=22,J14=23),"+6",IF(OR(J14=24,J14=25),"+7",IF(OR(J14=26,J14=27),"+8",IF(OR(J14=28,J14=29),"+9",IF(J14=30,"+10"," "))))))))))))))))</f>
        <v>+4</v>
      </c>
      <c r="L14" s="1" t="n">
        <v>11</v>
      </c>
      <c r="M14" s="1" t="str">
        <f aca="false">IF(L14=1,"-5",IF(OR(L14=2,L14=3),"-4",IF(OR(L14=4,L14=5),"-3",IF(OR(L14=6,L14=7),"-2",IF(OR(L14=8,L14=9),"-1",IF(OR(L14=10,L14=11),"0",IF(OR(L14=12,L14=13),"+1",IF(OR(L14=14,L14=15),"+2",IF(OR(L14=16,L14=17),"+3",IF(OR(L14=18,L14=19),"+4",IF(OR(L14=20,L14=21),"+5",IF(OR(L14=22,L14=23),"+6",IF(OR(L14=24,L14=25),"+7",IF(OR(L14=26,L14=27),"+8",IF(OR(L14=28,L14=29),"+9",IF(L14=30,"+10"," "))))))))))))))))</f>
        <v>0</v>
      </c>
      <c r="N14" s="1" t="n">
        <v>15</v>
      </c>
      <c r="O14" s="1" t="str">
        <f aca="false">IF(N14=1,"-5",IF(OR(N14=2,N14=3),"-4",IF(OR(N14=4,N14=5),"-3",IF(OR(N14=6,N14=7),"-2",IF(OR(N14=8,N14=9),"-1",IF(OR(N14=10,N14=11),"0",IF(OR(N14=12,N14=13),"+1",IF(OR(N14=14,N14=15),"+2",IF(OR(N14=16,N14=17),"+3",IF(OR(N14=18,N14=19),"+4",IF(OR(N14=20,N14=21),"+5",IF(OR(N14=22,N14=23),"+6",IF(OR(N14=24,N14=25),"+7",IF(OR(N14=26,N14=27),"+8",IF(OR(N14=28,N14=29),"+9",IF(N14=30,"+10"," "))))))))))))))))</f>
        <v>+2</v>
      </c>
      <c r="P14" s="1" t="n">
        <v>2</v>
      </c>
      <c r="Q14" s="1" t="str">
        <f aca="false">IF(P14=1,"-5",IF(OR(P14=2,P14=3),"-4",IF(OR(P14=4,P14=5),"-3",IF(OR(P14=6,P14=7),"-2",IF(OR(P14=8,P14=9),"-1",IF(OR(P14=10,P14=11),"0",IF(OR(P14=12,P14=13),"+1",IF(OR(P14=14,P14=15),"+2",IF(OR(P14=16,P14=17),"+3",IF(OR(P14=18,P14=19),"+4",IF(OR(P14=20,P14=21),"+5",IF(OR(P14=22,P14=23),"+6",IF(OR(P14=24,P14=25),"+7",IF(OR(P14=26,P14=27),"+8",IF(OR(P14=28,P14=29),"+9",IF(P14=30,"+10"," "))))))))))))))))</f>
        <v>-4</v>
      </c>
      <c r="R14" s="1" t="n">
        <v>112</v>
      </c>
      <c r="S14" s="1" t="str">
        <f aca="false">IF(R14=1,"-5",IF(OR(R14=2,R14=3),"-4",IF(OR(R14=4,R14=5),"-3",IF(OR(R14=6,R14=7),"-2",IF(OR(R14=8,R14=9),"-1",IF(OR(R14=10,R14=11),"0",IF(OR(R14=12,R14=13),"+1",IF(OR(R14=14,R14=15),"+2",IF(OR(R14=16,R14=17),"+3",IF(OR(R14=18,R14=19),"+4",IF(OR(R14=20,R14=21),"+5",IF(OR(R14=22,R14=23),"+6",IF(OR(R14=24,R14=25),"+7",IF(OR(R14=26,R14=27),"+8",IF(OR(R14=28,R14=29),"+9",IF(R14=30,"+10"," "))))))))))))))))</f>
        <v> </v>
      </c>
      <c r="T14" s="1" t="n">
        <v>5</v>
      </c>
      <c r="U14" s="1" t="str">
        <f aca="false">IF(T14=1,"-5",IF(OR(T14=2,T14=3),"-4",IF(OR(T14=4,T14=5),"-3",IF(OR(T14=6,T14=7),"-2",IF(OR(T14=8,T14=9),"-1",IF(OR(T14=10,T14=11),"0",IF(OR(T14=12,T14=13),"+1",IF(OR(T14=14,T14=15),"+2",IF(OR(T14=16,T14=17),"+3",IF(OR(T14=18,T14=19),"+4",IF(OR(T14=20,T14=21),"+5",IF(OR(T14=22,T14=23),"+6",IF(OR(T14=24,T14=25),"+7",IF(OR(T14=26,T14=27),"+8",IF(OR(T14=28,T14=29),"+9",IF(T14=30,"+10"," "))))))))))))))))</f>
        <v>-3</v>
      </c>
      <c r="V14" s="1" t="s">
        <v>37</v>
      </c>
      <c r="W14" s="1" t="s">
        <v>37</v>
      </c>
      <c r="X14" s="2" t="s">
        <v>123</v>
      </c>
      <c r="Y14" s="2" t="s">
        <v>124</v>
      </c>
      <c r="Z14" s="2" t="s">
        <v>37</v>
      </c>
      <c r="AA14" s="1" t="s">
        <v>37</v>
      </c>
    </row>
    <row r="15" customFormat="false" ht="16.4" hidden="false" customHeight="false" outlineLevel="0" collapsed="false">
      <c r="A15" s="4" t="s">
        <v>125</v>
      </c>
      <c r="B15" s="1" t="s">
        <v>39</v>
      </c>
      <c r="C15" s="1" t="s">
        <v>40</v>
      </c>
      <c r="D15" s="5" t="n">
        <v>0.25</v>
      </c>
      <c r="E15" s="3" t="n">
        <f aca="false">VLOOKUP(D15,'[1]REF Tables'!$A$2:$B$40,2)</f>
        <v>50</v>
      </c>
      <c r="F15" s="1" t="s">
        <v>30</v>
      </c>
      <c r="G15" s="1" t="n">
        <v>10</v>
      </c>
      <c r="H15" s="1" t="s">
        <v>64</v>
      </c>
      <c r="I15" s="3" t="s">
        <v>42</v>
      </c>
      <c r="J15" s="1" t="n">
        <v>10</v>
      </c>
      <c r="K15" s="1" t="str">
        <f aca="false">IF(J15=1,"-5",IF(OR(J15=2,J15=3),"-4",IF(OR(J15=4,J15=5),"-3",IF(OR(J15=6,J15=7),"-2",IF(OR(J15=8,J15=9),"-1",IF(OR(J15=10,J15=11),"0",IF(OR(J15=12,J15=13),"+1",IF(OR(J15=14,J15=15),"+2",IF(OR(J15=16,J15=17),"+3",IF(OR(J15=18,J15=19),"+4",IF(OR(J15=20,J15=21),"+5",IF(OR(J15=22,J15=23),"+6",IF(OR(J15=24,J15=25),"+7",IF(OR(J15=26,J15=27),"+8",IF(OR(J15=28,J15=29),"+9",IF(J15=30,"+10"," "))))))))))))))))</f>
        <v>0</v>
      </c>
      <c r="L15" s="1" t="n">
        <v>10</v>
      </c>
      <c r="M15" s="1" t="str">
        <f aca="false">IF(L15=1,"-5",IF(OR(L15=2,L15=3),"-4",IF(OR(L15=4,L15=5),"-3",IF(OR(L15=6,L15=7),"-2",IF(OR(L15=8,L15=9),"-1",IF(OR(L15=10,L15=11),"0",IF(OR(L15=12,L15=13),"+1",IF(OR(L15=14,L15=15),"+2",IF(OR(L15=16,L15=17),"+3",IF(OR(L15=18,L15=19),"+4",IF(OR(L15=20,L15=21),"+5",IF(OR(L15=22,L15=23),"+6",IF(OR(L15=24,L15=25),"+7",IF(OR(L15=26,L15=27),"+8",IF(OR(L15=28,L15=29),"+9",IF(L15=30,"+10"," "))))))))))))))))</f>
        <v>0</v>
      </c>
      <c r="N15" s="1" t="n">
        <v>10</v>
      </c>
      <c r="O15" s="1" t="str">
        <f aca="false">IF(N15=1,"-5",IF(OR(N15=2,N15=3),"-4",IF(OR(N15=4,N15=5),"-3",IF(OR(N15=6,N15=7),"-2",IF(OR(N15=8,N15=9),"-1",IF(OR(N15=10,N15=11),"0",IF(OR(N15=12,N15=13),"+1",IF(OR(N15=14,N15=15),"+2",IF(OR(N15=16,N15=17),"+3",IF(OR(N15=18,N15=19),"+4",IF(OR(N15=20,N15=21),"+5",IF(OR(N15=22,N15=23),"+6",IF(OR(N15=24,N15=25),"+7",IF(OR(N15=26,N15=27),"+8",IF(OR(N15=28,N15=29),"+9",IF(N15=30,"+10"," "))))))))))))))))</f>
        <v>0</v>
      </c>
      <c r="P15" s="1" t="n">
        <v>14</v>
      </c>
      <c r="Q15" s="1" t="str">
        <f aca="false">IF(P15=1,"-5",IF(OR(P15=2,P15=3),"-4",IF(OR(P15=4,P15=5),"-3",IF(OR(P15=6,P15=7),"-2",IF(OR(P15=8,P15=9),"-1",IF(OR(P15=10,P15=11),"0",IF(OR(P15=12,P15=13),"+1",IF(OR(P15=14,P15=15),"+2",IF(OR(P15=16,P15=17),"+3",IF(OR(P15=18,P15=19),"+4",IF(OR(P15=20,P15=21),"+5",IF(OR(P15=22,P15=23),"+6",IF(OR(P15=24,P15=25),"+7",IF(OR(P15=26,P15=27),"+8",IF(OR(P15=28,P15=29),"+9",IF(P15=30,"+10"," "))))))))))))))))</f>
        <v>+2</v>
      </c>
      <c r="R15" s="1" t="n">
        <v>10</v>
      </c>
      <c r="S15" s="1" t="str">
        <f aca="false">IF(R15=1,"-5",IF(OR(R15=2,R15=3),"-4",IF(OR(R15=4,R15=5),"-3",IF(OR(R15=6,R15=7),"-2",IF(OR(R15=8,R15=9),"-1",IF(OR(R15=10,R15=11),"0",IF(OR(R15=12,R15=13),"+1",IF(OR(R15=14,R15=15),"+2",IF(OR(R15=16,R15=17),"+3",IF(OR(R15=18,R15=19),"+4",IF(OR(R15=20,R15=21),"+5",IF(OR(R15=22,R15=23),"+6",IF(OR(R15=24,R15=25),"+7",IF(OR(R15=26,R15=27),"+8",IF(OR(R15=28,R15=29),"+9",IF(R15=30,"+10"," "))))))))))))))))</f>
        <v>0</v>
      </c>
      <c r="T15" s="1" t="n">
        <v>11</v>
      </c>
      <c r="U15" s="1" t="str">
        <f aca="false">IF(T15=1,"-5",IF(OR(T15=2,T15=3),"-4",IF(OR(T15=4,T15=5),"-3",IF(OR(T15=6,T15=7),"-2",IF(OR(T15=8,T15=9),"-1",IF(OR(T15=10,T15=11),"0",IF(OR(T15=12,T15=13),"+1",IF(OR(T15=14,T15=15),"+2",IF(OR(T15=16,T15=17),"+3",IF(OR(T15=18,T15=19),"+4",IF(OR(T15=20,T15=21),"+5",IF(OR(T15=22,T15=23),"+6",IF(OR(T15=24,T15=25),"+7",IF(OR(T15=26,T15=27),"+8",IF(OR(T15=28,T15=29),"+9",IF(T15=30,"+10"," "))))))))))))))))</f>
        <v>0</v>
      </c>
      <c r="V15" s="1" t="s">
        <v>126</v>
      </c>
      <c r="W15" s="1" t="s">
        <v>66</v>
      </c>
      <c r="X15" s="2" t="s">
        <v>127</v>
      </c>
      <c r="Y15" s="2" t="s">
        <v>128</v>
      </c>
      <c r="Z15" s="2" t="s">
        <v>37</v>
      </c>
      <c r="AA15" s="1" t="s">
        <v>37</v>
      </c>
    </row>
    <row r="16" customFormat="false" ht="16.4" hidden="false" customHeight="false" outlineLevel="0" collapsed="false">
      <c r="A16" s="7" t="s">
        <v>129</v>
      </c>
      <c r="B16" s="1" t="s">
        <v>105</v>
      </c>
      <c r="C16" s="1" t="s">
        <v>37</v>
      </c>
      <c r="D16" s="8" t="n">
        <v>1</v>
      </c>
      <c r="E16" s="10" t="n">
        <f aca="false">VLOOKUP(D16,'[1]REF Tables'!$A$2:$B$40,2)</f>
        <v>200</v>
      </c>
      <c r="F16" s="1" t="s">
        <v>50</v>
      </c>
      <c r="G16" s="10" t="n">
        <v>14</v>
      </c>
      <c r="H16" s="1" t="s">
        <v>130</v>
      </c>
      <c r="I16" s="1" t="s">
        <v>131</v>
      </c>
      <c r="J16" s="10" t="n">
        <v>15</v>
      </c>
      <c r="K16" s="1" t="str">
        <f aca="false">IF(J16=1,"-5",IF(OR(J16=2,J16=3),"-4",IF(OR(J16=4,J16=5),"-3",IF(OR(J16=6,J16=7),"-2",IF(OR(J16=8,J16=9),"-1",IF(OR(J16=10,J16=11),"0",IF(OR(J16=12,J16=13),"+1",IF(OR(J16=14,J16=15),"+2",IF(OR(J16=16,J16=17),"+3",IF(OR(J16=18,J16=19),"+4",IF(OR(J16=20,J16=21),"+5",IF(OR(J16=22,J16=23),"+6",IF(OR(J16=24,J16=25),"+7",IF(OR(J16=26,J16=27),"+8",IF(OR(J16=28,J16=29),"+9",IF(J16=30,"+10"," "))))))))))))))))</f>
        <v>+2</v>
      </c>
      <c r="L16" s="10" t="n">
        <v>16</v>
      </c>
      <c r="M16" s="1" t="str">
        <f aca="false">IF(L16=1,"-5",IF(OR(L16=2,L16=3),"-4",IF(OR(L16=4,L16=5),"-3",IF(OR(L16=6,L16=7),"-2",IF(OR(L16=8,L16=9),"-1",IF(OR(L16=10,L16=11),"0",IF(OR(L16=12,L16=13),"+1",IF(OR(L16=14,L16=15),"+2",IF(OR(L16=16,L16=17),"+3",IF(OR(L16=18,L16=19),"+4",IF(OR(L16=20,L16=21),"+5",IF(OR(L16=22,L16=23),"+6",IF(OR(L16=24,L16=25),"+7",IF(OR(L16=26,L16=27),"+8",IF(OR(L16=28,L16=29),"+9",IF(L16=30,"+10"," "))))))))))))))))</f>
        <v>+3</v>
      </c>
      <c r="N16" s="10" t="n">
        <v>14</v>
      </c>
      <c r="O16" s="1" t="str">
        <f aca="false">IF(N16=1,"-5",IF(OR(N16=2,N16=3),"-4",IF(OR(N16=4,N16=5),"-3",IF(OR(N16=6,N16=7),"-2",IF(OR(N16=8,N16=9),"-1",IF(OR(N16=10,N16=11),"0",IF(OR(N16=12,N16=13),"+1",IF(OR(N16=14,N16=15),"+2",IF(OR(N16=16,N16=17),"+3",IF(OR(N16=18,N16=19),"+4",IF(OR(N16=20,N16=21),"+5",IF(OR(N16=22,N16=23),"+6",IF(OR(N16=24,N16=25),"+7",IF(OR(N16=26,N16=27),"+8",IF(OR(N16=28,N16=29),"+9",IF(N16=30,"+10"," "))))))))))))))))</f>
        <v>+2</v>
      </c>
      <c r="P16" s="10" t="n">
        <v>2</v>
      </c>
      <c r="Q16" s="1" t="str">
        <f aca="false">IF(P16=1,"-5",IF(OR(P16=2,P16=3),"-4",IF(OR(P16=4,P16=5),"-3",IF(OR(P16=6,P16=7),"-2",IF(OR(P16=8,P16=9),"-1",IF(OR(P16=10,P16=11),"0",IF(OR(P16=12,P16=13),"+1",IF(OR(P16=14,P16=15),"+2",IF(OR(P16=16,P16=17),"+3",IF(OR(P16=18,P16=19),"+4",IF(OR(P16=20,P16=21),"+5",IF(OR(P16=22,P16=23),"+6",IF(OR(P16=24,P16=25),"+7",IF(OR(P16=26,P16=27),"+8",IF(OR(P16=28,P16=29),"+9",IF(P16=30,"+10"," "))))))))))))))))</f>
        <v>-4</v>
      </c>
      <c r="R16" s="10" t="n">
        <v>10</v>
      </c>
      <c r="S16" s="1" t="str">
        <f aca="false">IF(R16=1,"-5",IF(OR(R16=2,R16=3),"-4",IF(OR(R16=4,R16=5),"-3",IF(OR(R16=6,R16=7),"-2",IF(OR(R16=8,R16=9),"-1",IF(OR(R16=10,R16=11),"0",IF(OR(R16=12,R16=13),"+1",IF(OR(R16=14,R16=15),"+2",IF(OR(R16=16,R16=17),"+3",IF(OR(R16=18,R16=19),"+4",IF(OR(R16=20,R16=21),"+5",IF(OR(R16=22,R16=23),"+6",IF(OR(R16=24,R16=25),"+7",IF(OR(R16=26,R16=27),"+8",IF(OR(R16=28,R16=29),"+9",IF(R16=30,"+10"," "))))))))))))))))</f>
        <v>0</v>
      </c>
      <c r="T16" s="10" t="n">
        <v>3</v>
      </c>
      <c r="U16" s="1" t="str">
        <f aca="false">IF(T16=1,"-5",IF(OR(T16=2,T16=3),"-4",IF(OR(T16=4,T16=5),"-3",IF(OR(T16=6,T16=7),"-2",IF(OR(T16=8,T16=9),"-1",IF(OR(T16=10,T16=11),"0",IF(OR(T16=12,T16=13),"+1",IF(OR(T16=14,T16=15),"+2",IF(OR(T16=16,T16=17),"+3",IF(OR(T16=18,T16=19),"+4",IF(OR(T16=20,T16=21),"+5",IF(OR(T16=22,T16=23),"+6",IF(OR(T16=24,T16=25),"+7",IF(OR(T16=26,T16=27),"+8",IF(OR(T16=28,T16=29),"+9",IF(T16=30,"+10"," "))))))))))))))))</f>
        <v>-4</v>
      </c>
      <c r="V16" s="1" t="s">
        <v>132</v>
      </c>
      <c r="W16" s="1" t="s">
        <v>37</v>
      </c>
      <c r="X16" s="11" t="s">
        <v>133</v>
      </c>
      <c r="Y16" s="11" t="s">
        <v>134</v>
      </c>
      <c r="Z16" s="11" t="s">
        <v>37</v>
      </c>
      <c r="AA16" s="12" t="s">
        <v>37</v>
      </c>
      <c r="AB16" s="1"/>
      <c r="AC16" s="1"/>
      <c r="AD16" s="1"/>
      <c r="AE16" s="1"/>
      <c r="AF16" s="1"/>
    </row>
    <row r="17" customFormat="false" ht="16.4" hidden="false" customHeight="false" outlineLevel="0" collapsed="false">
      <c r="A17" s="7" t="s">
        <v>135</v>
      </c>
      <c r="B17" s="1" t="s">
        <v>105</v>
      </c>
      <c r="C17" s="1" t="s">
        <v>37</v>
      </c>
      <c r="D17" s="8" t="n">
        <v>0.25</v>
      </c>
      <c r="E17" s="10" t="n">
        <f aca="false">VLOOKUP(D17,'[1]REF Tables'!$A$2:$B$40,2)</f>
        <v>50</v>
      </c>
      <c r="F17" s="1" t="s">
        <v>30</v>
      </c>
      <c r="G17" s="10" t="n">
        <v>12</v>
      </c>
      <c r="H17" s="1" t="s">
        <v>136</v>
      </c>
      <c r="I17" s="1" t="s">
        <v>131</v>
      </c>
      <c r="J17" s="10" t="n">
        <v>15</v>
      </c>
      <c r="K17" s="1" t="str">
        <f aca="false">IF(J17=1,"-5",IF(OR(J17=2,J17=3),"-4",IF(OR(J17=4,J17=5),"-3",IF(OR(J17=6,J17=7),"-2",IF(OR(J17=8,J17=9),"-1",IF(OR(J17=10,J17=11),"0",IF(OR(J17=12,J17=13),"+1",IF(OR(J17=14,J17=15),"+2",IF(OR(J17=16,J17=17),"+3",IF(OR(J17=18,J17=19),"+4",IF(OR(J17=20,J17=21),"+5",IF(OR(J17=22,J17=23),"+6",IF(OR(J17=24,J17=25),"+7",IF(OR(J17=26,J17=27),"+8",IF(OR(J17=28,J17=29),"+9",IF(J17=30,"+10"," "))))))))))))))))</f>
        <v>+2</v>
      </c>
      <c r="L17" s="10" t="n">
        <v>12</v>
      </c>
      <c r="M17" s="1" t="str">
        <f aca="false">IF(L17=1,"-5",IF(OR(L17=2,L17=3),"-4",IF(OR(L17=4,L17=5),"-3",IF(OR(L17=6,L17=7),"-2",IF(OR(L17=8,L17=9),"-1",IF(OR(L17=10,L17=11),"0",IF(OR(L17=12,L17=13),"+1",IF(OR(L17=14,L17=15),"+2",IF(OR(L17=16,L17=17),"+3",IF(OR(L17=18,L17=19),"+4",IF(OR(L17=20,L17=21),"+5",IF(OR(L17=22,L17=23),"+6",IF(OR(L17=24,L17=25),"+7",IF(OR(L17=26,L17=27),"+8",IF(OR(L17=28,L17=29),"+9",IF(L17=30,"+10"," "))))))))))))))))</f>
        <v>+1</v>
      </c>
      <c r="N17" s="10" t="n">
        <v>14</v>
      </c>
      <c r="O17" s="1" t="str">
        <f aca="false">IF(N17=1,"-5",IF(OR(N17=2,N17=3),"-4",IF(OR(N17=4,N17=5),"-3",IF(OR(N17=6,N17=7),"-2",IF(OR(N17=8,N17=9),"-1",IF(OR(N17=10,N17=11),"0",IF(OR(N17=12,N17=13),"+1",IF(OR(N17=14,N17=15),"+2",IF(OR(N17=16,N17=17),"+3",IF(OR(N17=18,N17=19),"+4",IF(OR(N17=20,N17=21),"+5",IF(OR(N17=22,N17=23),"+6",IF(OR(N17=24,N17=25),"+7",IF(OR(N17=26,N17=27),"+8",IF(OR(N17=28,N17=29),"+9",IF(N17=30,"+10"," "))))))))))))))))</f>
        <v>+2</v>
      </c>
      <c r="P17" s="10" t="n">
        <v>2</v>
      </c>
      <c r="Q17" s="1" t="str">
        <f aca="false">IF(P17=1,"-5",IF(OR(P17=2,P17=3),"-4",IF(OR(P17=4,P17=5),"-3",IF(OR(P17=6,P17=7),"-2",IF(OR(P17=8,P17=9),"-1",IF(OR(P17=10,P17=11),"0",IF(OR(P17=12,P17=13),"+1",IF(OR(P17=14,P17=15),"+2",IF(OR(P17=16,P17=17),"+3",IF(OR(P17=18,P17=19),"+4",IF(OR(P17=20,P17=21),"+5",IF(OR(P17=22,P17=23),"+6",IF(OR(P17=24,P17=25),"+7",IF(OR(P17=26,P17=27),"+8",IF(OR(P17=28,P17=29),"+9",IF(P17=30,"+10"," "))))))))))))))))</f>
        <v>-4</v>
      </c>
      <c r="R17" s="10" t="n">
        <v>10</v>
      </c>
      <c r="S17" s="1" t="str">
        <f aca="false">IF(R17=1,"-5",IF(OR(R17=2,R17=3),"-4",IF(OR(R17=4,R17=5),"-3",IF(OR(R17=6,R17=7),"-2",IF(OR(R17=8,R17=9),"-1",IF(OR(R17=10,R17=11),"0",IF(OR(R17=12,R17=13),"+1",IF(OR(R17=14,R17=15),"+2",IF(OR(R17=16,R17=17),"+3",IF(OR(R17=18,R17=19),"+4",IF(OR(R17=20,R17=21),"+5",IF(OR(R17=22,R17=23),"+6",IF(OR(R17=24,R17=25),"+7",IF(OR(R17=26,R17=27),"+8",IF(OR(R17=28,R17=29),"+9",IF(R17=30,"+10"," "))))))))))))))))</f>
        <v>0</v>
      </c>
      <c r="T17" s="10" t="n">
        <v>3</v>
      </c>
      <c r="U17" s="1" t="str">
        <f aca="false">IF(T17=1,"-5",IF(OR(T17=2,T17=3),"-4",IF(OR(T17=4,T17=5),"-3",IF(OR(T17=6,T17=7),"-2",IF(OR(T17=8,T17=9),"-1",IF(OR(T17=10,T17=11),"0",IF(OR(T17=12,T17=13),"+1",IF(OR(T17=14,T17=15),"+2",IF(OR(T17=16,T17=17),"+3",IF(OR(T17=18,T17=19),"+4",IF(OR(T17=20,T17=21),"+5",IF(OR(T17=22,T17=23),"+6",IF(OR(T17=24,T17=25),"+7",IF(OR(T17=26,T17=27),"+8",IF(OR(T17=28,T17=29),"+9",IF(T17=30,"+10"," "))))))))))))))))</f>
        <v>-4</v>
      </c>
      <c r="V17" s="1" t="s">
        <v>137</v>
      </c>
      <c r="W17" s="1" t="s">
        <v>37</v>
      </c>
      <c r="X17" s="11" t="s">
        <v>138</v>
      </c>
      <c r="Y17" s="11" t="s">
        <v>139</v>
      </c>
      <c r="Z17" s="11" t="s">
        <v>37</v>
      </c>
      <c r="AA17" s="12" t="s">
        <v>37</v>
      </c>
      <c r="AB17" s="1"/>
      <c r="AC17" s="1"/>
      <c r="AD17" s="1"/>
      <c r="AE17" s="1"/>
      <c r="AF17" s="1"/>
    </row>
    <row r="18" customFormat="false" ht="16.4" hidden="false" customHeight="false" outlineLevel="0" collapsed="false">
      <c r="A18" s="4" t="s">
        <v>140</v>
      </c>
      <c r="B18" s="1" t="s">
        <v>105</v>
      </c>
      <c r="C18" s="1" t="s">
        <v>37</v>
      </c>
      <c r="D18" s="5" t="n">
        <v>3</v>
      </c>
      <c r="E18" s="3" t="n">
        <f aca="false">VLOOKUP(D18,'[1]REF Tables'!$A$2:$B$40,2)</f>
        <v>700</v>
      </c>
      <c r="F18" s="1" t="s">
        <v>50</v>
      </c>
      <c r="G18" s="1" t="n">
        <v>13</v>
      </c>
      <c r="H18" s="1" t="s">
        <v>141</v>
      </c>
      <c r="I18" s="3" t="s">
        <v>131</v>
      </c>
      <c r="J18" s="1" t="n">
        <v>15</v>
      </c>
      <c r="K18" s="1" t="str">
        <f aca="false">IF(J18=1,"-5",IF(OR(J18=2,J18=3),"-4",IF(OR(J18=4,J18=5),"-3",IF(OR(J18=6,J18=7),"-2",IF(OR(J18=8,J18=9),"-1",IF(OR(J18=10,J18=11),"0",IF(OR(J18=12,J18=13),"+1",IF(OR(J18=14,J18=15),"+2",IF(OR(J18=16,J18=17),"+3",IF(OR(J18=18,J18=19),"+4",IF(OR(J18=20,J18=21),"+5",IF(OR(J18=22,J18=23),"+6",IF(OR(J18=24,J18=25),"+7",IF(OR(J18=26,J18=27),"+8",IF(OR(J18=28,J18=29),"+9",IF(J18=30,"+10"," "))))))))))))))))</f>
        <v>+2</v>
      </c>
      <c r="L18" s="1" t="n">
        <v>15</v>
      </c>
      <c r="M18" s="1" t="str">
        <f aca="false">IF(L18=1,"-5",IF(OR(L18=2,L18=3),"-4",IF(OR(L18=4,L18=5),"-3",IF(OR(L18=6,L18=7),"-2",IF(OR(L18=8,L18=9),"-1",IF(OR(L18=10,L18=11),"0",IF(OR(L18=12,L18=13),"+1",IF(OR(L18=14,L18=15),"+2",IF(OR(L18=16,L18=17),"+3",IF(OR(L18=18,L18=19),"+4",IF(OR(L18=20,L18=21),"+5",IF(OR(L18=22,L18=23),"+6",IF(OR(L18=24,L18=25),"+7",IF(OR(L18=26,L18=27),"+8",IF(OR(L18=28,L18=29),"+9",IF(L18=30,"+10"," "))))))))))))))))</f>
        <v>+2</v>
      </c>
      <c r="N18" s="1" t="n">
        <v>12</v>
      </c>
      <c r="O18" s="1" t="str">
        <f aca="false">IF(N18=1,"-5",IF(OR(N18=2,N18=3),"-4",IF(OR(N18=4,N18=5),"-3",IF(OR(N18=6,N18=7),"-2",IF(OR(N18=8,N18=9),"-1",IF(OR(N18=10,N18=11),"0",IF(OR(N18=12,N18=13),"+1",IF(OR(N18=14,N18=15),"+2",IF(OR(N18=16,N18=17),"+3",IF(OR(N18=18,N18=19),"+4",IF(OR(N18=20,N18=21),"+5",IF(OR(N18=22,N18=23),"+6",IF(OR(N18=24,N18=25),"+7",IF(OR(N18=26,N18=27),"+8",IF(OR(N18=28,N18=29),"+9",IF(N18=30,"+10"," "))))))))))))))))</f>
        <v>+1</v>
      </c>
      <c r="P18" s="1" t="n">
        <v>6</v>
      </c>
      <c r="Q18" s="1" t="str">
        <f aca="false">IF(P18=1,"-5",IF(OR(P18=2,P18=3),"-4",IF(OR(P18=4,P18=5),"-3",IF(OR(P18=6,P18=7),"-2",IF(OR(P18=8,P18=9),"-1",IF(OR(P18=10,P18=11),"0",IF(OR(P18=12,P18=13),"+1",IF(OR(P18=14,P18=15),"+2",IF(OR(P18=16,P18=17),"+3",IF(OR(P18=18,P18=19),"+4",IF(OR(P18=20,P18=21),"+5",IF(OR(P18=22,P18=23),"+6",IF(OR(P18=24,P18=25),"+7",IF(OR(P18=26,P18=27),"+8",IF(OR(P18=28,P18=29),"+9",IF(P18=30,"+10"," "))))))))))))))))</f>
        <v>-2</v>
      </c>
      <c r="R18" s="1" t="n">
        <v>10</v>
      </c>
      <c r="S18" s="1" t="str">
        <f aca="false">IF(R18=1,"-5",IF(OR(R18=2,R18=3),"-4",IF(OR(R18=4,R18=5),"-3",IF(OR(R18=6,R18=7),"-2",IF(OR(R18=8,R18=9),"-1",IF(OR(R18=10,R18=11),"0",IF(OR(R18=12,R18=13),"+1",IF(OR(R18=14,R18=15),"+2",IF(OR(R18=16,R18=17),"+3",IF(OR(R18=18,R18=19),"+4",IF(OR(R18=20,R18=21),"+5",IF(OR(R18=22,R18=23),"+6",IF(OR(R18=24,R18=25),"+7",IF(OR(R18=26,R18=27),"+8",IF(OR(R18=28,R18=29),"+9",IF(R18=30,"+10"," "))))))))))))))))</f>
        <v>0</v>
      </c>
      <c r="T18" s="1" t="n">
        <v>6</v>
      </c>
      <c r="U18" s="1" t="str">
        <f aca="false">IF(T18=1,"-5",IF(OR(T18=2,T18=3),"-4",IF(OR(T18=4,T18=5),"-3",IF(OR(T18=6,T18=7),"-2",IF(OR(T18=8,T18=9),"-1",IF(OR(T18=10,T18=11),"0",IF(OR(T18=12,T18=13),"+1",IF(OR(T18=14,T18=15),"+2",IF(OR(T18=16,T18=17),"+3",IF(OR(T18=18,T18=19),"+4",IF(OR(T18=20,T18=21),"+5",IF(OR(T18=22,T18=23),"+6",IF(OR(T18=24,T18=25),"+7",IF(OR(T18=26,T18=27),"+8",IF(OR(T18=28,T18=29),"+9",IF(T18=30,"+10"," "))))))))))))))))</f>
        <v>-2</v>
      </c>
      <c r="V18" s="1" t="s">
        <v>142</v>
      </c>
      <c r="W18" s="1" t="s">
        <v>37</v>
      </c>
      <c r="X18" s="2" t="s">
        <v>143</v>
      </c>
      <c r="Y18" s="2" t="s">
        <v>144</v>
      </c>
      <c r="Z18" s="2" t="s">
        <v>37</v>
      </c>
      <c r="AA18" s="1" t="s">
        <v>37</v>
      </c>
    </row>
    <row r="19" customFormat="false" ht="658.2" hidden="false" customHeight="false" outlineLevel="0" collapsed="false">
      <c r="A19" s="4" t="s">
        <v>145</v>
      </c>
      <c r="B19" s="1" t="s">
        <v>59</v>
      </c>
      <c r="C19" s="1" t="s">
        <v>37</v>
      </c>
      <c r="D19" s="5" t="n">
        <v>1</v>
      </c>
      <c r="E19" s="3" t="n">
        <f aca="false">VLOOKUP(D19,'[1]REF Tables'!$A$2:$B$40,2)</f>
        <v>200</v>
      </c>
      <c r="F19" s="1" t="s">
        <v>50</v>
      </c>
      <c r="G19" s="1" t="n">
        <v>14</v>
      </c>
      <c r="H19" s="1" t="s">
        <v>146</v>
      </c>
      <c r="I19" s="3" t="s">
        <v>147</v>
      </c>
      <c r="J19" s="1" t="n">
        <v>14</v>
      </c>
      <c r="K19" s="1" t="str">
        <f aca="false">IF(J19=1,"-5",IF(OR(J19=2,J19=3),"-4",IF(OR(J19=4,J19=5),"-3",IF(OR(J19=6,J19=7),"-2",IF(OR(J19=8,J19=9),"-1",IF(OR(J19=10,J19=11),"0",IF(OR(J19=12,J19=13),"+1",IF(OR(J19=14,J19=15),"+2",IF(OR(J19=16,J19=17),"+3",IF(OR(J19=18,J19=19),"+4",IF(OR(J19=20,J19=21),"+5",IF(OR(J19=22,J19=23),"+6",IF(OR(J19=24,J19=25),"+7",IF(OR(J19=26,J19=27),"+8",IF(OR(J19=28,J19=29),"+9",IF(J19=30,"+10"," "))))))))))))))))</f>
        <v>+2</v>
      </c>
      <c r="L19" s="1" t="n">
        <v>16</v>
      </c>
      <c r="M19" s="1" t="str">
        <f aca="false">IF(L19=1,"-5",IF(OR(L19=2,L19=3),"-4",IF(OR(L19=4,L19=5),"-3",IF(OR(L19=6,L19=7),"-2",IF(OR(L19=8,L19=9),"-1",IF(OR(L19=10,L19=11),"0",IF(OR(L19=12,L19=13),"+1",IF(OR(L19=14,L19=15),"+2",IF(OR(L19=16,L19=17),"+3",IF(OR(L19=18,L19=19),"+4",IF(OR(L19=20,L19=21),"+5",IF(OR(L19=22,L19=23),"+6",IF(OR(L19=24,L19=25),"+7",IF(OR(L19=26,L19=27),"+8",IF(OR(L19=28,L19=29),"+9",IF(L19=30,"+10"," "))))))))))))))))</f>
        <v>+3</v>
      </c>
      <c r="N19" s="1" t="n">
        <v>12</v>
      </c>
      <c r="O19" s="1" t="str">
        <f aca="false">IF(N19=1,"-5",IF(OR(N19=2,N19=3),"-4",IF(OR(N19=4,N19=5),"-3",IF(OR(N19=6,N19=7),"-2",IF(OR(N19=8,N19=9),"-1",IF(OR(N19=10,N19=11),"0",IF(OR(N19=12,N19=13),"+1",IF(OR(N19=14,N19=15),"+2",IF(OR(N19=16,N19=17),"+3",IF(OR(N19=18,N19=19),"+4",IF(OR(N19=20,N19=21),"+5",IF(OR(N19=22,N19=23),"+6",IF(OR(N19=24,N19=25),"+7",IF(OR(N19=26,N19=27),"+8",IF(OR(N19=28,N19=29),"+9",IF(N19=30,"+10"," "))))))))))))))))</f>
        <v>+1</v>
      </c>
      <c r="P19" s="1" t="n">
        <v>2</v>
      </c>
      <c r="Q19" s="1" t="str">
        <f aca="false">IF(P19=1,"-5",IF(OR(P19=2,P19=3),"-4",IF(OR(P19=4,P19=5),"-3",IF(OR(P19=6,P19=7),"-2",IF(OR(P19=8,P19=9),"-1",IF(OR(P19=10,P19=11),"0",IF(OR(P19=12,P19=13),"+1",IF(OR(P19=14,P19=15),"+2",IF(OR(P19=16,P19=17),"+3",IF(OR(P19=18,P19=19),"+4",IF(OR(P19=20,P19=21),"+5",IF(OR(P19=22,P19=23),"+6",IF(OR(P19=24,P19=25),"+7",IF(OR(P19=26,P19=27),"+8",IF(OR(P19=28,P19=29),"+9",IF(P19=30,"+10"," "))))))))))))))))</f>
        <v>-4</v>
      </c>
      <c r="R19" s="1" t="n">
        <v>11</v>
      </c>
      <c r="S19" s="1" t="str">
        <f aca="false">IF(R19=1,"-5",IF(OR(R19=2,R19=3),"-4",IF(OR(R19=4,R19=5),"-3",IF(OR(R19=6,R19=7),"-2",IF(OR(R19=8,R19=9),"-1",IF(OR(R19=10,R19=11),"0",IF(OR(R19=12,R19=13),"+1",IF(OR(R19=14,R19=15),"+2",IF(OR(R19=16,R19=17),"+3",IF(OR(R19=18,R19=19),"+4",IF(OR(R19=20,R19=21),"+5",IF(OR(R19=22,R19=23),"+6",IF(OR(R19=24,R19=25),"+7",IF(OR(R19=26,R19=27),"+8",IF(OR(R19=28,R19=29),"+9",IF(R19=30,"+10"," "))))))))))))))))</f>
        <v>0</v>
      </c>
      <c r="T19" s="1" t="n">
        <v>4</v>
      </c>
      <c r="U19" s="1" t="str">
        <f aca="false">IF(T19=1,"-5",IF(OR(T19=2,T19=3),"-4",IF(OR(T19=4,T19=5),"-3",IF(OR(T19=6,T19=7),"-2",IF(OR(T19=8,T19=9),"-1",IF(OR(T19=10,T19=11),"0",IF(OR(T19=12,T19=13),"+1",IF(OR(T19=14,T19=15),"+2",IF(OR(T19=16,T19=17),"+3",IF(OR(T19=18,T19=19),"+4",IF(OR(T19=20,T19=21),"+5",IF(OR(T19=22,T19=23),"+6",IF(OR(T19=24,T19=25),"+7",IF(OR(T19=26,T19=27),"+8",IF(OR(T19=28,T19=29),"+9",IF(T19=30,"+10"," "))))))))))))))))</f>
        <v>-3</v>
      </c>
      <c r="V19" s="1" t="s">
        <v>148</v>
      </c>
      <c r="W19" s="1" t="s">
        <v>37</v>
      </c>
      <c r="X19" s="13" t="s">
        <v>149</v>
      </c>
      <c r="Y19" s="13" t="s">
        <v>150</v>
      </c>
      <c r="Z19" s="2" t="s">
        <v>37</v>
      </c>
      <c r="AA19" s="1" t="s">
        <v>37</v>
      </c>
    </row>
    <row r="20" customFormat="false" ht="16.4" hidden="false" customHeight="false" outlineLevel="0" collapsed="false">
      <c r="A20" s="4" t="s">
        <v>151</v>
      </c>
      <c r="B20" s="1" t="s">
        <v>59</v>
      </c>
      <c r="C20" s="1" t="s">
        <v>37</v>
      </c>
      <c r="D20" s="5" t="n">
        <v>0.25</v>
      </c>
      <c r="E20" s="3" t="n">
        <f aca="false">VLOOKUP(D20,'[1]REF Tables'!$A$2:$B$40,2)</f>
        <v>50</v>
      </c>
      <c r="F20" s="1" t="s">
        <v>30</v>
      </c>
      <c r="G20" s="1" t="n">
        <v>13</v>
      </c>
      <c r="H20" s="1" t="s">
        <v>152</v>
      </c>
      <c r="I20" s="3" t="s">
        <v>153</v>
      </c>
      <c r="J20" s="1" t="n">
        <v>12</v>
      </c>
      <c r="K20" s="1" t="str">
        <f aca="false">IF(J20=1,"-5",IF(OR(J20=2,J20=3),"-4",IF(OR(J20=4,J20=5),"-3",IF(OR(J20=6,J20=7),"-2",IF(OR(J20=8,J20=9),"-1",IF(OR(J20=10,J20=11),"0",IF(OR(J20=12,J20=13),"+1",IF(OR(J20=14,J20=15),"+2",IF(OR(J20=16,J20=17),"+3",IF(OR(J20=18,J20=19),"+4",IF(OR(J20=20,J20=21),"+5",IF(OR(J20=22,J20=23),"+6",IF(OR(J20=24,J20=25),"+7",IF(OR(J20=26,J20=27),"+8",IF(OR(J20=28,J20=29),"+9",IF(J20=30,"+10"," "))))))))))))))))</f>
        <v>+1</v>
      </c>
      <c r="L20" s="1" t="n">
        <v>16</v>
      </c>
      <c r="M20" s="1" t="str">
        <f aca="false">IF(L20=1,"-5",IF(OR(L20=2,L20=3),"-4",IF(OR(L20=4,L20=5),"-3",IF(OR(L20=6,L20=7),"-2",IF(OR(L20=8,L20=9),"-1",IF(OR(L20=10,L20=11),"0",IF(OR(L20=12,L20=13),"+1",IF(OR(L20=14,L20=15),"+2",IF(OR(L20=16,L20=17),"+3",IF(OR(L20=18,L20=19),"+4",IF(OR(L20=20,L20=21),"+5",IF(OR(L20=22,L20=23),"+6",IF(OR(L20=24,L20=25),"+7",IF(OR(L20=26,L20=27),"+8",IF(OR(L20=28,L20=29),"+9",IF(L20=30,"+10"," "))))))))))))))))</f>
        <v>+3</v>
      </c>
      <c r="N20" s="1" t="n">
        <v>13</v>
      </c>
      <c r="O20" s="1" t="str">
        <f aca="false">IF(N20=1,"-5",IF(OR(N20=2,N20=3),"-4",IF(OR(N20=4,N20=5),"-3",IF(OR(N20=6,N20=7),"-2",IF(OR(N20=8,N20=9),"-1",IF(OR(N20=10,N20=11),"0",IF(OR(N20=12,N20=13),"+1",IF(OR(N20=14,N20=15),"+2",IF(OR(N20=16,N20=17),"+3",IF(OR(N20=18,N20=19),"+4",IF(OR(N20=20,N20=21),"+5",IF(OR(N20=22,N20=23),"+6",IF(OR(N20=24,N20=25),"+7",IF(OR(N20=26,N20=27),"+8",IF(OR(N20=28,N20=29),"+9",IF(N20=30,"+10"," "))))))))))))))))</f>
        <v>+1</v>
      </c>
      <c r="P20" s="1" t="n">
        <v>3</v>
      </c>
      <c r="Q20" s="1" t="str">
        <f aca="false">IF(P20=1,"-5",IF(OR(P20=2,P20=3),"-4",IF(OR(P20=4,P20=5),"-3",IF(OR(P20=6,P20=7),"-2",IF(OR(P20=8,P20=9),"-1",IF(OR(P20=10,P20=11),"0",IF(OR(P20=12,P20=13),"+1",IF(OR(P20=14,P20=15),"+2",IF(OR(P20=16,P20=17),"+3",IF(OR(P20=18,P20=19),"+4",IF(OR(P20=20,P20=21),"+5",IF(OR(P20=22,P20=23),"+6",IF(OR(P20=24,P20=25),"+7",IF(OR(P20=26,P20=27),"+8",IF(OR(P20=28,P20=29),"+9",IF(P20=30,"+10"," "))))))))))))))))</f>
        <v>-4</v>
      </c>
      <c r="R20" s="1" t="n">
        <v>12</v>
      </c>
      <c r="S20" s="1" t="str">
        <f aca="false">IF(R20=1,"-5",IF(OR(R20=2,R20=3),"-4",IF(OR(R20=4,R20=5),"-3",IF(OR(R20=6,R20=7),"-2",IF(OR(R20=8,R20=9),"-1",IF(OR(R20=10,R20=11),"0",IF(OR(R20=12,R20=13),"+1",IF(OR(R20=14,R20=15),"+2",IF(OR(R20=16,R20=17),"+3",IF(OR(R20=18,R20=19),"+4",IF(OR(R20=20,R20=21),"+5",IF(OR(R20=22,R20=23),"+6",IF(OR(R20=24,R20=25),"+7",IF(OR(R20=26,R20=27),"+8",IF(OR(R20=28,R20=29),"+9",IF(R20=30,"+10"," "))))))))))))))))</f>
        <v>+1</v>
      </c>
      <c r="T20" s="1" t="n">
        <v>4</v>
      </c>
      <c r="U20" s="1" t="str">
        <f aca="false">IF(T20=1,"-5",IF(OR(T20=2,T20=3),"-4",IF(OR(T20=4,T20=5),"-3",IF(OR(T20=6,T20=7),"-2",IF(OR(T20=8,T20=9),"-1",IF(OR(T20=10,T20=11),"0",IF(OR(T20=12,T20=13),"+1",IF(OR(T20=14,T20=15),"+2",IF(OR(T20=16,T20=17),"+3",IF(OR(T20=18,T20=19),"+4",IF(OR(T20=20,T20=21),"+5",IF(OR(T20=22,T20=23),"+6",IF(OR(T20=24,T20=25),"+7",IF(OR(T20=26,T20=27),"+8",IF(OR(T20=28,T20=29),"+9",IF(T20=30,"+10"," "))))))))))))))))</f>
        <v>-3</v>
      </c>
      <c r="V20" s="1" t="s">
        <v>154</v>
      </c>
      <c r="W20" s="1" t="s">
        <v>37</v>
      </c>
      <c r="X20" s="2" t="s">
        <v>155</v>
      </c>
      <c r="Y20" s="2" t="s">
        <v>156</v>
      </c>
      <c r="Z20" s="2" t="s">
        <v>37</v>
      </c>
      <c r="AA20" s="1" t="s">
        <v>37</v>
      </c>
    </row>
    <row r="21" customFormat="false" ht="16.4" hidden="false" customHeight="false" outlineLevel="0" collapsed="false">
      <c r="A21" s="4" t="s">
        <v>157</v>
      </c>
      <c r="B21" s="1" t="s">
        <v>158</v>
      </c>
      <c r="C21" s="1" t="s">
        <v>37</v>
      </c>
      <c r="D21" s="5" t="n">
        <v>2</v>
      </c>
      <c r="E21" s="3" t="n">
        <f aca="false">VLOOKUP(D21,'[1]REF Tables'!$A$2:$B$40,2)</f>
        <v>450</v>
      </c>
      <c r="F21" s="1" t="s">
        <v>121</v>
      </c>
      <c r="G21" s="1" t="n">
        <v>13</v>
      </c>
      <c r="H21" s="1" t="s">
        <v>159</v>
      </c>
      <c r="I21" s="3" t="s">
        <v>160</v>
      </c>
      <c r="J21" s="1" t="n">
        <v>19</v>
      </c>
      <c r="K21" s="1" t="str">
        <f aca="false">IF(J21=1,"-5",IF(OR(J21=2,J21=3),"-4",IF(OR(J21=4,J21=5),"-3",IF(OR(J21=6,J21=7),"-2",IF(OR(J21=8,J21=9),"-1",IF(OR(J21=10,J21=11),"0",IF(OR(J21=12,J21=13),"+1",IF(OR(J21=14,J21=15),"+2",IF(OR(J21=16,J21=17),"+3",IF(OR(J21=18,J21=19),"+4",IF(OR(J21=20,J21=21),"+5",IF(OR(J21=22,J21=23),"+6",IF(OR(J21=24,J21=25),"+7",IF(OR(J21=26,J21=27),"+8",IF(OR(J21=28,J21=29),"+9",IF(J21=30,"+10"," "))))))))))))))))</f>
        <v>+4</v>
      </c>
      <c r="L21" s="1" t="n">
        <v>6</v>
      </c>
      <c r="M21" s="1" t="str">
        <f aca="false">IF(L21=1,"-5",IF(OR(L21=2,L21=3),"-4",IF(OR(L21=4,L21=5),"-3",IF(OR(L21=6,L21=7),"-2",IF(OR(L21=8,L21=9),"-1",IF(OR(L21=10,L21=11),"0",IF(OR(L21=12,L21=13),"+1",IF(OR(L21=14,L21=15),"+2",IF(OR(L21=16,L21=17),"+3",IF(OR(L21=18,L21=19),"+4",IF(OR(L21=20,L21=21),"+5",IF(OR(L21=22,L21=23),"+6",IF(OR(L21=24,L21=25),"+7",IF(OR(L21=26,L21=27),"+8",IF(OR(L21=28,L21=29),"+9",IF(L21=30,"+10"," "))))))))))))))))</f>
        <v>-2</v>
      </c>
      <c r="N21" s="1" t="n">
        <v>15</v>
      </c>
      <c r="O21" s="1" t="str">
        <f aca="false">IF(N21=1,"-5",IF(OR(N21=2,N21=3),"-4",IF(OR(N21=4,N21=5),"-3",IF(OR(N21=6,N21=7),"-2",IF(OR(N21=8,N21=9),"-1",IF(OR(N21=10,N21=11),"0",IF(OR(N21=12,N21=13),"+1",IF(OR(N21=14,N21=15),"+2",IF(OR(N21=16,N21=17),"+3",IF(OR(N21=18,N21=19),"+4",IF(OR(N21=20,N21=21),"+5",IF(OR(N21=22,N21=23),"+6",IF(OR(N21=24,N21=25),"+7",IF(OR(N21=26,N21=27),"+8",IF(OR(N21=28,N21=29),"+9",IF(N21=30,"+10"," "))))))))))))))))</f>
        <v>+2</v>
      </c>
      <c r="P21" s="1" t="n">
        <v>10</v>
      </c>
      <c r="Q21" s="1" t="str">
        <f aca="false">IF(P21=1,"-5",IF(OR(P21=2,P21=3),"-4",IF(OR(P21=4,P21=5),"-3",IF(OR(P21=6,P21=7),"-2",IF(OR(P21=8,P21=9),"-1",IF(OR(P21=10,P21=11),"0",IF(OR(P21=12,P21=13),"+1",IF(OR(P21=14,P21=15),"+2",IF(OR(P21=16,P21=17),"+3",IF(OR(P21=18,P21=19),"+4",IF(OR(P21=20,P21=21),"+5",IF(OR(P21=22,P21=23),"+6",IF(OR(P21=24,P21=25),"+7",IF(OR(P21=26,P21=27),"+8",IF(OR(P21=28,P21=29),"+9",IF(P21=30,"+10"," "))))))))))))))))</f>
        <v>0</v>
      </c>
      <c r="R21" s="1" t="n">
        <v>10</v>
      </c>
      <c r="S21" s="1" t="str">
        <f aca="false">IF(R21=1,"-5",IF(OR(R21=2,R21=3),"-4",IF(OR(R21=4,R21=5),"-3",IF(OR(R21=6,R21=7),"-2",IF(OR(R21=8,R21=9),"-1",IF(OR(R21=10,R21=11),"0",IF(OR(R21=12,R21=13),"+1",IF(OR(R21=14,R21=15),"+2",IF(OR(R21=16,R21=17),"+3",IF(OR(R21=18,R21=19),"+4",IF(OR(R21=20,R21=21),"+5",IF(OR(R21=22,R21=23),"+6",IF(OR(R21=24,R21=25),"+7",IF(OR(R21=26,R21=27),"+8",IF(OR(R21=28,R21=29),"+9",IF(R21=30,"+10"," "))))))))))))))))</f>
        <v>0</v>
      </c>
      <c r="T21" s="1" t="n">
        <v>7</v>
      </c>
      <c r="U21" s="1" t="str">
        <f aca="false">IF(T21=1,"-5",IF(OR(T21=2,T21=3),"-4",IF(OR(T21=4,T21=5),"-3",IF(OR(T21=6,T21=7),"-2",IF(OR(T21=8,T21=9),"-1",IF(OR(T21=10,T21=11),"0",IF(OR(T21=12,T21=13),"+1",IF(OR(T21=14,T21=15),"+2",IF(OR(T21=16,T21=17),"+3",IF(OR(T21=18,T21=19),"+4",IF(OR(T21=20,T21=21),"+5",IF(OR(T21=22,T21=23),"+6",IF(OR(T21=24,T21=25),"+7",IF(OR(T21=26,T21=27),"+8",IF(OR(T21=28,T21=29),"+9",IF(T21=30,"+10"," "))))))))))))))))</f>
        <v>-2</v>
      </c>
      <c r="V21" s="1" t="s">
        <v>37</v>
      </c>
      <c r="W21" s="1" t="s">
        <v>161</v>
      </c>
      <c r="X21" s="2" t="s">
        <v>162</v>
      </c>
      <c r="Y21" s="2" t="s">
        <v>163</v>
      </c>
      <c r="Z21" s="2" t="s">
        <v>37</v>
      </c>
      <c r="AA21" s="1" t="s">
        <v>37</v>
      </c>
    </row>
    <row r="22" customFormat="false" ht="16.4" hidden="false" customHeight="false" outlineLevel="0" collapsed="false">
      <c r="A22" s="4" t="s">
        <v>164</v>
      </c>
      <c r="B22" s="1" t="s">
        <v>158</v>
      </c>
      <c r="C22" s="1" t="s">
        <v>37</v>
      </c>
      <c r="D22" s="5" t="n">
        <v>0</v>
      </c>
      <c r="E22" s="3" t="n">
        <f aca="false">VLOOKUP(D22,'[1]REF Tables'!$A$2:$B$40,2)</f>
        <v>10</v>
      </c>
      <c r="F22" s="1" t="s">
        <v>165</v>
      </c>
      <c r="G22" s="1" t="n">
        <v>9</v>
      </c>
      <c r="H22" s="1" t="s">
        <v>166</v>
      </c>
      <c r="I22" s="3" t="s">
        <v>160</v>
      </c>
      <c r="J22" s="1" t="n">
        <v>3</v>
      </c>
      <c r="K22" s="1" t="str">
        <f aca="false">IF(J22=1,"-5",IF(OR(J22=2,J22=3),"-4",IF(OR(J22=4,J22=5),"-3",IF(OR(J22=6,J22=7),"-2",IF(OR(J22=8,J22=9),"-1",IF(OR(J22=10,J22=11),"0",IF(OR(J22=12,J22=13),"+1",IF(OR(J22=14,J22=15),"+2",IF(OR(J22=16,J22=17),"+3",IF(OR(J22=18,J22=19),"+4",IF(OR(J22=20,J22=21),"+5",IF(OR(J22=22,J22=23),"+6",IF(OR(J22=24,J22=25),"+7",IF(OR(J22=26,J22=27),"+8",IF(OR(J22=28,J22=29),"+9",IF(J22=30,"+10"," "))))))))))))))))</f>
        <v>-4</v>
      </c>
      <c r="L22" s="1" t="n">
        <v>8</v>
      </c>
      <c r="M22" s="1" t="str">
        <f aca="false">IF(L22=1,"-5",IF(OR(L22=2,L22=3),"-4",IF(OR(L22=4,L22=5),"-3",IF(OR(L22=6,L22=7),"-2",IF(OR(L22=8,L22=9),"-1",IF(OR(L22=10,L22=11),"0",IF(OR(L22=12,L22=13),"+1",IF(OR(L22=14,L22=15),"+2",IF(OR(L22=16,L22=17),"+3",IF(OR(L22=18,L22=19),"+4",IF(OR(L22=20,L22=21),"+5",IF(OR(L22=22,L22=23),"+6",IF(OR(L22=24,L22=25),"+7",IF(OR(L22=26,L22=27),"+8",IF(OR(L22=28,L22=29),"+9",IF(L22=30,"+10"," "))))))))))))))))</f>
        <v>-1</v>
      </c>
      <c r="N22" s="1" t="n">
        <v>11</v>
      </c>
      <c r="O22" s="1" t="str">
        <f aca="false">IF(N22=1,"-5",IF(OR(N22=2,N22=3),"-4",IF(OR(N22=4,N22=5),"-3",IF(OR(N22=6,N22=7),"-2",IF(OR(N22=8,N22=9),"-1",IF(OR(N22=10,N22=11),"0",IF(OR(N22=12,N22=13),"+1",IF(OR(N22=14,N22=15),"+2",IF(OR(N22=16,N22=17),"+3",IF(OR(N22=18,N22=19),"+4",IF(OR(N22=20,N22=21),"+5",IF(OR(N22=22,N22=23),"+6",IF(OR(N22=24,N22=25),"+7",IF(OR(N22=26,N22=27),"+8",IF(OR(N22=28,N22=29),"+9",IF(N22=30,"+10"," "))))))))))))))))</f>
        <v>0</v>
      </c>
      <c r="P22" s="1" t="n">
        <v>10</v>
      </c>
      <c r="Q22" s="1" t="str">
        <f aca="false">IF(P22=1,"-5",IF(OR(P22=2,P22=3),"-4",IF(OR(P22=4,P22=5),"-3",IF(OR(P22=6,P22=7),"-2",IF(OR(P22=8,P22=9),"-1",IF(OR(P22=10,P22=11),"0",IF(OR(P22=12,P22=13),"+1",IF(OR(P22=14,P22=15),"+2",IF(OR(P22=16,P22=17),"+3",IF(OR(P22=18,P22=19),"+4",IF(OR(P22=20,P22=21),"+5",IF(OR(P22=22,P22=23),"+6",IF(OR(P22=24,P22=25),"+7",IF(OR(P22=26,P22=27),"+8",IF(OR(P22=28,P22=29),"+9",IF(P22=30,"+10"," "))))))))))))))))</f>
        <v>0</v>
      </c>
      <c r="R22" s="1" t="n">
        <v>10</v>
      </c>
      <c r="S22" s="1" t="str">
        <f aca="false">IF(R22=1,"-5",IF(OR(R22=2,R22=3),"-4",IF(OR(R22=4,R22=5),"-3",IF(OR(R22=6,R22=7),"-2",IF(OR(R22=8,R22=9),"-1",IF(OR(R22=10,R22=11),"0",IF(OR(R22=12,R22=13),"+1",IF(OR(R22=14,R22=15),"+2",IF(OR(R22=16,R22=17),"+3",IF(OR(R22=18,R22=19),"+4",IF(OR(R22=20,R22=21),"+5",IF(OR(R22=22,R22=23),"+6",IF(OR(R22=24,R22=25),"+7",IF(OR(R22=26,R22=27),"+8",IF(OR(R22=28,R22=29),"+9",IF(R22=30,"+10"," "))))))))))))))))</f>
        <v>0</v>
      </c>
      <c r="T22" s="1" t="n">
        <v>6</v>
      </c>
      <c r="U22" s="1" t="str">
        <f aca="false">IF(T22=1,"-5",IF(OR(T22=2,T22=3),"-4",IF(OR(T22=4,T22=5),"-3",IF(OR(T22=6,T22=7),"-2",IF(OR(T22=8,T22=9),"-1",IF(OR(T22=10,T22=11),"0",IF(OR(T22=12,T22=13),"+1",IF(OR(T22=14,T22=15),"+2",IF(OR(T22=16,T22=17),"+3",IF(OR(T22=18,T22=19),"+4",IF(OR(T22=20,T22=21),"+5",IF(OR(T22=22,T22=23),"+6",IF(OR(T22=24,T22=25),"+7",IF(OR(T22=26,T22=27),"+8",IF(OR(T22=28,T22=29),"+9",IF(T22=30,"+10"," "))))))))))))))))</f>
        <v>-2</v>
      </c>
      <c r="V22" s="1"/>
      <c r="W22" s="1" t="s">
        <v>161</v>
      </c>
      <c r="X22" s="2" t="s">
        <v>167</v>
      </c>
      <c r="Y22" s="2" t="s">
        <v>168</v>
      </c>
      <c r="Z22" s="2"/>
    </row>
    <row r="23" customFormat="false" ht="16.4" hidden="false" customHeight="false" outlineLevel="0" collapsed="false">
      <c r="A23" s="4" t="s">
        <v>169</v>
      </c>
      <c r="B23" s="1" t="s">
        <v>170</v>
      </c>
      <c r="C23" s="1" t="s">
        <v>85</v>
      </c>
      <c r="D23" s="5" t="n">
        <v>12</v>
      </c>
      <c r="E23" s="6" t="n">
        <f aca="false">VLOOKUP(D23,'[1]REF Tables'!$A$2:$B$40,2)</f>
        <v>8400</v>
      </c>
      <c r="F23" s="1" t="s">
        <v>30</v>
      </c>
      <c r="G23" s="1" t="n">
        <v>17</v>
      </c>
      <c r="H23" s="1" t="s">
        <v>171</v>
      </c>
      <c r="I23" s="3" t="s">
        <v>172</v>
      </c>
      <c r="J23" s="1" t="n">
        <v>17</v>
      </c>
      <c r="K23" s="1" t="str">
        <f aca="false">IF(J23=1,"-5",IF(OR(J23=2,J23=3),"-4",IF(OR(J23=4,J23=5),"-3",IF(OR(J23=6,J23=7),"-2",IF(OR(J23=8,J23=9),"-1",IF(OR(J23=10,J23=11),"0",IF(OR(J23=12,J23=13),"+1",IF(OR(J23=14,J23=15),"+2",IF(OR(J23=16,J23=17),"+3",IF(OR(J23=18,J23=19),"+4",IF(OR(J23=20,J23=21),"+5",IF(OR(J23=22,J23=23),"+6",IF(OR(J23=24,J23=25),"+7",IF(OR(J23=26,J23=27),"+8",IF(OR(J23=28,J23=29),"+9",IF(J23=30,"+10"," "))))))))))))))))</f>
        <v>+3</v>
      </c>
      <c r="L23" s="1" t="n">
        <v>12</v>
      </c>
      <c r="M23" s="1" t="str">
        <f aca="false">IF(L23=1,"-5",IF(OR(L23=2,L23=3),"-4",IF(OR(L23=4,L23=5),"-3",IF(OR(L23=6,L23=7),"-2",IF(OR(L23=8,L23=9),"-1",IF(OR(L23=10,L23=11),"0",IF(OR(L23=12,L23=13),"+1",IF(OR(L23=14,L23=15),"+2",IF(OR(L23=16,L23=17),"+3",IF(OR(L23=18,L23=19),"+4",IF(OR(L23=20,L23=21),"+5",IF(OR(L23=22,L23=23),"+6",IF(OR(L23=24,L23=25),"+7",IF(OR(L23=26,L23=27),"+8",IF(OR(L23=28,L23=29),"+9",IF(L23=30,"+10"," "))))))))))))))))</f>
        <v>+1</v>
      </c>
      <c r="N23" s="1" t="n">
        <v>14</v>
      </c>
      <c r="O23" s="1" t="str">
        <f aca="false">IF(N23=1,"-5",IF(OR(N23=2,N23=3),"-4",IF(OR(N23=4,N23=5),"-3",IF(OR(N23=6,N23=7),"-2",IF(OR(N23=8,N23=9),"-1",IF(OR(N23=10,N23=11),"0",IF(OR(N23=12,N23=13),"+1",IF(OR(N23=14,N23=15),"+2",IF(OR(N23=16,N23=17),"+3",IF(OR(N23=18,N23=19),"+4",IF(OR(N23=20,N23=21),"+5",IF(OR(N23=22,N23=23),"+6",IF(OR(N23=24,N23=25),"+7",IF(OR(N23=26,N23=27),"+8",IF(OR(N23=28,N23=29),"+9",IF(N23=30,"+10"," "))))))))))))))))</f>
        <v>+2</v>
      </c>
      <c r="P23" s="1" t="n">
        <v>20</v>
      </c>
      <c r="Q23" s="1" t="str">
        <f aca="false">IF(P23=1,"-5",IF(OR(P23=2,P23=3),"-4",IF(OR(P23=4,P23=5),"-3",IF(OR(P23=6,P23=7),"-2",IF(OR(P23=8,P23=9),"-1",IF(OR(P23=10,P23=11),"0",IF(OR(P23=12,P23=13),"+1",IF(OR(P23=14,P23=15),"+2",IF(OR(P23=16,P23=17),"+3",IF(OR(P23=18,P23=19),"+4",IF(OR(P23=20,P23=21),"+5",IF(OR(P23=22,P23=23),"+6",IF(OR(P23=24,P23=25),"+7",IF(OR(P23=26,P23=27),"+8",IF(OR(P23=28,P23=29),"+9",IF(P23=30,"+10"," "))))))))))))))))</f>
        <v>+5</v>
      </c>
      <c r="R23" s="1" t="n">
        <v>16</v>
      </c>
      <c r="S23" s="1" t="str">
        <f aca="false">IF(R23=1,"-5",IF(OR(R23=2,R23=3),"-4",IF(OR(R23=4,R23=5),"-3",IF(OR(R23=6,R23=7),"-2",IF(OR(R23=8,R23=9),"-1",IF(OR(R23=10,R23=11),"0",IF(OR(R23=12,R23=13),"+1",IF(OR(R23=14,R23=15),"+2",IF(OR(R23=16,R23=17),"+3",IF(OR(R23=18,R23=19),"+4",IF(OR(R23=20,R23=21),"+5",IF(OR(R23=22,R23=23),"+6",IF(OR(R23=24,R23=25),"+7",IF(OR(R23=26,R23=27),"+8",IF(OR(R23=28,R23=29),"+9",IF(R23=30,"+10"," "))))))))))))))))</f>
        <v>+3</v>
      </c>
      <c r="T23" s="1" t="n">
        <v>17</v>
      </c>
      <c r="U23" s="1" t="str">
        <f aca="false">IF(T23=1,"-5",IF(OR(T23=2,T23=3),"-4",IF(OR(T23=4,T23=5),"-3",IF(OR(T23=6,T23=7),"-2",IF(OR(T23=8,T23=9),"-1",IF(OR(T23=10,T23=11),"0",IF(OR(T23=12,T23=13),"+1",IF(OR(T23=14,T23=15),"+2",IF(OR(T23=16,T23=17),"+3",IF(OR(T23=18,T23=19),"+4",IF(OR(T23=20,T23=21),"+5",IF(OR(T23=22,T23=23),"+6",IF(OR(T23=24,T23=25),"+7",IF(OR(T23=26,T23=27),"+8",IF(OR(T23=28,T23=29),"+9",IF(T23=30,"+10"," "))))))))))))))))</f>
        <v>+3</v>
      </c>
      <c r="V23" s="1" t="s">
        <v>173</v>
      </c>
      <c r="W23" s="1" t="s">
        <v>174</v>
      </c>
      <c r="X23" s="2" t="s">
        <v>175</v>
      </c>
      <c r="Y23" s="2" t="s">
        <v>176</v>
      </c>
      <c r="Z23" s="2" t="s">
        <v>37</v>
      </c>
      <c r="AA23" s="1" t="s">
        <v>37</v>
      </c>
    </row>
    <row r="24" customFormat="false" ht="16.4" hidden="false" customHeight="false" outlineLevel="0" collapsed="false">
      <c r="A24" s="4" t="s">
        <v>177</v>
      </c>
      <c r="B24" s="1" t="s">
        <v>39</v>
      </c>
      <c r="C24" s="1" t="s">
        <v>40</v>
      </c>
      <c r="D24" s="5" t="n">
        <v>3</v>
      </c>
      <c r="E24" s="3" t="n">
        <f aca="false">VLOOKUP(D24,'[1]REF Tables'!$A$2:$B$40,2)</f>
        <v>700</v>
      </c>
      <c r="F24" s="1" t="s">
        <v>30</v>
      </c>
      <c r="G24" s="1" t="n">
        <v>16</v>
      </c>
      <c r="H24" s="1" t="s">
        <v>178</v>
      </c>
      <c r="I24" s="3" t="s">
        <v>42</v>
      </c>
      <c r="J24" s="1" t="n">
        <v>11</v>
      </c>
      <c r="K24" s="1" t="str">
        <f aca="false">IF(J24=1,"-5",IF(OR(J24=2,J24=3),"-4",IF(OR(J24=4,J24=5),"-3",IF(OR(J24=6,J24=7),"-2",IF(OR(J24=8,J24=9),"-1",IF(OR(J24=10,J24=11),"0",IF(OR(J24=12,J24=13),"+1",IF(OR(J24=14,J24=15),"+2",IF(OR(J24=16,J24=17),"+3",IF(OR(J24=18,J24=19),"+4",IF(OR(J24=20,J24=21),"+5",IF(OR(J24=22,J24=23),"+6",IF(OR(J24=24,J24=25),"+7",IF(OR(J24=26,J24=27),"+8",IF(OR(J24=28,J24=29),"+9",IF(J24=30,"+10"," "))))))))))))))))</f>
        <v>0</v>
      </c>
      <c r="L24" s="1" t="n">
        <v>18</v>
      </c>
      <c r="M24" s="1" t="str">
        <f aca="false">IF(L24=1,"-5",IF(OR(L24=2,L24=3),"-4",IF(OR(L24=4,L24=5),"-3",IF(OR(L24=6,L24=7),"-2",IF(OR(L24=8,L24=9),"-1",IF(OR(L24=10,L24=11),"0",IF(OR(L24=12,L24=13),"+1",IF(OR(L24=14,L24=15),"+2",IF(OR(L24=16,L24=17),"+3",IF(OR(L24=18,L24=19),"+4",IF(OR(L24=20,L24=21),"+5",IF(OR(L24=22,L24=23),"+6",IF(OR(L24=24,L24=25),"+7",IF(OR(L24=26,L24=27),"+8",IF(OR(L24=28,L24=29),"+9",IF(L24=30,"+10"," "))))))))))))))))</f>
        <v>+4</v>
      </c>
      <c r="N24" s="1" t="n">
        <v>16</v>
      </c>
      <c r="O24" s="1" t="str">
        <f aca="false">IF(N24=1,"-5",IF(OR(N24=2,N24=3),"-4",IF(OR(N24=4,N24=5),"-3",IF(OR(N24=6,N24=7),"-2",IF(OR(N24=8,N24=9),"-1",IF(OR(N24=10,N24=11),"0",IF(OR(N24=12,N24=13),"+1",IF(OR(N24=14,N24=15),"+2",IF(OR(N24=16,N24=17),"+3",IF(OR(N24=18,N24=19),"+4",IF(OR(N24=20,N24=21),"+5",IF(OR(N24=22,N24=23),"+6",IF(OR(N24=24,N24=25),"+7",IF(OR(N24=26,N24=27),"+8",IF(OR(N24=28,N24=29),"+9",IF(N24=30,"+10"," "))))))))))))))))</f>
        <v>+3</v>
      </c>
      <c r="P24" s="1" t="n">
        <v>11</v>
      </c>
      <c r="Q24" s="1" t="str">
        <f aca="false">IF(P24=1,"-5",IF(OR(P24=2,P24=3),"-4",IF(OR(P24=4,P24=5),"-3",IF(OR(P24=6,P24=7),"-2",IF(OR(P24=8,P24=9),"-1",IF(OR(P24=10,P24=11),"0",IF(OR(P24=12,P24=13),"+1",IF(OR(P24=14,P24=15),"+2",IF(OR(P24=16,P24=17),"+3",IF(OR(P24=18,P24=19),"+4",IF(OR(P24=20,P24=21),"+5",IF(OR(P24=22,P24=23),"+6",IF(OR(P24=24,P24=25),"+7",IF(OR(P24=26,P24=27),"+8",IF(OR(P24=28,P24=29),"+9",IF(P24=30,"+10"," "))))))))))))))))</f>
        <v>0</v>
      </c>
      <c r="R24" s="1" t="n">
        <v>13</v>
      </c>
      <c r="S24" s="1" t="str">
        <f aca="false">IF(R24=1,"-5",IF(OR(R24=2,R24=3),"-4",IF(OR(R24=4,R24=5),"-3",IF(OR(R24=6,R24=7),"-2",IF(OR(R24=8,R24=9),"-1",IF(OR(R24=10,R24=11),"0",IF(OR(R24=12,R24=13),"+1",IF(OR(R24=14,R24=15),"+2",IF(OR(R24=16,R24=17),"+3",IF(OR(R24=18,R24=19),"+4",IF(OR(R24=20,R24=21),"+5",IF(OR(R24=22,R24=23),"+6",IF(OR(R24=24,R24=25),"+7",IF(OR(R24=26,R24=27),"+8",IF(OR(R24=28,R24=29),"+9",IF(R24=30,"+10"," "))))))))))))))))</f>
        <v>+1</v>
      </c>
      <c r="T24" s="1" t="n">
        <v>10</v>
      </c>
      <c r="U24" s="1" t="str">
        <f aca="false">IF(T24=1,"-5",IF(OR(T24=2,T24=3),"-4",IF(OR(T24=4,T24=5),"-3",IF(OR(T24=6,T24=7),"-2",IF(OR(T24=8,T24=9),"-1",IF(OR(T24=10,T24=11),"0",IF(OR(T24=12,T24=13),"+1",IF(OR(T24=14,T24=15),"+2",IF(OR(T24=16,T24=17),"+3",IF(OR(T24=18,T24=19),"+4",IF(OR(T24=20,T24=21),"+5",IF(OR(T24=22,T24=23),"+6",IF(OR(T24=24,T24=25),"+7",IF(OR(T24=26,T24=27),"+8",IF(OR(T24=28,T24=29),"+9",IF(T24=30,"+10"," "))))))))))))))))</f>
        <v>0</v>
      </c>
      <c r="V24" s="1" t="s">
        <v>179</v>
      </c>
      <c r="W24" s="1" t="s">
        <v>66</v>
      </c>
      <c r="X24" s="2" t="s">
        <v>180</v>
      </c>
      <c r="Y24" s="2" t="s">
        <v>181</v>
      </c>
      <c r="Z24" s="2" t="s">
        <v>37</v>
      </c>
      <c r="AA24" s="1" t="s">
        <v>37</v>
      </c>
    </row>
    <row r="25" customFormat="false" ht="16.4" hidden="false" customHeight="false" outlineLevel="0" collapsed="false">
      <c r="A25" s="7" t="s">
        <v>177</v>
      </c>
      <c r="B25" s="1" t="s">
        <v>39</v>
      </c>
      <c r="C25" s="1" t="s">
        <v>40</v>
      </c>
      <c r="D25" s="8" t="n">
        <v>3</v>
      </c>
      <c r="E25" s="10" t="n">
        <f aca="false">VLOOKUP(D25,'[1]REF Tables'!$A$2:$B$40,2)</f>
        <v>700</v>
      </c>
      <c r="F25" s="1" t="s">
        <v>30</v>
      </c>
      <c r="G25" s="10" t="n">
        <v>16</v>
      </c>
      <c r="H25" s="1" t="s">
        <v>178</v>
      </c>
      <c r="I25" s="1" t="s">
        <v>42</v>
      </c>
      <c r="J25" s="10" t="n">
        <v>11</v>
      </c>
      <c r="K25" s="1" t="str">
        <f aca="false">IF(J25=1,"-5",IF(OR(J25=2,J25=3),"-4",IF(OR(J25=4,J25=5),"-3",IF(OR(J25=6,J25=7),"-2",IF(OR(J25=8,J25=9),"-1",IF(OR(J25=10,J25=11),"0",IF(OR(J25=12,J25=13),"+1",IF(OR(J25=14,J25=15),"+2",IF(OR(J25=16,J25=17),"+3",IF(OR(J25=18,J25=19),"+4",IF(OR(J25=20,J25=21),"+5",IF(OR(J25=22,J25=23),"+6",IF(OR(J25=24,J25=25),"+7",IF(OR(J25=26,J25=27),"+8",IF(OR(J25=28,J25=29),"+9",IF(J25=30,"+10"," "))))))))))))))))</f>
        <v>0</v>
      </c>
      <c r="L25" s="10" t="n">
        <v>18</v>
      </c>
      <c r="M25" s="1" t="str">
        <f aca="false">IF(L25=1,"-5",IF(OR(L25=2,L25=3),"-4",IF(OR(L25=4,L25=5),"-3",IF(OR(L25=6,L25=7),"-2",IF(OR(L25=8,L25=9),"-1",IF(OR(L25=10,L25=11),"0",IF(OR(L25=12,L25=13),"+1",IF(OR(L25=14,L25=15),"+2",IF(OR(L25=16,L25=17),"+3",IF(OR(L25=18,L25=19),"+4",IF(OR(L25=20,L25=21),"+5",IF(OR(L25=22,L25=23),"+6",IF(OR(L25=24,L25=25),"+7",IF(OR(L25=26,L25=27),"+8",IF(OR(L25=28,L25=29),"+9",IF(L25=30,"+10"," "))))))))))))))))</f>
        <v>+4</v>
      </c>
      <c r="N25" s="10" t="n">
        <v>16</v>
      </c>
      <c r="O25" s="1" t="str">
        <f aca="false">IF(N25=1,"-5",IF(OR(N25=2,N25=3),"-4",IF(OR(N25=4,N25=5),"-3",IF(OR(N25=6,N25=7),"-2",IF(OR(N25=8,N25=9),"-1",IF(OR(N25=10,N25=11),"0",IF(OR(N25=12,N25=13),"+1",IF(OR(N25=14,N25=15),"+2",IF(OR(N25=16,N25=17),"+3",IF(OR(N25=18,N25=19),"+4",IF(OR(N25=20,N25=21),"+5",IF(OR(N25=22,N25=23),"+6",IF(OR(N25=24,N25=25),"+7",IF(OR(N25=26,N25=27),"+8",IF(OR(N25=28,N25=29),"+9",IF(N25=30,"+10"," "))))))))))))))))</f>
        <v>+3</v>
      </c>
      <c r="P25" s="10" t="n">
        <v>11</v>
      </c>
      <c r="Q25" s="1" t="str">
        <f aca="false">IF(P25=1,"-5",IF(OR(P25=2,P25=3),"-4",IF(OR(P25=4,P25=5),"-3",IF(OR(P25=6,P25=7),"-2",IF(OR(P25=8,P25=9),"-1",IF(OR(P25=10,P25=11),"0",IF(OR(P25=12,P25=13),"+1",IF(OR(P25=14,P25=15),"+2",IF(OR(P25=16,P25=17),"+3",IF(OR(P25=18,P25=19),"+4",IF(OR(P25=20,P25=21),"+5",IF(OR(P25=22,P25=23),"+6",IF(OR(P25=24,P25=25),"+7",IF(OR(P25=26,P25=27),"+8",IF(OR(P25=28,P25=29),"+9",IF(P25=30,"+10"," "))))))))))))))))</f>
        <v>0</v>
      </c>
      <c r="R25" s="10" t="n">
        <v>13</v>
      </c>
      <c r="S25" s="1" t="str">
        <f aca="false">IF(R25=1,"-5",IF(OR(R25=2,R25=3),"-4",IF(OR(R25=4,R25=5),"-3",IF(OR(R25=6,R25=7),"-2",IF(OR(R25=8,R25=9),"-1",IF(OR(R25=10,R25=11),"0",IF(OR(R25=12,R25=13),"+1",IF(OR(R25=14,R25=15),"+2",IF(OR(R25=16,R25=17),"+3",IF(OR(R25=18,R25=19),"+4",IF(OR(R25=20,R25=21),"+5",IF(OR(R25=22,R25=23),"+6",IF(OR(R25=24,R25=25),"+7",IF(OR(R25=26,R25=27),"+8",IF(OR(R25=28,R25=29),"+9",IF(R25=30,"+10"," "))))))))))))))))</f>
        <v>+1</v>
      </c>
      <c r="T25" s="10" t="n">
        <v>10</v>
      </c>
      <c r="U25" s="1" t="str">
        <f aca="false">IF(T25=1,"-5",IF(OR(T25=2,T25=3),"-4",IF(OR(T25=4,T25=5),"-3",IF(OR(T25=6,T25=7),"-2",IF(OR(T25=8,T25=9),"-1",IF(OR(T25=10,T25=11),"0",IF(OR(T25=12,T25=13),"+1",IF(OR(T25=14,T25=15),"+2",IF(OR(T25=16,T25=17),"+3",IF(OR(T25=18,T25=19),"+4",IF(OR(T25=20,T25=21),"+5",IF(OR(T25=22,T25=23),"+6",IF(OR(T25=24,T25=25),"+7",IF(OR(T25=26,T25=27),"+8",IF(OR(T25=28,T25=29),"+9",IF(T25=30,"+10"," "))))))))))))))))</f>
        <v>0</v>
      </c>
      <c r="V25" s="1" t="s">
        <v>179</v>
      </c>
      <c r="W25" s="1" t="s">
        <v>66</v>
      </c>
      <c r="X25" s="11" t="s">
        <v>182</v>
      </c>
      <c r="Y25" s="11" t="s">
        <v>183</v>
      </c>
      <c r="Z25" s="11" t="s">
        <v>37</v>
      </c>
      <c r="AA25" s="12" t="s">
        <v>37</v>
      </c>
      <c r="AB25" s="1"/>
      <c r="AC25" s="1"/>
      <c r="AD25" s="1"/>
      <c r="AE25" s="1"/>
      <c r="AF25" s="1"/>
    </row>
    <row r="26" customFormat="false" ht="16.4" hidden="false" customHeight="false" outlineLevel="0" collapsed="false">
      <c r="A26" s="4" t="s">
        <v>184</v>
      </c>
      <c r="B26" s="1" t="s">
        <v>39</v>
      </c>
      <c r="C26" s="1" t="s">
        <v>40</v>
      </c>
      <c r="D26" s="5" t="n">
        <v>12</v>
      </c>
      <c r="E26" s="6" t="n">
        <f aca="false">VLOOKUP(D26,'[1]REF Tables'!$A$2:$B$40,2)</f>
        <v>8400</v>
      </c>
      <c r="F26" s="1" t="s">
        <v>30</v>
      </c>
      <c r="G26" s="1" t="n">
        <v>16</v>
      </c>
      <c r="H26" s="1" t="s">
        <v>185</v>
      </c>
      <c r="I26" s="3" t="s">
        <v>42</v>
      </c>
      <c r="J26" s="1" t="n">
        <v>10</v>
      </c>
      <c r="K26" s="1" t="str">
        <f aca="false">IF(J26=1,"-5",IF(OR(J26=2,J26=3),"-4",IF(OR(J26=4,J26=5),"-3",IF(OR(J26=6,J26=7),"-2",IF(OR(J26=8,J26=9),"-1",IF(OR(J26=10,J26=11),"0",IF(OR(J26=12,J26=13),"+1",IF(OR(J26=14,J26=15),"+2",IF(OR(J26=16,J26=17),"+3",IF(OR(J26=18,J26=19),"+4",IF(OR(J26=20,J26=21),"+5",IF(OR(J26=22,J26=23),"+6",IF(OR(J26=24,J26=25),"+7",IF(OR(J26=26,J26=27),"+8",IF(OR(J26=28,J26=29),"+9",IF(J26=30,"+10"," "))))))))))))))))</f>
        <v>0</v>
      </c>
      <c r="L26" s="1" t="n">
        <v>14</v>
      </c>
      <c r="M26" s="1" t="str">
        <f aca="false">IF(L26=1,"-5",IF(OR(L26=2,L26=3),"-4",IF(OR(L26=4,L26=5),"-3",IF(OR(L26=6,L26=7),"-2",IF(OR(L26=8,L26=9),"-1",IF(OR(L26=10,L26=11),"0",IF(OR(L26=12,L26=13),"+1",IF(OR(L26=14,L26=15),"+2",IF(OR(L26=16,L26=17),"+3",IF(OR(L26=18,L26=19),"+4",IF(OR(L26=20,L26=21),"+5",IF(OR(L26=22,L26=23),"+6",IF(OR(L26=24,L26=25),"+7",IF(OR(L26=26,L26=27),"+8",IF(OR(L26=28,L26=29),"+9",IF(L26=30,"+10"," "))))))))))))))))</f>
        <v>+2</v>
      </c>
      <c r="N26" s="1" t="n">
        <v>12</v>
      </c>
      <c r="O26" s="1" t="str">
        <f aca="false">IF(N26=1,"-5",IF(OR(N26=2,N26=3),"-4",IF(OR(N26=4,N26=5),"-3",IF(OR(N26=6,N26=7),"-2",IF(OR(N26=8,N26=9),"-1",IF(OR(N26=10,N26=11),"0",IF(OR(N26=12,N26=13),"+1",IF(OR(N26=14,N26=15),"+2",IF(OR(N26=16,N26=17),"+3",IF(OR(N26=18,N26=19),"+4",IF(OR(N26=20,N26=21),"+5",IF(OR(N26=22,N26=23),"+6",IF(OR(N26=24,N26=25),"+7",IF(OR(N26=26,N26=27),"+8",IF(OR(N26=28,N26=29),"+9",IF(N26=30,"+10"," "))))))))))))))))</f>
        <v>+1</v>
      </c>
      <c r="P26" s="1" t="n">
        <v>12</v>
      </c>
      <c r="Q26" s="1" t="str">
        <f aca="false">IF(P26=1,"-5",IF(OR(P26=2,P26=3),"-4",IF(OR(P26=4,P26=5),"-3",IF(OR(P26=6,P26=7),"-2",IF(OR(P26=8,P26=9),"-1",IF(OR(P26=10,P26=11),"0",IF(OR(P26=12,P26=13),"+1",IF(OR(P26=14,P26=15),"+2",IF(OR(P26=16,P26=17),"+3",IF(OR(P26=18,P26=19),"+4",IF(OR(P26=20,P26=21),"+5",IF(OR(P26=22,P26=23),"+6",IF(OR(P26=24,P26=25),"+7",IF(OR(P26=26,P26=27),"+8",IF(OR(P26=28,P26=29),"+9",IF(P26=30,"+10"," "))))))))))))))))</f>
        <v>+1</v>
      </c>
      <c r="R26" s="1" t="n">
        <v>20</v>
      </c>
      <c r="S26" s="1" t="str">
        <f aca="false">IF(R26=1,"-5",IF(OR(R26=2,R26=3),"-4",IF(OR(R26=4,R26=5),"-3",IF(OR(R26=6,R26=7),"-2",IF(OR(R26=8,R26=9),"-1",IF(OR(R26=10,R26=11),"0",IF(OR(R26=12,R26=13),"+1",IF(OR(R26=14,R26=15),"+2",IF(OR(R26=16,R26=17),"+3",IF(OR(R26=18,R26=19),"+4",IF(OR(R26=20,R26=21),"+5",IF(OR(R26=22,R26=23),"+6",IF(OR(R26=24,R26=25),"+7",IF(OR(R26=26,R26=27),"+8",IF(OR(R26=28,R26=29),"+9",IF(R26=30,"+10"," "))))))))))))))))</f>
        <v>+5</v>
      </c>
      <c r="T26" s="1" t="n">
        <v>11</v>
      </c>
      <c r="U26" s="1" t="str">
        <f aca="false">IF(T26=1,"-5",IF(OR(T26=2,T26=3),"-4",IF(OR(T26=4,T26=5),"-3",IF(OR(T26=6,T26=7),"-2",IF(OR(T26=8,T26=9),"-1",IF(OR(T26=10,T26=11),"0",IF(OR(T26=12,T26=13),"+1",IF(OR(T26=14,T26=15),"+2",IF(OR(T26=16,T26=17),"+3",IF(OR(T26=18,T26=19),"+4",IF(OR(T26=20,T26=21),"+5",IF(OR(T26=22,T26=23),"+6",IF(OR(T26=24,T26=25),"+7",IF(OR(T26=26,T26=27),"+8",IF(OR(T26=28,T26=29),"+9",IF(T26=30,"+10"," "))))))))))))))))</f>
        <v>0</v>
      </c>
      <c r="V26" s="1" t="s">
        <v>186</v>
      </c>
      <c r="W26" s="1" t="s">
        <v>187</v>
      </c>
      <c r="X26" s="2" t="s">
        <v>188</v>
      </c>
      <c r="Y26" s="2" t="s">
        <v>189</v>
      </c>
      <c r="Z26" s="2" t="s">
        <v>37</v>
      </c>
      <c r="AA26" s="1" t="s">
        <v>37</v>
      </c>
    </row>
    <row r="27" customFormat="false" ht="16.4" hidden="false" customHeight="false" outlineLevel="0" collapsed="false">
      <c r="A27" s="4" t="s">
        <v>190</v>
      </c>
      <c r="B27" s="1" t="s">
        <v>39</v>
      </c>
      <c r="C27" s="1" t="s">
        <v>40</v>
      </c>
      <c r="D27" s="5" t="n">
        <v>12</v>
      </c>
      <c r="E27" s="6" t="n">
        <f aca="false">VLOOKUP(D27,'[1]REF Tables'!$A$2:$B$40,2)</f>
        <v>8400</v>
      </c>
      <c r="F27" s="1" t="s">
        <v>30</v>
      </c>
      <c r="G27" s="1" t="n">
        <v>12</v>
      </c>
      <c r="H27" s="1" t="s">
        <v>191</v>
      </c>
      <c r="I27" s="3" t="s">
        <v>42</v>
      </c>
      <c r="J27" s="1" t="n">
        <v>10</v>
      </c>
      <c r="K27" s="1" t="str">
        <f aca="false">IF(J27=1,"-5",IF(OR(J27=2,J27=3),"-4",IF(OR(J27=4,J27=5),"-3",IF(OR(J27=6,J27=7),"-2",IF(OR(J27=8,J27=9),"-1",IF(OR(J27=10,J27=11),"0",IF(OR(J27=12,J27=13),"+1",IF(OR(J27=14,J27=15),"+2",IF(OR(J27=16,J27=17),"+3",IF(OR(J27=18,J27=19),"+4",IF(OR(J27=20,J27=21),"+5",IF(OR(J27=22,J27=23),"+6",IF(OR(J27=24,J27=25),"+7",IF(OR(J27=26,J27=27),"+8",IF(OR(J27=28,J27=29),"+9",IF(J27=30,"+10"," "))))))))))))))))</f>
        <v>0</v>
      </c>
      <c r="L27" s="1" t="n">
        <v>14</v>
      </c>
      <c r="M27" s="1" t="str">
        <f aca="false">IF(L27=1,"-5",IF(OR(L27=2,L27=3),"-4",IF(OR(L27=4,L27=5),"-3",IF(OR(L27=6,L27=7),"-2",IF(OR(L27=8,L27=9),"-1",IF(OR(L27=10,L27=11),"0",IF(OR(L27=12,L27=13),"+1",IF(OR(L27=14,L27=15),"+2",IF(OR(L27=16,L27=17),"+3",IF(OR(L27=18,L27=19),"+4",IF(OR(L27=20,L27=21),"+5",IF(OR(L27=22,L27=23),"+6",IF(OR(L27=24,L27=25),"+7",IF(OR(L27=26,L27=27),"+8",IF(OR(L27=28,L27=29),"+9",IF(L27=30,"+10"," "))))))))))))))))</f>
        <v>+2</v>
      </c>
      <c r="N27" s="1" t="n">
        <v>12</v>
      </c>
      <c r="O27" s="1" t="str">
        <f aca="false">IF(N27=1,"-5",IF(OR(N27=2,N27=3),"-4",IF(OR(N27=4,N27=5),"-3",IF(OR(N27=6,N27=7),"-2",IF(OR(N27=8,N27=9),"-1",IF(OR(N27=10,N27=11),"0",IF(OR(N27=12,N27=13),"+1",IF(OR(N27=14,N27=15),"+2",IF(OR(N27=16,N27=17),"+3",IF(OR(N27=18,N27=19),"+4",IF(OR(N27=20,N27=21),"+5",IF(OR(N27=22,N27=23),"+6",IF(OR(N27=24,N27=25),"+7",IF(OR(N27=26,N27=27),"+8",IF(OR(N27=28,N27=29),"+9",IF(N27=30,"+10"," "))))))))))))))))</f>
        <v>+1</v>
      </c>
      <c r="P27" s="1" t="n">
        <v>20</v>
      </c>
      <c r="Q27" s="1" t="str">
        <f aca="false">IF(P27=1,"-5",IF(OR(P27=2,P27=3),"-4",IF(OR(P27=4,P27=5),"-3",IF(OR(P27=6,P27=7),"-2",IF(OR(P27=8,P27=9),"-1",IF(OR(P27=10,P27=11),"0",IF(OR(P27=12,P27=13),"+1",IF(OR(P27=14,P27=15),"+2",IF(OR(P27=16,P27=17),"+3",IF(OR(P27=18,P27=19),"+4",IF(OR(P27=20,P27=21),"+5",IF(OR(P27=22,P27=23),"+6",IF(OR(P27=24,P27=25),"+7",IF(OR(P27=26,P27=27),"+8",IF(OR(P27=28,P27=29),"+9",IF(P27=30,"+10"," "))))))))))))))))</f>
        <v>+5</v>
      </c>
      <c r="R27" s="1" t="n">
        <v>15</v>
      </c>
      <c r="S27" s="1" t="str">
        <f aca="false">IF(R27=1,"-5",IF(OR(R27=2,R27=3),"-4",IF(OR(R27=4,R27=5),"-3",IF(OR(R27=6,R27=7),"-2",IF(OR(R27=8,R27=9),"-1",IF(OR(R27=10,R27=11),"0",IF(OR(R27=12,R27=13),"+1",IF(OR(R27=14,R27=15),"+2",IF(OR(R27=16,R27=17),"+3",IF(OR(R27=18,R27=19),"+4",IF(OR(R27=20,R27=21),"+5",IF(OR(R27=22,R27=23),"+6",IF(OR(R27=24,R27=25),"+7",IF(OR(R27=26,R27=27),"+8",IF(OR(R27=28,R27=29),"+9",IF(R27=30,"+10"," "))))))))))))))))</f>
        <v>+2</v>
      </c>
      <c r="T27" s="1" t="n">
        <v>16</v>
      </c>
      <c r="U27" s="1" t="str">
        <f aca="false">IF(T27=1,"-5",IF(OR(T27=2,T27=3),"-4",IF(OR(T27=4,T27=5),"-3",IF(OR(T27=6,T27=7),"-2",IF(OR(T27=8,T27=9),"-1",IF(OR(T27=10,T27=11),"0",IF(OR(T27=12,T27=13),"+1",IF(OR(T27=14,T27=15),"+2",IF(OR(T27=16,T27=17),"+3",IF(OR(T27=18,T27=19),"+4",IF(OR(T27=20,T27=21),"+5",IF(OR(T27=22,T27=23),"+6",IF(OR(T27=24,T27=25),"+7",IF(OR(T27=26,T27=27),"+8",IF(OR(T27=28,T27=29),"+9",IF(T27=30,"+10"," "))))))))))))))))</f>
        <v>+3</v>
      </c>
      <c r="V27" s="1" t="s">
        <v>192</v>
      </c>
      <c r="W27" s="1" t="s">
        <v>193</v>
      </c>
      <c r="X27" s="2" t="s">
        <v>194</v>
      </c>
      <c r="Y27" s="2" t="s">
        <v>195</v>
      </c>
      <c r="Z27" s="2" t="s">
        <v>37</v>
      </c>
      <c r="AA27" s="1" t="s">
        <v>37</v>
      </c>
    </row>
    <row r="28" customFormat="false" ht="16.4" hidden="false" customHeight="false" outlineLevel="0" collapsed="false">
      <c r="A28" s="4" t="s">
        <v>196</v>
      </c>
      <c r="B28" s="1" t="s">
        <v>197</v>
      </c>
      <c r="C28" s="1" t="s">
        <v>37</v>
      </c>
      <c r="D28" s="5" t="n">
        <v>1</v>
      </c>
      <c r="E28" s="3" t="n">
        <f aca="false">VLOOKUP(D28,'[1]REF Tables'!$A$2:$B$40,2)</f>
        <v>200</v>
      </c>
      <c r="F28" s="1" t="s">
        <v>30</v>
      </c>
      <c r="G28" s="1" t="n">
        <v>18</v>
      </c>
      <c r="H28" s="1" t="s">
        <v>198</v>
      </c>
      <c r="I28" s="3" t="s">
        <v>199</v>
      </c>
      <c r="J28" s="1" t="n">
        <v>14</v>
      </c>
      <c r="K28" s="1" t="str">
        <f aca="false">IF(J28=1,"-5",IF(OR(J28=2,J28=3),"-4",IF(OR(J28=4,J28=5),"-3",IF(OR(J28=6,J28=7),"-2",IF(OR(J28=8,J28=9),"-1",IF(OR(J28=10,J28=11),"0",IF(OR(J28=12,J28=13),"+1",IF(OR(J28=14,J28=15),"+2",IF(OR(J28=16,J28=17),"+3",IF(OR(J28=18,J28=19),"+4",IF(OR(J28=20,J28=21),"+5",IF(OR(J28=22,J28=23),"+6",IF(OR(J28=24,J28=25),"+7",IF(OR(J28=26,J28=27),"+8",IF(OR(J28=28,J28=29),"+9",IF(J28=30,"+10"," "))))))))))))))))</f>
        <v>+2</v>
      </c>
      <c r="L28" s="1" t="n">
        <v>11</v>
      </c>
      <c r="M28" s="1" t="str">
        <f aca="false">IF(L28=1,"-5",IF(OR(L28=2,L28=3),"-4",IF(OR(L28=4,L28=5),"-3",IF(OR(L28=6,L28=7),"-2",IF(OR(L28=8,L28=9),"-1",IF(OR(L28=10,L28=11),"0",IF(OR(L28=12,L28=13),"+1",IF(OR(L28=14,L28=15),"+2",IF(OR(L28=16,L28=17),"+3",IF(OR(L28=18,L28=19),"+4",IF(OR(L28=20,L28=21),"+5",IF(OR(L28=22,L28=23),"+6",IF(OR(L28=24,L28=25),"+7",IF(OR(L28=26,L28=27),"+8",IF(OR(L28=28,L28=29),"+9",IF(L28=30,"+10"," "))))))))))))))))</f>
        <v>0</v>
      </c>
      <c r="N28" s="1" t="n">
        <v>13</v>
      </c>
      <c r="O28" s="1" t="str">
        <f aca="false">IF(N28=1,"-5",IF(OR(N28=2,N28=3),"-4",IF(OR(N28=4,N28=5),"-3",IF(OR(N28=6,N28=7),"-2",IF(OR(N28=8,N28=9),"-1",IF(OR(N28=10,N28=11),"0",IF(OR(N28=12,N28=13),"+1",IF(OR(N28=14,N28=15),"+2",IF(OR(N28=16,N28=17),"+3",IF(OR(N28=18,N28=19),"+4",IF(OR(N28=20,N28=21),"+5",IF(OR(N28=22,N28=23),"+6",IF(OR(N28=24,N28=25),"+7",IF(OR(N28=26,N28=27),"+8",IF(OR(N28=28,N28=29),"+9",IF(N28=30,"+10"," "))))))))))))))))</f>
        <v>+1</v>
      </c>
      <c r="P28" s="1" t="n">
        <v>1</v>
      </c>
      <c r="Q28" s="1" t="str">
        <f aca="false">IF(P28=1,"-5",IF(OR(P28=2,P28=3),"-4",IF(OR(P28=4,P28=5),"-3",IF(OR(P28=6,P28=7),"-2",IF(OR(P28=8,P28=9),"-1",IF(OR(P28=10,P28=11),"0",IF(OR(P28=12,P28=13),"+1",IF(OR(P28=14,P28=15),"+2",IF(OR(P28=16,P28=17),"+3",IF(OR(P28=18,P28=19),"+4",IF(OR(P28=20,P28=21),"+5",IF(OR(P28=22,P28=23),"+6",IF(OR(P28=24,P28=25),"+7",IF(OR(P28=26,P28=27),"+8",IF(OR(P28=28,P28=29),"+9",IF(P28=30,"+10"," "))))))))))))))))</f>
        <v>-5</v>
      </c>
      <c r="R28" s="1" t="n">
        <v>3</v>
      </c>
      <c r="S28" s="1" t="str">
        <f aca="false">IF(R28=1,"-5",IF(OR(R28=2,R28=3),"-4",IF(OR(R28=4,R28=5),"-3",IF(OR(R28=6,R28=7),"-2",IF(OR(R28=8,R28=9),"-1",IF(OR(R28=10,R28=11),"0",IF(OR(R28=12,R28=13),"+1",IF(OR(R28=14,R28=15),"+2",IF(OR(R28=16,R28=17),"+3",IF(OR(R28=18,R28=19),"+4",IF(OR(R28=20,R28=21),"+5",IF(OR(R28=22,R28=23),"+6",IF(OR(R28=24,R28=25),"+7",IF(OR(R28=26,R28=27),"+8",IF(OR(R28=28,R28=29),"+9",IF(R28=30,"+10"," "))))))))))))))))</f>
        <v>-4</v>
      </c>
      <c r="T28" s="1" t="n">
        <v>1</v>
      </c>
      <c r="U28" s="1" t="str">
        <f aca="false">IF(T28=1,"-5",IF(OR(T28=2,T28=3),"-4",IF(OR(T28=4,T28=5),"-3",IF(OR(T28=6,T28=7),"-2",IF(OR(T28=8,T28=9),"-1",IF(OR(T28=10,T28=11),"0",IF(OR(T28=12,T28=13),"+1",IF(OR(T28=14,T28=15),"+2",IF(OR(T28=16,T28=17),"+3",IF(OR(T28=18,T28=19),"+4",IF(OR(T28=20,T28=21),"+5",IF(OR(T28=22,T28=23),"+6",IF(OR(T28=24,T28=25),"+7",IF(OR(T28=26,T28=27),"+8",IF(OR(T28=28,T28=29),"+9",IF(T28=30,"+10"," "))))))))))))))))</f>
        <v>-5</v>
      </c>
      <c r="V28" s="1" t="s">
        <v>37</v>
      </c>
      <c r="W28" s="1" t="s">
        <v>37</v>
      </c>
      <c r="X28" s="2" t="s">
        <v>200</v>
      </c>
      <c r="Y28" s="2" t="s">
        <v>201</v>
      </c>
      <c r="Z28" s="2" t="s">
        <v>37</v>
      </c>
      <c r="AA28" s="1" t="s">
        <v>37</v>
      </c>
    </row>
    <row r="29" customFormat="false" ht="16.4" hidden="false" customHeight="false" outlineLevel="0" collapsed="false">
      <c r="A29" s="4" t="s">
        <v>202</v>
      </c>
      <c r="B29" s="1" t="s">
        <v>39</v>
      </c>
      <c r="C29" s="1" t="s">
        <v>203</v>
      </c>
      <c r="D29" s="5" t="n">
        <v>8</v>
      </c>
      <c r="E29" s="6" t="n">
        <f aca="false">VLOOKUP(D29,'[1]REF Tables'!$A$2:$B$40,2)</f>
        <v>3900</v>
      </c>
      <c r="F29" s="1" t="s">
        <v>30</v>
      </c>
      <c r="G29" s="1" t="n">
        <v>15</v>
      </c>
      <c r="H29" s="1" t="s">
        <v>204</v>
      </c>
      <c r="I29" s="3" t="s">
        <v>42</v>
      </c>
      <c r="J29" s="1" t="n">
        <v>11</v>
      </c>
      <c r="K29" s="1" t="str">
        <f aca="false">IF(J29=1,"-5",IF(OR(J29=2,J29=3),"-4",IF(OR(J29=4,J29=5),"-3",IF(OR(J29=6,J29=7),"-2",IF(OR(J29=8,J29=9),"-1",IF(OR(J29=10,J29=11),"0",IF(OR(J29=12,J29=13),"+1",IF(OR(J29=14,J29=15),"+2",IF(OR(J29=16,J29=17),"+3",IF(OR(J29=18,J29=19),"+4",IF(OR(J29=20,J29=21),"+5",IF(OR(J29=22,J29=23),"+6",IF(OR(J29=24,J29=25),"+7",IF(OR(J29=26,J29=27),"+8",IF(OR(J29=28,J29=29),"+9",IF(J29=30,"+10"," "))))))))))))))))</f>
        <v>0</v>
      </c>
      <c r="L29" s="1" t="n">
        <v>16</v>
      </c>
      <c r="M29" s="1" t="str">
        <f aca="false">IF(L29=1,"-5",IF(OR(L29=2,L29=3),"-4",IF(OR(L29=4,L29=5),"-3",IF(OR(L29=6,L29=7),"-2",IF(OR(L29=8,L29=9),"-1",IF(OR(L29=10,L29=11),"0",IF(OR(L29=12,L29=13),"+1",IF(OR(L29=14,L29=15),"+2",IF(OR(L29=16,L29=17),"+3",IF(OR(L29=18,L29=19),"+4",IF(OR(L29=20,L29=21),"+5",IF(OR(L29=22,L29=23),"+6",IF(OR(L29=24,L29=25),"+7",IF(OR(L29=26,L29=27),"+8",IF(OR(L29=28,L29=29),"+9",IF(L29=30,"+10"," "))))))))))))))))</f>
        <v>+3</v>
      </c>
      <c r="N29" s="1" t="n">
        <v>14</v>
      </c>
      <c r="O29" s="1" t="str">
        <f aca="false">IF(N29=1,"-5",IF(OR(N29=2,N29=3),"-4",IF(OR(N29=4,N29=5),"-3",IF(OR(N29=6,N29=7),"-2",IF(OR(N29=8,N29=9),"-1",IF(OR(N29=10,N29=11),"0",IF(OR(N29=12,N29=13),"+1",IF(OR(N29=14,N29=15),"+2",IF(OR(N29=16,N29=17),"+3",IF(OR(N29=18,N29=19),"+4",IF(OR(N29=20,N29=21),"+5",IF(OR(N29=22,N29=23),"+6",IF(OR(N29=24,N29=25),"+7",IF(OR(N29=26,N29=27),"+8",IF(OR(N29=28,N29=29),"+9",IF(N29=30,"+10"," "))))))))))))))))</f>
        <v>+2</v>
      </c>
      <c r="P29" s="1" t="n">
        <v>13</v>
      </c>
      <c r="Q29" s="1" t="str">
        <f aca="false">IF(P29=1,"-5",IF(OR(P29=2,P29=3),"-4",IF(OR(P29=4,P29=5),"-3",IF(OR(P29=6,P29=7),"-2",IF(OR(P29=8,P29=9),"-1",IF(OR(P29=10,P29=11),"0",IF(OR(P29=12,P29=13),"+1",IF(OR(P29=14,P29=15),"+2",IF(OR(P29=16,P29=17),"+3",IF(OR(P29=18,P29=19),"+4",IF(OR(P29=20,P29=21),"+5",IF(OR(P29=22,P29=23),"+6",IF(OR(P29=24,P29=25),"+7",IF(OR(P29=26,P29=27),"+8",IF(OR(P29=28,P29=29),"+9",IF(P29=30,"+10"," "))))))))))))))))</f>
        <v>+1</v>
      </c>
      <c r="R29" s="1" t="n">
        <v>11</v>
      </c>
      <c r="S29" s="1" t="str">
        <f aca="false">IF(R29=1,"-5",IF(OR(R29=2,R29=3),"-4",IF(OR(R29=4,R29=5),"-3",IF(OR(R29=6,R29=7),"-2",IF(OR(R29=8,R29=9),"-1",IF(OR(R29=10,R29=11),"0",IF(OR(R29=12,R29=13),"+1",IF(OR(R29=14,R29=15),"+2",IF(OR(R29=16,R29=17),"+3",IF(OR(R29=18,R29=19),"+4",IF(OR(R29=20,R29=21),"+5",IF(OR(R29=22,R29=23),"+6",IF(OR(R29=24,R29=25),"+7",IF(OR(R29=26,R29=27),"+8",IF(OR(R29=28,R29=29),"+9",IF(R29=30,"+10"," "))))))))))))))))</f>
        <v>0</v>
      </c>
      <c r="T29" s="1" t="n">
        <v>10</v>
      </c>
      <c r="U29" s="1" t="str">
        <f aca="false">IF(T29=1,"-5",IF(OR(T29=2,T29=3),"-4",IF(OR(T29=4,T29=5),"-3",IF(OR(T29=6,T29=7),"-2",IF(OR(T29=8,T29=9),"-1",IF(OR(T29=10,T29=11),"0",IF(OR(T29=12,T29=13),"+1",IF(OR(T29=14,T29=15),"+2",IF(OR(T29=16,T29=17),"+3",IF(OR(T29=18,T29=19),"+4",IF(OR(T29=20,T29=21),"+5",IF(OR(T29=22,T29=23),"+6",IF(OR(T29=24,T29=25),"+7",IF(OR(T29=26,T29=27),"+8",IF(OR(T29=28,T29=29),"+9",IF(T29=30,"+10"," "))))))))))))))))</f>
        <v>0</v>
      </c>
      <c r="V29" s="1" t="s">
        <v>205</v>
      </c>
      <c r="W29" s="1" t="s">
        <v>206</v>
      </c>
      <c r="X29" s="2" t="s">
        <v>207</v>
      </c>
      <c r="Y29" s="2" t="s">
        <v>37</v>
      </c>
      <c r="Z29" s="2" t="s">
        <v>37</v>
      </c>
      <c r="AA29" s="1" t="s">
        <v>37</v>
      </c>
    </row>
    <row r="30" customFormat="false" ht="16.4" hidden="false" customHeight="false" outlineLevel="0" collapsed="false">
      <c r="A30" s="4" t="s">
        <v>208</v>
      </c>
      <c r="B30" s="1" t="s">
        <v>59</v>
      </c>
      <c r="C30" s="1" t="s">
        <v>37</v>
      </c>
      <c r="D30" s="5" t="n">
        <v>2</v>
      </c>
      <c r="E30" s="3" t="n">
        <f aca="false">VLOOKUP(D30,'[1]REF Tables'!$A$2:$B$40,2)</f>
        <v>450</v>
      </c>
      <c r="F30" s="1" t="s">
        <v>50</v>
      </c>
      <c r="G30" s="1" t="n">
        <v>11</v>
      </c>
      <c r="H30" s="1" t="s">
        <v>209</v>
      </c>
      <c r="I30" s="3" t="s">
        <v>210</v>
      </c>
      <c r="J30" s="1" t="n">
        <v>20</v>
      </c>
      <c r="K30" s="1" t="str">
        <f aca="false">IF(J30=1,"-5",IF(OR(J30=2,J30=3),"-4",IF(OR(J30=4,J30=5),"-3",IF(OR(J30=6,J30=7),"-2",IF(OR(J30=8,J30=9),"-1",IF(OR(J30=10,J30=11),"0",IF(OR(J30=12,J30=13),"+1",IF(OR(J30=14,J30=15),"+2",IF(OR(J30=16,J30=17),"+3",IF(OR(J30=18,J30=19),"+4",IF(OR(J30=20,J30=21),"+5",IF(OR(J30=22,J30=23),"+6",IF(OR(J30=24,J30=25),"+7",IF(OR(J30=26,J30=27),"+8",IF(OR(J30=28,J30=29),"+9",IF(J30=30,"+10"," "))))))))))))))))</f>
        <v>+5</v>
      </c>
      <c r="L30" s="1" t="n">
        <v>10</v>
      </c>
      <c r="M30" s="1" t="str">
        <f aca="false">IF(L30=1,"-5",IF(OR(L30=2,L30=3),"-4",IF(OR(L30=4,L30=5),"-3",IF(OR(L30=6,L30=7),"-2",IF(OR(L30=8,L30=9),"-1",IF(OR(L30=10,L30=11),"0",IF(OR(L30=12,L30=13),"+1",IF(OR(L30=14,L30=15),"+2",IF(OR(L30=16,L30=17),"+3",IF(OR(L30=18,L30=19),"+4",IF(OR(L30=20,L30=21),"+5",IF(OR(L30=22,L30=23),"+6",IF(OR(L30=24,L30=25),"+7",IF(OR(L30=26,L30=27),"+8",IF(OR(L30=28,L30=29),"+9",IF(L30=30,"+10"," "))))))))))))))))</f>
        <v>0</v>
      </c>
      <c r="N30" s="1" t="n">
        <v>19</v>
      </c>
      <c r="O30" s="1" t="str">
        <f aca="false">IF(N30=1,"-5",IF(OR(N30=2,N30=3),"-4",IF(OR(N30=4,N30=5),"-3",IF(OR(N30=6,N30=7),"-2",IF(OR(N30=8,N30=9),"-1",IF(OR(N30=10,N30=11),"0",IF(OR(N30=12,N30=13),"+1",IF(OR(N30=14,N30=15),"+2",IF(OR(N30=16,N30=17),"+3",IF(OR(N30=18,N30=19),"+4",IF(OR(N30=20,N30=21),"+5",IF(OR(N30=22,N30=23),"+6",IF(OR(N30=24,N30=25),"+7",IF(OR(N30=26,N30=27),"+8",IF(OR(N30=28,N30=29),"+9",IF(N30=30,"+10"," "))))))))))))))))</f>
        <v>+4</v>
      </c>
      <c r="P30" s="1" t="n">
        <v>2</v>
      </c>
      <c r="Q30" s="1" t="str">
        <f aca="false">IF(P30=1,"-5",IF(OR(P30=2,P30=3),"-4",IF(OR(P30=4,P30=5),"-3",IF(OR(P30=6,P30=7),"-2",IF(OR(P30=8,P30=9),"-1",IF(OR(P30=10,P30=11),"0",IF(OR(P30=12,P30=13),"+1",IF(OR(P30=14,P30=15),"+2",IF(OR(P30=16,P30=17),"+3",IF(OR(P30=18,P30=19),"+4",IF(OR(P30=20,P30=21),"+5",IF(OR(P30=22,P30=23),"+6",IF(OR(P30=24,P30=25),"+7",IF(OR(P30=26,P30=27),"+8",IF(OR(P30=28,P30=29),"+9",IF(P30=30,"+10"," "))))))))))))))))</f>
        <v>-4</v>
      </c>
      <c r="R30" s="1" t="n">
        <v>12</v>
      </c>
      <c r="S30" s="1" t="str">
        <f aca="false">IF(R30=1,"-5",IF(OR(R30=2,R30=3),"-4",IF(OR(R30=4,R30=5),"-3",IF(OR(R30=6,R30=7),"-2",IF(OR(R30=8,R30=9),"-1",IF(OR(R30=10,R30=11),"0",IF(OR(R30=12,R30=13),"+1",IF(OR(R30=14,R30=15),"+2",IF(OR(R30=16,R30=17),"+3",IF(OR(R30=18,R30=19),"+4",IF(OR(R30=20,R30=21),"+5",IF(OR(R30=22,R30=23),"+6",IF(OR(R30=24,R30=25),"+7",IF(OR(R30=26,R30=27),"+8",IF(OR(R30=28,R30=29),"+9",IF(R30=30,"+10"," "))))))))))))))))</f>
        <v>+1</v>
      </c>
      <c r="T30" s="1" t="n">
        <v>5</v>
      </c>
      <c r="U30" s="1" t="str">
        <f aca="false">IF(T30=1,"-5",IF(OR(T30=2,T30=3),"-4",IF(OR(T30=4,T30=5),"-3",IF(OR(T30=6,T30=7),"-2",IF(OR(T30=8,T30=9),"-1",IF(OR(T30=10,T30=11),"0",IF(OR(T30=12,T30=13),"+1",IF(OR(T30=14,T30=15),"+2",IF(OR(T30=16,T30=17),"+3",IF(OR(T30=18,T30=19),"+4",IF(OR(T30=20,T30=21),"+5",IF(OR(T30=22,T30=23),"+6",IF(OR(T30=24,T30=25),"+7",IF(OR(T30=26,T30=27),"+8",IF(OR(T30=28,T30=29),"+9",IF(T30=30,"+10"," "))))))))))))))))</f>
        <v>-3</v>
      </c>
      <c r="V30" s="1" t="s">
        <v>37</v>
      </c>
      <c r="W30" s="1" t="s">
        <v>37</v>
      </c>
      <c r="X30" s="2" t="s">
        <v>211</v>
      </c>
      <c r="Y30" s="2" t="s">
        <v>212</v>
      </c>
      <c r="Z30" s="2" t="s">
        <v>37</v>
      </c>
      <c r="AA30" s="1" t="s">
        <v>37</v>
      </c>
    </row>
    <row r="31" customFormat="false" ht="16.4" hidden="false" customHeight="false" outlineLevel="0" collapsed="false">
      <c r="A31" s="4" t="s">
        <v>213</v>
      </c>
      <c r="B31" s="1" t="s">
        <v>214</v>
      </c>
      <c r="C31" s="1" t="s">
        <v>106</v>
      </c>
      <c r="D31" s="5" t="n">
        <v>2</v>
      </c>
      <c r="E31" s="3" t="n">
        <f aca="false">VLOOKUP(D31,'[1]REF Tables'!$A$2:$B$40,2)</f>
        <v>450</v>
      </c>
      <c r="F31" s="1" t="s">
        <v>30</v>
      </c>
      <c r="G31" s="1" t="n">
        <v>17</v>
      </c>
      <c r="H31" s="1" t="s">
        <v>215</v>
      </c>
      <c r="I31" s="3" t="s">
        <v>42</v>
      </c>
      <c r="J31" s="1" t="n">
        <v>17</v>
      </c>
      <c r="K31" s="1" t="str">
        <f aca="false">IF(J31=1,"-5",IF(OR(J31=2,J31=3),"-4",IF(OR(J31=4,J31=5),"-3",IF(OR(J31=6,J31=7),"-2",IF(OR(J31=8,J31=9),"-1",IF(OR(J31=10,J31=11),"0",IF(OR(J31=12,J31=13),"+1",IF(OR(J31=14,J31=15),"+2",IF(OR(J31=16,J31=17),"+3",IF(OR(J31=18,J31=19),"+4",IF(OR(J31=20,J31=21),"+5",IF(OR(J31=22,J31=23),"+6",IF(OR(J31=24,J31=25),"+7",IF(OR(J31=26,J31=27),"+8",IF(OR(J31=28,J31=29),"+9",IF(J31=30,"+10"," "))))))))))))))))</f>
        <v>+3</v>
      </c>
      <c r="L31" s="1" t="n">
        <v>12</v>
      </c>
      <c r="M31" s="1" t="str">
        <f aca="false">IF(L31=1,"-5",IF(OR(L31=2,L31=3),"-4",IF(OR(L31=4,L31=5),"-3",IF(OR(L31=6,L31=7),"-2",IF(OR(L31=8,L31=9),"-1",IF(OR(L31=10,L31=11),"0",IF(OR(L31=12,L31=13),"+1",IF(OR(L31=14,L31=15),"+2",IF(OR(L31=16,L31=17),"+3",IF(OR(L31=18,L31=19),"+4",IF(OR(L31=20,L31=21),"+5",IF(OR(L31=22,L31=23),"+6",IF(OR(L31=24,L31=25),"+7",IF(OR(L31=26,L31=27),"+8",IF(OR(L31=28,L31=29),"+9",IF(L31=30,"+10"," "))))))))))))))))</f>
        <v>+1</v>
      </c>
      <c r="N31" s="1" t="n">
        <v>15</v>
      </c>
      <c r="O31" s="1" t="str">
        <f aca="false">IF(N31=1,"-5",IF(OR(N31=2,N31=3),"-4",IF(OR(N31=4,N31=5),"-3",IF(OR(N31=6,N31=7),"-2",IF(OR(N31=8,N31=9),"-1",IF(OR(N31=10,N31=11),"0",IF(OR(N31=12,N31=13),"+1",IF(OR(N31=14,N31=15),"+2",IF(OR(N31=16,N31=17),"+3",IF(OR(N31=18,N31=19),"+4",IF(OR(N31=20,N31=21),"+5",IF(OR(N31=22,N31=23),"+6",IF(OR(N31=24,N31=25),"+7",IF(OR(N31=26,N31=27),"+8",IF(OR(N31=28,N31=29),"+9",IF(N31=30,"+10"," "))))))))))))))))</f>
        <v>+2</v>
      </c>
      <c r="P31" s="1" t="n">
        <v>12</v>
      </c>
      <c r="Q31" s="1" t="str">
        <f aca="false">IF(P31=1,"-5",IF(OR(P31=2,P31=3),"-4",IF(OR(P31=4,P31=5),"-3",IF(OR(P31=6,P31=7),"-2",IF(OR(P31=8,P31=9),"-1",IF(OR(P31=10,P31=11),"0",IF(OR(P31=12,P31=13),"+1",IF(OR(P31=14,P31=15),"+2",IF(OR(P31=16,P31=17),"+3",IF(OR(P31=18,P31=19),"+4",IF(OR(P31=20,P31=21),"+5",IF(OR(P31=22,P31=23),"+6",IF(OR(P31=24,P31=25),"+7",IF(OR(P31=26,P31=27),"+8",IF(OR(P31=28,P31=29),"+9",IF(P31=30,"+10"," "))))))))))))))))</f>
        <v>+1</v>
      </c>
      <c r="R31" s="1" t="n">
        <v>13</v>
      </c>
      <c r="S31" s="1" t="str">
        <f aca="false">IF(R31=1,"-5",IF(OR(R31=2,R31=3),"-4",IF(OR(R31=4,R31=5),"-3",IF(OR(R31=6,R31=7),"-2",IF(OR(R31=8,R31=9),"-1",IF(OR(R31=10,R31=11),"0",IF(OR(R31=12,R31=13),"+1",IF(OR(R31=14,R31=15),"+2",IF(OR(R31=16,R31=17),"+3",IF(OR(R31=18,R31=19),"+4",IF(OR(R31=20,R31=21),"+5",IF(OR(R31=22,R31=23),"+6",IF(OR(R31=24,R31=25),"+7",IF(OR(R31=26,R31=27),"+8",IF(OR(R31=28,R31=29),"+9",IF(R31=30,"+10"," "))))))))))))))))</f>
        <v>+1</v>
      </c>
      <c r="T31" s="1" t="n">
        <v>10</v>
      </c>
      <c r="U31" s="1" t="str">
        <f aca="false">IF(T31=1,"-5",IF(OR(T31=2,T31=3),"-4",IF(OR(T31=4,T31=5),"-3",IF(OR(T31=6,T31=7),"-2",IF(OR(T31=8,T31=9),"-1",IF(OR(T31=10,T31=11),"0",IF(OR(T31=12,T31=13),"+1",IF(OR(T31=14,T31=15),"+2",IF(OR(T31=16,T31=17),"+3",IF(OR(T31=18,T31=19),"+4",IF(OR(T31=20,T31=21),"+5",IF(OR(T31=22,T31=23),"+6",IF(OR(T31=24,T31=25),"+7",IF(OR(T31=26,T31=27),"+8",IF(OR(T31=28,T31=29),"+9",IF(T31=30,"+10"," "))))))))))))))))</f>
        <v>0</v>
      </c>
      <c r="V31" s="1" t="s">
        <v>216</v>
      </c>
      <c r="W31" s="1" t="s">
        <v>217</v>
      </c>
      <c r="X31" s="1" t="s">
        <v>218</v>
      </c>
      <c r="Y31" s="2" t="s">
        <v>219</v>
      </c>
      <c r="Z31" s="2" t="s">
        <v>37</v>
      </c>
      <c r="AA31" s="1" t="s">
        <v>37</v>
      </c>
    </row>
    <row r="32" customFormat="false" ht="16.4" hidden="false" customHeight="false" outlineLevel="0" collapsed="false">
      <c r="A32" s="14" t="s">
        <v>220</v>
      </c>
      <c r="B32" s="1" t="s">
        <v>221</v>
      </c>
      <c r="C32" s="1" t="s">
        <v>222</v>
      </c>
      <c r="D32" s="5" t="n">
        <v>4</v>
      </c>
      <c r="E32" s="6" t="n">
        <f aca="false">VLOOKUP(D32,'[1]REF Tables'!$A$2:$B$40,2)</f>
        <v>1100</v>
      </c>
      <c r="F32" s="1" t="s">
        <v>30</v>
      </c>
      <c r="G32" s="1" t="n">
        <v>16</v>
      </c>
      <c r="H32" s="1" t="s">
        <v>223</v>
      </c>
      <c r="I32" s="3" t="s">
        <v>224</v>
      </c>
      <c r="J32" s="1" t="n">
        <v>19</v>
      </c>
      <c r="K32" s="1" t="str">
        <f aca="false">IF(J32=1,"-5",IF(OR(J32=2,J32=3),"-4",IF(OR(J32=4,J32=5),"-3",IF(OR(J32=6,J32=7),"-2",IF(OR(J32=8,J32=9),"-1",IF(OR(J32=10,J32=11),"0",IF(OR(J32=12,J32=13),"+1",IF(OR(J32=14,J32=15),"+2",IF(OR(J32=16,J32=17),"+3",IF(OR(J32=18,J32=19),"+4",IF(OR(J32=20,J32=21),"+5",IF(OR(J32=22,J32=23),"+6",IF(OR(J32=24,J32=25),"+7",IF(OR(J32=26,J32=27),"+8",IF(OR(J32=28,J32=29),"+9",IF(J32=30,"+10"," "))))))))))))))))</f>
        <v>+4</v>
      </c>
      <c r="L32" s="1" t="n">
        <v>16</v>
      </c>
      <c r="M32" s="1" t="str">
        <f aca="false">IF(L32=1,"-5",IF(OR(L32=2,L32=3),"-4",IF(OR(L32=4,L32=5),"-3",IF(OR(L32=6,L32=7),"-2",IF(OR(L32=8,L32=9),"-1",IF(OR(L32=10,L32=11),"0",IF(OR(L32=12,L32=13),"+1",IF(OR(L32=14,L32=15),"+2",IF(OR(L32=16,L32=17),"+3",IF(OR(L32=18,L32=19),"+4",IF(OR(L32=20,L32=21),"+5",IF(OR(L32=22,L32=23),"+6",IF(OR(L32=24,L32=25),"+7",IF(OR(L32=26,L32=27),"+8",IF(OR(L32=28,L32=29),"+9",IF(L32=30,"+10"," "))))))))))))))))</f>
        <v>+3</v>
      </c>
      <c r="N32" s="1" t="n">
        <v>16</v>
      </c>
      <c r="O32" s="1" t="str">
        <f aca="false">IF(N32=1,"-5",IF(OR(N32=2,N32=3),"-4",IF(OR(N32=4,N32=5),"-3",IF(OR(N32=6,N32=7),"-2",IF(OR(N32=8,N32=9),"-1",IF(OR(N32=10,N32=11),"0",IF(OR(N32=12,N32=13),"+1",IF(OR(N32=14,N32=15),"+2",IF(OR(N32=16,N32=17),"+3",IF(OR(N32=18,N32=19),"+4",IF(OR(N32=20,N32=21),"+5",IF(OR(N32=22,N32=23),"+6",IF(OR(N32=24,N32=25),"+7",IF(OR(N32=26,N32=27),"+8",IF(OR(N32=28,N32=29),"+9",IF(N32=30,"+10"," "))))))))))))))))</f>
        <v>+3</v>
      </c>
      <c r="P32" s="1" t="n">
        <v>11</v>
      </c>
      <c r="Q32" s="1" t="str">
        <f aca="false">IF(P32=1,"-5",IF(OR(P32=2,P32=3),"-4",IF(OR(P32=4,P32=5),"-3",IF(OR(P32=6,P32=7),"-2",IF(OR(P32=8,P32=9),"-1",IF(OR(P32=10,P32=11),"0",IF(OR(P32=12,P32=13),"+1",IF(OR(P32=14,P32=15),"+2",IF(OR(P32=16,P32=17),"+3",IF(OR(P32=18,P32=19),"+4",IF(OR(P32=20,P32=21),"+5",IF(OR(P32=22,P32=23),"+6",IF(OR(P32=24,P32=25),"+7",IF(OR(P32=26,P32=27),"+8",IF(OR(P32=28,P32=29),"+9",IF(P32=30,"+10"," "))))))))))))))))</f>
        <v>0</v>
      </c>
      <c r="R32" s="1" t="n">
        <v>12</v>
      </c>
      <c r="S32" s="1" t="str">
        <f aca="false">IF(R32=1,"-5",IF(OR(R32=2,R32=3),"-4",IF(OR(R32=4,R32=5),"-3",IF(OR(R32=6,R32=7),"-2",IF(OR(R32=8,R32=9),"-1",IF(OR(R32=10,R32=11),"0",IF(OR(R32=12,R32=13),"+1",IF(OR(R32=14,R32=15),"+2",IF(OR(R32=16,R32=17),"+3",IF(OR(R32=18,R32=19),"+4",IF(OR(R32=20,R32=21),"+5",IF(OR(R32=22,R32=23),"+6",IF(OR(R32=24,R32=25),"+7",IF(OR(R32=26,R32=27),"+8",IF(OR(R32=28,R32=29),"+9",IF(R32=30,"+10"," "))))))))))))))))</f>
        <v>+1</v>
      </c>
      <c r="T32" s="1" t="n">
        <v>13</v>
      </c>
      <c r="U32" s="1" t="str">
        <f aca="false">IF(T32=1,"-5",IF(OR(T32=2,T32=3),"-4",IF(OR(T32=4,T32=5),"-3",IF(OR(T32=6,T32=7),"-2",IF(OR(T32=8,T32=9),"-1",IF(OR(T32=10,T32=11),"0",IF(OR(T32=12,T32=13),"+1",IF(OR(T32=14,T32=15),"+2",IF(OR(T32=16,T32=17),"+3",IF(OR(T32=18,T32=19),"+4",IF(OR(T32=20,T32=21),"+5",IF(OR(T32=22,T32=23),"+6",IF(OR(T32=24,T32=25),"+7",IF(OR(T32=26,T32=27),"+8",IF(OR(T32=28,T32=29),"+9",IF(T32=30,"+10"," "))))))))))))))))</f>
        <v>+1</v>
      </c>
      <c r="V32" s="1" t="s">
        <v>225</v>
      </c>
      <c r="W32" s="1" t="s">
        <v>226</v>
      </c>
      <c r="X32" s="2" t="s">
        <v>227</v>
      </c>
      <c r="Y32" s="2" t="s">
        <v>228</v>
      </c>
      <c r="Z32" s="2" t="s">
        <v>37</v>
      </c>
      <c r="AA32" s="1" t="s">
        <v>37</v>
      </c>
    </row>
    <row r="33" customFormat="false" ht="16.4" hidden="false" customHeight="false" outlineLevel="0" collapsed="false">
      <c r="A33" s="14" t="s">
        <v>229</v>
      </c>
      <c r="B33" s="1" t="s">
        <v>48</v>
      </c>
      <c r="C33" s="1" t="s">
        <v>230</v>
      </c>
      <c r="D33" s="5" t="n">
        <v>2</v>
      </c>
      <c r="E33" s="3" t="n">
        <f aca="false">VLOOKUP(D33,'[1]REF Tables'!$A$2:$B$40,2)</f>
        <v>450</v>
      </c>
      <c r="F33" s="1" t="s">
        <v>30</v>
      </c>
      <c r="G33" s="1" t="n">
        <v>9</v>
      </c>
      <c r="H33" s="1" t="s">
        <v>98</v>
      </c>
      <c r="I33" s="3" t="s">
        <v>231</v>
      </c>
      <c r="J33" s="1" t="n">
        <v>10</v>
      </c>
      <c r="K33" s="1" t="str">
        <f aca="false">IF(J33=1,"-5",IF(OR(J33=2,J33=3),"-4",IF(OR(J33=4,J33=5),"-3",IF(OR(J33=6,J33=7),"-2",IF(OR(J33=8,J33=9),"-1",IF(OR(J33=10,J33=11),"0",IF(OR(J33=12,J33=13),"+1",IF(OR(J33=14,J33=15),"+2",IF(OR(J33=16,J33=17),"+3",IF(OR(J33=18,J33=19),"+4",IF(OR(J33=20,J33=21),"+5",IF(OR(J33=22,J33=23),"+6",IF(OR(J33=24,J33=25),"+7",IF(OR(J33=26,J33=27),"+8",IF(OR(J33=28,J33=29),"+9",IF(J33=30,"+10"," "))))))))))))))))</f>
        <v>0</v>
      </c>
      <c r="L33" s="1" t="n">
        <v>8</v>
      </c>
      <c r="M33" s="1" t="str">
        <f aca="false">IF(L33=1,"-5",IF(OR(L33=2,L33=3),"-4",IF(OR(L33=4,L33=5),"-3",IF(OR(L33=6,L33=7),"-2",IF(OR(L33=8,L33=9),"-1",IF(OR(L33=10,L33=11),"0",IF(OR(L33=12,L33=13),"+1",IF(OR(L33=14,L33=15),"+2",IF(OR(L33=16,L33=17),"+3",IF(OR(L33=18,L33=19),"+4",IF(OR(L33=20,L33=21),"+5",IF(OR(L33=22,L33=23),"+6",IF(OR(L33=24,L33=25),"+7",IF(OR(L33=26,L33=27),"+8",IF(OR(L33=28,L33=29),"+9",IF(L33=30,"+10"," "))))))))))))))))</f>
        <v>-1</v>
      </c>
      <c r="N33" s="1" t="n">
        <v>16</v>
      </c>
      <c r="O33" s="1" t="str">
        <f aca="false">IF(N33=1,"-5",IF(OR(N33=2,N33=3),"-4",IF(OR(N33=4,N33=5),"-3",IF(OR(N33=6,N33=7),"-2",IF(OR(N33=8,N33=9),"-1",IF(OR(N33=10,N33=11),"0",IF(OR(N33=12,N33=13),"+1",IF(OR(N33=14,N33=15),"+2",IF(OR(N33=16,N33=17),"+3",IF(OR(N33=18,N33=19),"+4",IF(OR(N33=20,N33=21),"+5",IF(OR(N33=22,N33=23),"+6",IF(OR(N33=24,N33=25),"+7",IF(OR(N33=26,N33=27),"+8",IF(OR(N33=28,N33=29),"+9",IF(N33=30,"+10"," "))))))))))))))))</f>
        <v>+3</v>
      </c>
      <c r="P33" s="1" t="n">
        <v>3</v>
      </c>
      <c r="Q33" s="1" t="str">
        <f aca="false">IF(P33=1,"-5",IF(OR(P33=2,P33=3),"-4",IF(OR(P33=4,P33=5),"-3",IF(OR(P33=6,P33=7),"-2",IF(OR(P33=8,P33=9),"-1",IF(OR(P33=10,P33=11),"0",IF(OR(P33=12,P33=13),"+1",IF(OR(P33=14,P33=15),"+2",IF(OR(P33=16,P33=17),"+3",IF(OR(P33=18,P33=19),"+4",IF(OR(P33=20,P33=21),"+5",IF(OR(P33=22,P33=23),"+6",IF(OR(P33=24,P33=25),"+7",IF(OR(P33=26,P33=27),"+8",IF(OR(P33=28,P33=29),"+9",IF(P33=30,"+10"," "))))))))))))))))</f>
        <v>-4</v>
      </c>
      <c r="R33" s="1" t="n">
        <v>10</v>
      </c>
      <c r="S33" s="1" t="str">
        <f aca="false">IF(R33=1,"-5",IF(OR(R33=2,R33=3),"-4",IF(OR(R33=4,R33=5),"-3",IF(OR(R33=6,R33=7),"-2",IF(OR(R33=8,R33=9),"-1",IF(OR(R33=10,R33=11),"0",IF(OR(R33=12,R33=13),"+1",IF(OR(R33=14,R33=15),"+2",IF(OR(R33=16,R33=17),"+3",IF(OR(R33=18,R33=19),"+4",IF(OR(R33=20,R33=21),"+5",IF(OR(R33=22,R33=23),"+6",IF(OR(R33=24,R33=25),"+7",IF(OR(R33=26,R33=27),"+8",IF(OR(R33=28,R33=29),"+9",IF(R33=30,"+10"," "))))))))))))))))</f>
        <v>0</v>
      </c>
      <c r="T33" s="1" t="n">
        <v>6</v>
      </c>
      <c r="U33" s="1" t="str">
        <f aca="false">IF(T33=1,"-5",IF(OR(T33=2,T33=3),"-4",IF(OR(T33=4,T33=5),"-3",IF(OR(T33=6,T33=7),"-2",IF(OR(T33=8,T33=9),"-1",IF(OR(T33=10,T33=11),"0",IF(OR(T33=12,T33=13),"+1",IF(OR(T33=14,T33=15),"+2",IF(OR(T33=16,T33=17),"+3",IF(OR(T33=18,T33=19),"+4",IF(OR(T33=20,T33=21),"+5",IF(OR(T33=22,T33=23),"+6",IF(OR(T33=24,T33=25),"+7",IF(OR(T33=26,T33=27),"+8",IF(OR(T33=28,T33=29),"+9",IF(T33=30,"+10"," "))))))))))))))))</f>
        <v>-2</v>
      </c>
      <c r="V33" s="1" t="s">
        <v>37</v>
      </c>
      <c r="W33" s="1" t="s">
        <v>37</v>
      </c>
      <c r="X33" s="2" t="s">
        <v>232</v>
      </c>
      <c r="Y33" s="2" t="s">
        <v>233</v>
      </c>
      <c r="Z33" s="2" t="s">
        <v>37</v>
      </c>
      <c r="AA33" s="1" t="s">
        <v>37</v>
      </c>
    </row>
    <row r="34" customFormat="false" ht="16.4" hidden="false" customHeight="false" outlineLevel="0" collapsed="false">
      <c r="A34" s="14" t="s">
        <v>234</v>
      </c>
      <c r="B34" s="1" t="s">
        <v>59</v>
      </c>
      <c r="C34" s="1" t="s">
        <v>37</v>
      </c>
      <c r="D34" s="5" t="n">
        <v>0</v>
      </c>
      <c r="E34" s="3" t="n">
        <f aca="false">VLOOKUP(D34,'[1]REF Tables'!$A$2:$B$40,2)</f>
        <v>10</v>
      </c>
      <c r="F34" s="1" t="s">
        <v>165</v>
      </c>
      <c r="G34" s="1" t="n">
        <v>12</v>
      </c>
      <c r="H34" s="1" t="s">
        <v>235</v>
      </c>
      <c r="I34" s="3" t="s">
        <v>131</v>
      </c>
      <c r="J34" s="1" t="n">
        <v>8</v>
      </c>
      <c r="K34" s="1" t="str">
        <f aca="false">IF(J34=1,"-5",IF(OR(J34=2,J34=3),"-4",IF(OR(J34=4,J34=5),"-3",IF(OR(J34=6,J34=7),"-2",IF(OR(J34=8,J34=9),"-1",IF(OR(J34=10,J34=11),"0",IF(OR(J34=12,J34=13),"+1",IF(OR(J34=14,J34=15),"+2",IF(OR(J34=16,J34=17),"+3",IF(OR(J34=18,J34=19),"+4",IF(OR(J34=20,J34=21),"+5",IF(OR(J34=22,J34=23),"+6",IF(OR(J34=24,J34=25),"+7",IF(OR(J34=26,J34=27),"+8",IF(OR(J34=28,J34=29),"+9",IF(J34=30,"+10"," "))))))))))))))))</f>
        <v>-1</v>
      </c>
      <c r="L34" s="1" t="n">
        <v>14</v>
      </c>
      <c r="M34" s="1" t="str">
        <f aca="false">IF(L34=1,"-5",IF(OR(L34=2,L34=3),"-4",IF(OR(L34=4,L34=5),"-3",IF(OR(L34=6,L34=7),"-2",IF(OR(L34=8,L34=9),"-1",IF(OR(L34=10,L34=11),"0",IF(OR(L34=12,L34=13),"+1",IF(OR(L34=14,L34=15),"+2",IF(OR(L34=16,L34=17),"+3",IF(OR(L34=18,L34=19),"+4",IF(OR(L34=20,L34=21),"+5",IF(OR(L34=22,L34=23),"+6",IF(OR(L34=24,L34=25),"+7",IF(OR(L34=26,L34=27),"+8",IF(OR(L34=28,L34=29),"+9",IF(L34=30,"+10"," "))))))))))))))))</f>
        <v>+2</v>
      </c>
      <c r="N34" s="1" t="n">
        <v>11</v>
      </c>
      <c r="O34" s="1" t="str">
        <f aca="false">IF(N34=1,"-5",IF(OR(N34=2,N34=3),"-4",IF(OR(N34=4,N34=5),"-3",IF(OR(N34=6,N34=7),"-2",IF(OR(N34=8,N34=9),"-1",IF(OR(N34=10,N34=11),"0",IF(OR(N34=12,N34=13),"+1",IF(OR(N34=14,N34=15),"+2",IF(OR(N34=16,N34=17),"+3",IF(OR(N34=18,N34=19),"+4",IF(OR(N34=20,N34=21),"+5",IF(OR(N34=22,N34=23),"+6",IF(OR(N34=24,N34=25),"+7",IF(OR(N34=26,N34=27),"+8",IF(OR(N34=28,N34=29),"+9",IF(N34=30,"+10"," "))))))))))))))))</f>
        <v>0</v>
      </c>
      <c r="P34" s="1" t="n">
        <v>4</v>
      </c>
      <c r="Q34" s="1" t="str">
        <f aca="false">IF(P34=1,"-5",IF(OR(P34=2,P34=3),"-4",IF(OR(P34=4,P34=5),"-3",IF(OR(P34=6,P34=7),"-2",IF(OR(P34=8,P34=9),"-1",IF(OR(P34=10,P34=11),"0",IF(OR(P34=12,P34=13),"+1",IF(OR(P34=14,P34=15),"+2",IF(OR(P34=16,P34=17),"+3",IF(OR(P34=18,P34=19),"+4",IF(OR(P34=20,P34=21),"+5",IF(OR(P34=22,P34=23),"+6",IF(OR(P34=24,P34=25),"+7",IF(OR(P34=26,P34=27),"+8",IF(OR(P34=28,P34=29),"+9",IF(P34=30,"+10"," "))))))))))))))))</f>
        <v>-3</v>
      </c>
      <c r="R34" s="1" t="n">
        <v>12</v>
      </c>
      <c r="S34" s="1" t="str">
        <f aca="false">IF(R34=1,"-5",IF(OR(R34=2,R34=3),"-4",IF(OR(R34=4,R34=5),"-3",IF(OR(R34=6,R34=7),"-2",IF(OR(R34=8,R34=9),"-1",IF(OR(R34=10,R34=11),"0",IF(OR(R34=12,R34=13),"+1",IF(OR(R34=14,R34=15),"+2",IF(OR(R34=16,R34=17),"+3",IF(OR(R34=18,R34=19),"+4",IF(OR(R34=20,R34=21),"+5",IF(OR(R34=22,R34=23),"+6",IF(OR(R34=24,R34=25),"+7",IF(OR(R34=26,R34=27),"+8",IF(OR(R34=28,R34=29),"+9",IF(R34=30,"+10"," "))))))))))))))))</f>
        <v>+1</v>
      </c>
      <c r="T34" s="1" t="n">
        <v>6</v>
      </c>
      <c r="U34" s="1" t="str">
        <f aca="false">IF(T34=1,"-5",IF(OR(T34=2,T34=3),"-4",IF(OR(T34=4,T34=5),"-3",IF(OR(T34=6,T34=7),"-2",IF(OR(T34=8,T34=9),"-1",IF(OR(T34=10,T34=11),"0",IF(OR(T34=12,T34=13),"+1",IF(OR(T34=14,T34=15),"+2",IF(OR(T34=16,T34=17),"+3",IF(OR(T34=18,T34=19),"+4",IF(OR(T34=20,T34=21),"+5",IF(OR(T34=22,T34=23),"+6",IF(OR(T34=24,T34=25),"+7",IF(OR(T34=26,T34=27),"+8",IF(OR(T34=28,T34=29),"+9",IF(T34=30,"+10"," "))))))))))))))))</f>
        <v>-2</v>
      </c>
      <c r="V34" s="1" t="s">
        <v>37</v>
      </c>
      <c r="W34" s="1" t="s">
        <v>37</v>
      </c>
      <c r="X34" s="1" t="s">
        <v>236</v>
      </c>
      <c r="Y34" s="2" t="s">
        <v>237</v>
      </c>
      <c r="Z34" s="2" t="s">
        <v>37</v>
      </c>
      <c r="AA34" s="1" t="s">
        <v>37</v>
      </c>
    </row>
    <row r="35" customFormat="false" ht="16.4" hidden="false" customHeight="false" outlineLevel="0" collapsed="false">
      <c r="A35" s="14" t="s">
        <v>238</v>
      </c>
      <c r="B35" s="1" t="s">
        <v>48</v>
      </c>
      <c r="C35" s="1" t="s">
        <v>85</v>
      </c>
      <c r="D35" s="5" t="n">
        <v>10</v>
      </c>
      <c r="E35" s="6" t="n">
        <f aca="false">VLOOKUP(D35,'[1]REF Tables'!$A$2:$B$40,2)</f>
        <v>5900</v>
      </c>
      <c r="F35" s="1" t="s">
        <v>50</v>
      </c>
      <c r="G35" s="1" t="n">
        <v>16</v>
      </c>
      <c r="H35" s="1" t="s">
        <v>239</v>
      </c>
      <c r="I35" s="3" t="s">
        <v>240</v>
      </c>
      <c r="J35" s="1" t="n">
        <v>18</v>
      </c>
      <c r="K35" s="1" t="str">
        <f aca="false">IF(J35=1,"-5",IF(OR(J35=2,J35=3),"-4",IF(OR(J35=4,J35=5),"-3",IF(OR(J35=6,J35=7),"-2",IF(OR(J35=8,J35=9),"-1",IF(OR(J35=10,J35=11),"0",IF(OR(J35=12,J35=13),"+1",IF(OR(J35=14,J35=15),"+2",IF(OR(J35=16,J35=17),"+3",IF(OR(J35=18,J35=19),"+4",IF(OR(J35=20,J35=21),"+5",IF(OR(J35=22,J35=23),"+6",IF(OR(J35=24,J35=25),"+7",IF(OR(J35=26,J35=27),"+8",IF(OR(J35=28,J35=29),"+9",IF(J35=30,"+10"," "))))))))))))))))</f>
        <v>+4</v>
      </c>
      <c r="L35" s="1" t="n">
        <v>14</v>
      </c>
      <c r="M35" s="1" t="str">
        <f aca="false">IF(L35=1,"-5",IF(OR(L35=2,L35=3),"-4",IF(OR(L35=4,L35=5),"-3",IF(OR(L35=6,L35=7),"-2",IF(OR(L35=8,L35=9),"-1",IF(OR(L35=10,L35=11),"0",IF(OR(L35=12,L35=13),"+1",IF(OR(L35=14,L35=15),"+2",IF(OR(L35=16,L35=17),"+3",IF(OR(L35=18,L35=19),"+4",IF(OR(L35=20,L35=21),"+5",IF(OR(L35=22,L35=23),"+6",IF(OR(L35=24,L35=25),"+7",IF(OR(L35=26,L35=27),"+8",IF(OR(L35=28,L35=29),"+9",IF(L35=30,"+10"," "))))))))))))))))</f>
        <v>+2</v>
      </c>
      <c r="N35" s="1" t="n">
        <v>18</v>
      </c>
      <c r="O35" s="1" t="str">
        <f aca="false">IF(N35=1,"-5",IF(OR(N35=2,N35=3),"-4",IF(OR(N35=4,N35=5),"-3",IF(OR(N35=6,N35=7),"-2",IF(OR(N35=8,N35=9),"-1",IF(OR(N35=10,N35=11),"0",IF(OR(N35=12,N35=13),"+1",IF(OR(N35=14,N35=15),"+2",IF(OR(N35=16,N35=17),"+3",IF(OR(N35=18,N35=19),"+4",IF(OR(N35=20,N35=21),"+5",IF(OR(N35=22,N35=23),"+6",IF(OR(N35=24,N35=25),"+7",IF(OR(N35=26,N35=27),"+8",IF(OR(N35=28,N35=29),"+9",IF(N35=30,"+10"," "))))))))))))))))</f>
        <v>+4</v>
      </c>
      <c r="P35" s="1" t="n">
        <v>10</v>
      </c>
      <c r="Q35" s="1" t="str">
        <f aca="false">IF(P35=1,"-5",IF(OR(P35=2,P35=3),"-4",IF(OR(P35=4,P35=5),"-3",IF(OR(P35=6,P35=7),"-2",IF(OR(P35=8,P35=9),"-1",IF(OR(P35=10,P35=11),"0",IF(OR(P35=12,P35=13),"+1",IF(OR(P35=14,P35=15),"+2",IF(OR(P35=16,P35=17),"+3",IF(OR(P35=18,P35=19),"+4",IF(OR(P35=20,P35=21),"+5",IF(OR(P35=22,P35=23),"+6",IF(OR(P35=24,P35=25),"+7",IF(OR(P35=26,P35=27),"+8",IF(OR(P35=28,P35=29),"+9",IF(P35=30,"+10"," "))))))))))))))))</f>
        <v>0</v>
      </c>
      <c r="R35" s="1" t="n">
        <v>12</v>
      </c>
      <c r="S35" s="1" t="str">
        <f aca="false">IF(R35=1,"-5",IF(OR(R35=2,R35=3),"-4",IF(OR(R35=4,R35=5),"-3",IF(OR(R35=6,R35=7),"-2",IF(OR(R35=8,R35=9),"-1",IF(OR(R35=10,R35=11),"0",IF(OR(R35=12,R35=13),"+1",IF(OR(R35=14,R35=15),"+2",IF(OR(R35=16,R35=17),"+3",IF(OR(R35=18,R35=19),"+4",IF(OR(R35=20,R35=21),"+5",IF(OR(R35=22,R35=23),"+6",IF(OR(R35=24,R35=25),"+7",IF(OR(R35=26,R35=27),"+8",IF(OR(R35=28,R35=29),"+9",IF(R35=30,"+10"," "))))))))))))))))</f>
        <v>+1</v>
      </c>
      <c r="T35" s="1" t="n">
        <v>10</v>
      </c>
      <c r="U35" s="1" t="str">
        <f aca="false">IF(T35=1,"-5",IF(OR(T35=2,T35=3),"-4",IF(OR(T35=4,T35=5),"-3",IF(OR(T35=6,T35=7),"-2",IF(OR(T35=8,T35=9),"-1",IF(OR(T35=10,T35=11),"0",IF(OR(T35=12,T35=13),"+1",IF(OR(T35=14,T35=15),"+2",IF(OR(T35=16,T35=17),"+3",IF(OR(T35=18,T35=19),"+4",IF(OR(T35=20,T35=21),"+5",IF(OR(T35=22,T35=23),"+6",IF(OR(T35=24,T35=25),"+7",IF(OR(T35=26,T35=27),"+8",IF(OR(T35=28,T35=29),"+9",IF(T35=30,"+10"," "))))))))))))))))</f>
        <v>0</v>
      </c>
      <c r="V35" s="1" t="s">
        <v>241</v>
      </c>
      <c r="W35" s="1" t="s">
        <v>242</v>
      </c>
      <c r="X35" s="2" t="s">
        <v>243</v>
      </c>
      <c r="Y35" s="2" t="s">
        <v>244</v>
      </c>
      <c r="Z35" s="2" t="s">
        <v>37</v>
      </c>
      <c r="AA35" s="1" t="s">
        <v>37</v>
      </c>
    </row>
    <row r="36" customFormat="false" ht="16.4" hidden="false" customHeight="false" outlineLevel="0" collapsed="false">
      <c r="A36" s="14" t="s">
        <v>245</v>
      </c>
      <c r="B36" s="1" t="s">
        <v>221</v>
      </c>
      <c r="C36" s="1" t="s">
        <v>222</v>
      </c>
      <c r="D36" s="5" t="n">
        <v>19</v>
      </c>
      <c r="E36" s="6" t="n">
        <f aca="false">VLOOKUP(D36,'[1]REF Tables'!$A$2:$B$40,2)</f>
        <v>22000</v>
      </c>
      <c r="F36" s="1" t="s">
        <v>121</v>
      </c>
      <c r="G36" s="1" t="n">
        <v>19</v>
      </c>
      <c r="H36" s="1" t="s">
        <v>246</v>
      </c>
      <c r="I36" s="3" t="s">
        <v>247</v>
      </c>
      <c r="J36" s="1" t="n">
        <v>26</v>
      </c>
      <c r="K36" s="1" t="str">
        <f aca="false">IF(J36=1,"-5",IF(OR(J36=2,J36=3),"-4",IF(OR(J36=4,J36=5),"-3",IF(OR(J36=6,J36=7),"-2",IF(OR(J36=8,J36=9),"-1",IF(OR(J36=10,J36=11),"0",IF(OR(J36=12,J36=13),"+1",IF(OR(J36=14,J36=15),"+2",IF(OR(J36=16,J36=17),"+3",IF(OR(J36=18,J36=19),"+4",IF(OR(J36=20,J36=21),"+5",IF(OR(J36=22,J36=23),"+6",IF(OR(J36=24,J36=25),"+7",IF(OR(J36=26,J36=27),"+8",IF(OR(J36=28,J36=29),"+9",IF(J36=30,"+10"," "))))))))))))))))</f>
        <v>+8</v>
      </c>
      <c r="L36" s="1" t="n">
        <v>15</v>
      </c>
      <c r="M36" s="1" t="str">
        <f aca="false">IF(L36=1,"-5",IF(OR(L36=2,L36=3),"-4",IF(OR(L36=4,L36=5),"-3",IF(OR(L36=6,L36=7),"-2",IF(OR(L36=8,L36=9),"-1",IF(OR(L36=10,L36=11),"0",IF(OR(L36=12,L36=13),"+1",IF(OR(L36=14,L36=15),"+2",IF(OR(L36=16,L36=17),"+3",IF(OR(L36=18,L36=19),"+4",IF(OR(L36=20,L36=21),"+5",IF(OR(L36=22,L36=23),"+6",IF(OR(L36=24,L36=25),"+7",IF(OR(L36=26,L36=27),"+8",IF(OR(L36=28,L36=29),"+9",IF(L36=30,"+10"," "))))))))))))))))</f>
        <v>+2</v>
      </c>
      <c r="N36" s="1" t="n">
        <v>22</v>
      </c>
      <c r="O36" s="1" t="str">
        <f aca="false">IF(N36=1,"-5",IF(OR(N36=2,N36=3),"-4",IF(OR(N36=4,N36=5),"-3",IF(OR(N36=6,N36=7),"-2",IF(OR(N36=8,N36=9),"-1",IF(OR(N36=10,N36=11),"0",IF(OR(N36=12,N36=13),"+1",IF(OR(N36=14,N36=15),"+2",IF(OR(N36=16,N36=17),"+3",IF(OR(N36=18,N36=19),"+4",IF(OR(N36=20,N36=21),"+5",IF(OR(N36=22,N36=23),"+6",IF(OR(N36=24,N36=25),"+7",IF(OR(N36=26,N36=27),"+8",IF(OR(N36=28,N36=29),"+9",IF(N36=30,"+10"," "))))))))))))))))</f>
        <v>+6</v>
      </c>
      <c r="P36" s="1" t="n">
        <v>20</v>
      </c>
      <c r="Q36" s="1" t="str">
        <f aca="false">IF(P36=1,"-5",IF(OR(P36=2,P36=3),"-4",IF(OR(P36=4,P36=5),"-3",IF(OR(P36=6,P36=7),"-2",IF(OR(P36=8,P36=9),"-1",IF(OR(P36=10,P36=11),"0",IF(OR(P36=12,P36=13),"+1",IF(OR(P36=14,P36=15),"+2",IF(OR(P36=16,P36=17),"+3",IF(OR(P36=18,P36=19),"+4",IF(OR(P36=20,P36=21),"+5",IF(OR(P36=22,P36=23),"+6",IF(OR(P36=24,P36=25),"+7",IF(OR(P36=26,P36=27),"+8",IF(OR(P36=28,P36=29),"+9",IF(P36=30,"+10"," "))))))))))))))))</f>
        <v>+5</v>
      </c>
      <c r="R36" s="1" t="n">
        <v>16</v>
      </c>
      <c r="S36" s="1" t="str">
        <f aca="false">IF(R36=1,"-5",IF(OR(R36=2,R36=3),"-4",IF(OR(R36=4,R36=5),"-3",IF(OR(R36=6,R36=7),"-2",IF(OR(R36=8,R36=9),"-1",IF(OR(R36=10,R36=11),"0",IF(OR(R36=12,R36=13),"+1",IF(OR(R36=14,R36=15),"+2",IF(OR(R36=16,R36=17),"+3",IF(OR(R36=18,R36=19),"+4",IF(OR(R36=20,R36=21),"+5",IF(OR(R36=22,R36=23),"+6",IF(OR(R36=24,R36=25),"+7",IF(OR(R36=26,R36=27),"+8",IF(OR(R36=28,R36=29),"+9",IF(R36=30,"+10"," "))))))))))))))))</f>
        <v>+3</v>
      </c>
      <c r="T36" s="1" t="n">
        <v>22</v>
      </c>
      <c r="U36" s="1" t="str">
        <f aca="false">IF(T36=1,"-5",IF(OR(T36=2,T36=3),"-4",IF(OR(T36=4,T36=5),"-3",IF(OR(T36=6,T36=7),"-2",IF(OR(T36=8,T36=9),"-1",IF(OR(T36=10,T36=11),"0",IF(OR(T36=12,T36=13),"+1",IF(OR(T36=14,T36=15),"+2",IF(OR(T36=16,T36=17),"+3",IF(OR(T36=18,T36=19),"+4",IF(OR(T36=20,T36=21),"+5",IF(OR(T36=22,T36=23),"+6",IF(OR(T36=24,T36=25),"+7",IF(OR(T36=26,T36=27),"+8",IF(OR(T36=28,T36=29),"+9",IF(T36=30,"+10"," "))))))))))))))))</f>
        <v>+6</v>
      </c>
      <c r="V36" s="1" t="s">
        <v>248</v>
      </c>
      <c r="W36" s="1" t="s">
        <v>249</v>
      </c>
      <c r="X36" s="2" t="s">
        <v>250</v>
      </c>
      <c r="Y36" s="2" t="s">
        <v>251</v>
      </c>
      <c r="Z36" s="2" t="s">
        <v>37</v>
      </c>
      <c r="AA36" s="1" t="s">
        <v>37</v>
      </c>
    </row>
    <row r="37" customFormat="false" ht="16.4" hidden="false" customHeight="false" outlineLevel="0" collapsed="false">
      <c r="A37" s="14" t="s">
        <v>252</v>
      </c>
      <c r="B37" s="1" t="s">
        <v>105</v>
      </c>
      <c r="C37" s="1" t="s">
        <v>85</v>
      </c>
      <c r="D37" s="5" t="n">
        <v>5</v>
      </c>
      <c r="E37" s="6" t="n">
        <f aca="false">VLOOKUP(D37,'[1]REF Tables'!$A$2:$B$40,2)</f>
        <v>1800</v>
      </c>
      <c r="F37" s="1" t="s">
        <v>50</v>
      </c>
      <c r="G37" s="1" t="n">
        <v>15</v>
      </c>
      <c r="H37" s="1" t="s">
        <v>253</v>
      </c>
      <c r="I37" s="3" t="s">
        <v>42</v>
      </c>
      <c r="J37" s="1" t="n">
        <v>20</v>
      </c>
      <c r="K37" s="1" t="str">
        <f aca="false">IF(J37=1,"-5",IF(OR(J37=2,J37=3),"-4",IF(OR(J37=4,J37=5),"-3",IF(OR(J37=6,J37=7),"-2",IF(OR(J37=8,J37=9),"-1",IF(OR(J37=10,J37=11),"0",IF(OR(J37=12,J37=13),"+1",IF(OR(J37=14,J37=15),"+2",IF(OR(J37=16,J37=17),"+3",IF(OR(J37=18,J37=19),"+4",IF(OR(J37=20,J37=21),"+5",IF(OR(J37=22,J37=23),"+6",IF(OR(J37=24,J37=25),"+7",IF(OR(J37=26,J37=27),"+8",IF(OR(J37=28,J37=29),"+9",IF(J37=30,"+10"," "))))))))))))))))</f>
        <v>+5</v>
      </c>
      <c r="L37" s="1" t="n">
        <v>12</v>
      </c>
      <c r="M37" s="1" t="str">
        <f aca="false">IF(L37=1,"-5",IF(OR(L37=2,L37=3),"-4",IF(OR(L37=4,L37=5),"-3",IF(OR(L37=6,L37=7),"-2",IF(OR(L37=8,L37=9),"-1",IF(OR(L37=10,L37=11),"0",IF(OR(L37=12,L37=13),"+1",IF(OR(L37=14,L37=15),"+2",IF(OR(L37=16,L37=17),"+3",IF(OR(L37=18,L37=19),"+4",IF(OR(L37=20,L37=21),"+5",IF(OR(L37=22,L37=23),"+6",IF(OR(L37=24,L37=25),"+7",IF(OR(L37=26,L37=27),"+8",IF(OR(L37=28,L37=29),"+9",IF(L37=30,"+10"," "))))))))))))))))</f>
        <v>+1</v>
      </c>
      <c r="N37" s="1" t="n">
        <v>20</v>
      </c>
      <c r="O37" s="1" t="str">
        <f aca="false">IF(N37=1,"-5",IF(OR(N37=2,N37=3),"-4",IF(OR(N37=4,N37=5),"-3",IF(OR(N37=6,N37=7),"-2",IF(OR(N37=8,N37=9),"-1",IF(OR(N37=10,N37=11),"0",IF(OR(N37=12,N37=13),"+1",IF(OR(N37=14,N37=15),"+2",IF(OR(N37=16,N37=17),"+3",IF(OR(N37=18,N37=19),"+4",IF(OR(N37=20,N37=21),"+5",IF(OR(N37=22,N37=23),"+6",IF(OR(N37=24,N37=25),"+7",IF(OR(N37=26,N37=27),"+8",IF(OR(N37=28,N37=29),"+9",IF(N37=30,"+10"," "))))))))))))))))</f>
        <v>+5</v>
      </c>
      <c r="P37" s="1" t="n">
        <v>11</v>
      </c>
      <c r="Q37" s="1" t="str">
        <f aca="false">IF(P37=1,"-5",IF(OR(P37=2,P37=3),"-4",IF(OR(P37=4,P37=5),"-3",IF(OR(P37=6,P37=7),"-2",IF(OR(P37=8,P37=9),"-1",IF(OR(P37=10,P37=11),"0",IF(OR(P37=12,P37=13),"+1",IF(OR(P37=14,P37=15),"+2",IF(OR(P37=16,P37=17),"+3",IF(OR(P37=18,P37=19),"+4",IF(OR(P37=20,P37=21),"+5",IF(OR(P37=22,P37=23),"+6",IF(OR(P37=24,P37=25),"+7",IF(OR(P37=26,P37=27),"+8",IF(OR(P37=28,P37=29),"+9",IF(P37=30,"+10"," "))))))))))))))))</f>
        <v>0</v>
      </c>
      <c r="R37" s="1" t="n">
        <v>14</v>
      </c>
      <c r="S37" s="1" t="str">
        <f aca="false">IF(R37=1,"-5",IF(OR(R37=2,R37=3),"-4",IF(OR(R37=4,R37=5),"-3",IF(OR(R37=6,R37=7),"-2",IF(OR(R37=8,R37=9),"-1",IF(OR(R37=10,R37=11),"0",IF(OR(R37=12,R37=13),"+1",IF(OR(R37=14,R37=15),"+2",IF(OR(R37=16,R37=17),"+3",IF(OR(R37=18,R37=19),"+4",IF(OR(R37=20,R37=21),"+5",IF(OR(R37=22,R37=23),"+6",IF(OR(R37=24,R37=25),"+7",IF(OR(R37=26,R37=27),"+8",IF(OR(R37=28,R37=29),"+9",IF(R37=30,"+10"," "))))))))))))))))</f>
        <v>+2</v>
      </c>
      <c r="T37" s="1" t="n">
        <v>8</v>
      </c>
      <c r="U37" s="1" t="str">
        <f aca="false">IF(T37=1,"-5",IF(OR(T37=2,T37=3),"-4",IF(OR(T37=4,T37=5),"-3",IF(OR(T37=6,T37=7),"-2",IF(OR(T37=8,T37=9),"-1",IF(OR(T37=10,T37=11),"0",IF(OR(T37=12,T37=13),"+1",IF(OR(T37=14,T37=15),"+2",IF(OR(T37=16,T37=17),"+3",IF(OR(T37=18,T37=19),"+4",IF(OR(T37=20,T37=21),"+5",IF(OR(T37=22,T37=23),"+6",IF(OR(T37=24,T37=25),"+7",IF(OR(T37=26,T37=27),"+8",IF(OR(T37=28,T37=29),"+9",IF(T37=30,"+10"," "))))))))))))))))</f>
        <v>-1</v>
      </c>
      <c r="V37" s="1" t="s">
        <v>254</v>
      </c>
      <c r="W37" s="1" t="s">
        <v>255</v>
      </c>
      <c r="X37" s="2" t="s">
        <v>256</v>
      </c>
      <c r="Y37" s="2" t="s">
        <v>257</v>
      </c>
      <c r="Z37" s="2" t="s">
        <v>37</v>
      </c>
      <c r="AA37" s="1" t="s">
        <v>37</v>
      </c>
    </row>
    <row r="38" customFormat="false" ht="16.4" hidden="false" customHeight="false" outlineLevel="0" collapsed="false">
      <c r="A38" s="4" t="s">
        <v>258</v>
      </c>
      <c r="B38" s="1" t="s">
        <v>39</v>
      </c>
      <c r="C38" s="1" t="s">
        <v>259</v>
      </c>
      <c r="D38" s="5" t="n">
        <v>0.125</v>
      </c>
      <c r="E38" s="3" t="n">
        <f aca="false">VLOOKUP(D38,'[1]REF Tables'!$A$2:$B$40,2)</f>
        <v>25</v>
      </c>
      <c r="F38" s="1" t="s">
        <v>30</v>
      </c>
      <c r="G38" s="1" t="n">
        <v>12</v>
      </c>
      <c r="H38" s="1" t="s">
        <v>152</v>
      </c>
      <c r="I38" s="3" t="s">
        <v>42</v>
      </c>
      <c r="J38" s="1" t="n">
        <v>11</v>
      </c>
      <c r="K38" s="1" t="str">
        <f aca="false">IF(J38=1,"-5",IF(OR(J38=2,J38=3),"-4",IF(OR(J38=4,J38=5),"-3",IF(OR(J38=6,J38=7),"-2",IF(OR(J38=8,J38=9),"-1",IF(OR(J38=10,J38=11),"0",IF(OR(J38=12,J38=13),"+1",IF(OR(J38=14,J38=15),"+2",IF(OR(J38=16,J38=17),"+3",IF(OR(J38=18,J38=19),"+4",IF(OR(J38=20,J38=21),"+5",IF(OR(J38=22,J38=23),"+6",IF(OR(J38=24,J38=25),"+7",IF(OR(J38=26,J38=27),"+8",IF(OR(J38=28,J38=29),"+9",IF(J38=30,"+10"," "))))))))))))))))</f>
        <v>0</v>
      </c>
      <c r="L38" s="1" t="n">
        <v>12</v>
      </c>
      <c r="M38" s="1" t="str">
        <f aca="false">IF(L38=1,"-5",IF(OR(L38=2,L38=3),"-4",IF(OR(L38=4,L38=5),"-3",IF(OR(L38=6,L38=7),"-2",IF(OR(L38=8,L38=9),"-1",IF(OR(L38=10,L38=11),"0",IF(OR(L38=12,L38=13),"+1",IF(OR(L38=14,L38=15),"+2",IF(OR(L38=16,L38=17),"+3",IF(OR(L38=18,L38=19),"+4",IF(OR(L38=20,L38=21),"+5",IF(OR(L38=22,L38=23),"+6",IF(OR(L38=24,L38=25),"+7",IF(OR(L38=26,L38=27),"+8",IF(OR(L38=28,L38=29),"+9",IF(L38=30,"+10"," "))))))))))))))))</f>
        <v>+1</v>
      </c>
      <c r="N38" s="1" t="n">
        <v>12</v>
      </c>
      <c r="O38" s="1" t="str">
        <f aca="false">IF(N38=1,"-5",IF(OR(N38=2,N38=3),"-4",IF(OR(N38=4,N38=5),"-3",IF(OR(N38=6,N38=7),"-2",IF(OR(N38=8,N38=9),"-1",IF(OR(N38=10,N38=11),"0",IF(OR(N38=12,N38=13),"+1",IF(OR(N38=14,N38=15),"+2",IF(OR(N38=16,N38=17),"+3",IF(OR(N38=18,N38=19),"+4",IF(OR(N38=20,N38=21),"+5",IF(OR(N38=22,N38=23),"+6",IF(OR(N38=24,N38=25),"+7",IF(OR(N38=26,N38=27),"+8",IF(OR(N38=28,N38=29),"+9",IF(N38=30,"+10"," "))))))))))))))))</f>
        <v>+1</v>
      </c>
      <c r="P38" s="1" t="n">
        <v>10</v>
      </c>
      <c r="Q38" s="1" t="str">
        <f aca="false">IF(P38=1,"-5",IF(OR(P38=2,P38=3),"-4",IF(OR(P38=4,P38=5),"-3",IF(OR(P38=6,P38=7),"-2",IF(OR(P38=8,P38=9),"-1",IF(OR(P38=10,P38=11),"0",IF(OR(P38=12,P38=13),"+1",IF(OR(P38=14,P38=15),"+2",IF(OR(P38=16,P38=17),"+3",IF(OR(P38=18,P38=19),"+4",IF(OR(P38=20,P38=21),"+5",IF(OR(P38=22,P38=23),"+6",IF(OR(P38=24,P38=25),"+7",IF(OR(P38=26,P38=27),"+8",IF(OR(P38=28,P38=29),"+9",IF(P38=30,"+10"," "))))))))))))))))</f>
        <v>0</v>
      </c>
      <c r="R38" s="1" t="n">
        <v>10</v>
      </c>
      <c r="S38" s="1" t="str">
        <f aca="false">IF(R38=1,"-5",IF(OR(R38=2,R38=3),"-4",IF(OR(R38=4,R38=5),"-3",IF(OR(R38=6,R38=7),"-2",IF(OR(R38=8,R38=9),"-1",IF(OR(R38=10,R38=11),"0",IF(OR(R38=12,R38=13),"+1",IF(OR(R38=14,R38=15),"+2",IF(OR(R38=16,R38=17),"+3",IF(OR(R38=18,R38=19),"+4",IF(OR(R38=20,R38=21),"+5",IF(OR(R38=22,R38=23),"+6",IF(OR(R38=24,R38=25),"+7",IF(OR(R38=26,R38=27),"+8",IF(OR(R38=28,R38=29),"+9",IF(R38=30,"+10"," "))))))))))))))))</f>
        <v>0</v>
      </c>
      <c r="T38" s="1" t="n">
        <v>10</v>
      </c>
      <c r="U38" s="1" t="str">
        <f aca="false">IF(T38=1,"-5",IF(OR(T38=2,T38=3),"-4",IF(OR(T38=4,T38=5),"-3",IF(OR(T38=6,T38=7),"-2",IF(OR(T38=8,T38=9),"-1",IF(OR(T38=10,T38=11),"0",IF(OR(T38=12,T38=13),"+1",IF(OR(T38=14,T38=15),"+2",IF(OR(T38=16,T38=17),"+3",IF(OR(T38=18,T38=19),"+4",IF(OR(T38=20,T38=21),"+5",IF(OR(T38=22,T38=23),"+6",IF(OR(T38=24,T38=25),"+7",IF(OR(T38=26,T38=27),"+8",IF(OR(T38=28,T38=29),"+9",IF(T38=30,"+10"," "))))))))))))))))</f>
        <v>0</v>
      </c>
      <c r="V38" s="1" t="s">
        <v>37</v>
      </c>
      <c r="W38" s="1" t="s">
        <v>66</v>
      </c>
      <c r="X38" s="2" t="s">
        <v>260</v>
      </c>
      <c r="Y38" s="2" t="s">
        <v>261</v>
      </c>
      <c r="Z38" s="2" t="s">
        <v>37</v>
      </c>
      <c r="AA38" s="1" t="s">
        <v>37</v>
      </c>
    </row>
    <row r="39" customFormat="false" ht="16.4" hidden="false" customHeight="false" outlineLevel="0" collapsed="false">
      <c r="A39" s="4" t="s">
        <v>262</v>
      </c>
      <c r="B39" s="1" t="s">
        <v>39</v>
      </c>
      <c r="C39" s="1" t="s">
        <v>259</v>
      </c>
      <c r="D39" s="5" t="n">
        <v>2</v>
      </c>
      <c r="E39" s="3" t="n">
        <f aca="false">VLOOKUP(D39,'[1]REF Tables'!$A$2:$B$40,2)</f>
        <v>450</v>
      </c>
      <c r="F39" s="1" t="s">
        <v>30</v>
      </c>
      <c r="G39" s="1" t="n">
        <v>15</v>
      </c>
      <c r="H39" s="1" t="s">
        <v>263</v>
      </c>
      <c r="I39" s="3" t="s">
        <v>42</v>
      </c>
      <c r="J39" s="1" t="n">
        <v>15</v>
      </c>
      <c r="K39" s="1" t="str">
        <f aca="false">IF(J39=1,"-5",IF(OR(J39=2,J39=3),"-4",IF(OR(J39=4,J39=5),"-3",IF(OR(J39=6,J39=7),"-2",IF(OR(J39=8,J39=9),"-1",IF(OR(J39=10,J39=11),"0",IF(OR(J39=12,J39=13),"+1",IF(OR(J39=14,J39=15),"+2",IF(OR(J39=16,J39=17),"+3",IF(OR(J39=18,J39=19),"+4",IF(OR(J39=20,J39=21),"+5",IF(OR(J39=22,J39=23),"+6",IF(OR(J39=24,J39=25),"+7",IF(OR(J39=26,J39=27),"+8",IF(OR(J39=28,J39=29),"+9",IF(J39=30,"+10"," "))))))))))))))))</f>
        <v>+2</v>
      </c>
      <c r="L39" s="1" t="n">
        <v>16</v>
      </c>
      <c r="M39" s="1" t="str">
        <f aca="false">IF(L39=1,"-5",IF(OR(L39=2,L39=3),"-4",IF(OR(L39=4,L39=5),"-3",IF(OR(L39=6,L39=7),"-2",IF(OR(L39=8,L39=9),"-1",IF(OR(L39=10,L39=11),"0",IF(OR(L39=12,L39=13),"+1",IF(OR(L39=14,L39=15),"+2",IF(OR(L39=16,L39=17),"+3",IF(OR(L39=18,L39=19),"+4",IF(OR(L39=20,L39=21),"+5",IF(OR(L39=22,L39=23),"+6",IF(OR(L39=24,L39=25),"+7",IF(OR(L39=26,L39=27),"+8",IF(OR(L39=28,L39=29),"+9",IF(L39=30,"+10"," "))))))))))))))))</f>
        <v>+3</v>
      </c>
      <c r="N39" s="1" t="n">
        <v>14</v>
      </c>
      <c r="O39" s="1" t="str">
        <f aca="false">IF(N39=1,"-5",IF(OR(N39=2,N39=3),"-4",IF(OR(N39=4,N39=5),"-3",IF(OR(N39=6,N39=7),"-2",IF(OR(N39=8,N39=9),"-1",IF(OR(N39=10,N39=11),"0",IF(OR(N39=12,N39=13),"+1",IF(OR(N39=14,N39=15),"+2",IF(OR(N39=16,N39=17),"+3",IF(OR(N39=18,N39=19),"+4",IF(OR(N39=20,N39=21),"+5",IF(OR(N39=22,N39=23),"+6",IF(OR(N39=24,N39=25),"+7",IF(OR(N39=26,N39=27),"+8",IF(OR(N39=28,N39=29),"+9",IF(N39=30,"+10"," "))))))))))))))))</f>
        <v>+2</v>
      </c>
      <c r="P39" s="1" t="n">
        <v>14</v>
      </c>
      <c r="Q39" s="1" t="str">
        <f aca="false">IF(P39=1,"-5",IF(OR(P39=2,P39=3),"-4",IF(OR(P39=4,P39=5),"-3",IF(OR(P39=6,P39=7),"-2",IF(OR(P39=8,P39=9),"-1",IF(OR(P39=10,P39=11),"0",IF(OR(P39=12,P39=13),"+1",IF(OR(P39=14,P39=15),"+2",IF(OR(P39=16,P39=17),"+3",IF(OR(P39=18,P39=19),"+4",IF(OR(P39=20,P39=21),"+5",IF(OR(P39=22,P39=23),"+6",IF(OR(P39=24,P39=25),"+7",IF(OR(P39=26,P39=27),"+8",IF(OR(P39=28,P39=29),"+9",IF(P39=30,"+10"," "))))))))))))))))</f>
        <v>+2</v>
      </c>
      <c r="R39" s="1" t="n">
        <v>11</v>
      </c>
      <c r="S39" s="1" t="str">
        <f aca="false">IF(R39=1,"-5",IF(OR(R39=2,R39=3),"-4",IF(OR(R39=4,R39=5),"-3",IF(OR(R39=6,R39=7),"-2",IF(OR(R39=8,R39=9),"-1",IF(OR(R39=10,R39=11),"0",IF(OR(R39=12,R39=13),"+1",IF(OR(R39=14,R39=15),"+2",IF(OR(R39=16,R39=17),"+3",IF(OR(R39=18,R39=19),"+4",IF(OR(R39=20,R39=21),"+5",IF(OR(R39=22,R39=23),"+6",IF(OR(R39=24,R39=25),"+7",IF(OR(R39=26,R39=27),"+8",IF(OR(R39=28,R39=29),"+9",IF(R39=30,"+10"," "))))))))))))))))</f>
        <v>0</v>
      </c>
      <c r="T39" s="1" t="n">
        <v>14</v>
      </c>
      <c r="U39" s="1" t="str">
        <f aca="false">IF(T39=1,"-5",IF(OR(T39=2,T39=3),"-4",IF(OR(T39=4,T39=5),"-3",IF(OR(T39=6,T39=7),"-2",IF(OR(T39=8,T39=9),"-1",IF(OR(T39=10,T39=11),"0",IF(OR(T39=12,T39=13),"+1",IF(OR(T39=14,T39=15),"+2",IF(OR(T39=16,T39=17),"+3",IF(OR(T39=18,T39=19),"+4",IF(OR(T39=20,T39=21),"+5",IF(OR(T39=22,T39=23),"+6",IF(OR(T39=24,T39=25),"+7",IF(OR(T39=26,T39=27),"+8",IF(OR(T39=28,T39=29),"+9",IF(T39=30,"+10"," "))))))))))))))))</f>
        <v>+2</v>
      </c>
      <c r="V39" s="1" t="s">
        <v>264</v>
      </c>
      <c r="W39" s="1" t="s">
        <v>265</v>
      </c>
      <c r="X39" s="2" t="s">
        <v>260</v>
      </c>
      <c r="Y39" s="2" t="s">
        <v>266</v>
      </c>
      <c r="Z39" s="2" t="s">
        <v>267</v>
      </c>
      <c r="AA39" s="1" t="s">
        <v>37</v>
      </c>
    </row>
    <row r="40" customFormat="false" ht="16.4" hidden="false" customHeight="false" outlineLevel="0" collapsed="false">
      <c r="A40" s="1" t="s">
        <v>268</v>
      </c>
      <c r="B40" s="1" t="s">
        <v>39</v>
      </c>
      <c r="C40" s="1" t="s">
        <v>85</v>
      </c>
      <c r="D40" s="5" t="n">
        <v>0.5</v>
      </c>
      <c r="E40" s="3" t="n">
        <f aca="false">VLOOKUP(D40,'[1]REF Tables'!$A$2:$B$40,2)</f>
        <v>100</v>
      </c>
      <c r="F40" s="1" t="s">
        <v>30</v>
      </c>
      <c r="G40" s="1" t="n">
        <v>14</v>
      </c>
      <c r="H40" s="1" t="s">
        <v>269</v>
      </c>
      <c r="I40" s="3" t="s">
        <v>42</v>
      </c>
      <c r="J40" s="1" t="n">
        <v>11</v>
      </c>
      <c r="K40" s="1" t="str">
        <f aca="false">IF(J40=1,"-5",IF(OR(J40=2,J40=3),"-4",IF(OR(J40=4,J40=5),"-3",IF(OR(J40=6,J40=7),"-2",IF(OR(J40=8,J40=9),"-1",IF(OR(J40=10,J40=11),"0",IF(OR(J40=12,J40=13),"+1",IF(OR(J40=14,J40=15),"+2",IF(OR(J40=16,J40=17),"+3",IF(OR(J40=18,J40=19),"+4",IF(OR(J40=20,J40=21),"+5",IF(OR(J40=22,J40=23),"+6",IF(OR(J40=24,J40=25),"+7",IF(OR(J40=26,J40=27),"+8",IF(OR(J40=28,J40=29),"+9",IF(J40=30,"+10"," "))))))))))))))))</f>
        <v>0</v>
      </c>
      <c r="L40" s="1" t="n">
        <v>14</v>
      </c>
      <c r="M40" s="1" t="str">
        <f aca="false">IF(L40=1,"-5",IF(OR(L40=2,L40=3),"-4",IF(OR(L40=4,L40=5),"-3",IF(OR(L40=6,L40=7),"-2",IF(OR(L40=8,L40=9),"-1",IF(OR(L40=10,L40=11),"0",IF(OR(L40=12,L40=13),"+1",IF(OR(L40=14,L40=15),"+2",IF(OR(L40=16,L40=17),"+3",IF(OR(L40=18,L40=19),"+4",IF(OR(L40=20,L40=21),"+5",IF(OR(L40=22,L40=23),"+6",IF(OR(L40=24,L40=25),"+7",IF(OR(L40=26,L40=27),"+8",IF(OR(L40=28,L40=29),"+9",IF(L40=30,"+10"," "))))))))))))))))</f>
        <v>+2</v>
      </c>
      <c r="N40" s="1" t="n">
        <v>12</v>
      </c>
      <c r="O40" s="1" t="str">
        <f aca="false">IF(N40=1,"-5",IF(OR(N40=2,N40=3),"-4",IF(OR(N40=4,N40=5),"-3",IF(OR(N40=6,N40=7),"-2",IF(OR(N40=8,N40=9),"-1",IF(OR(N40=10,N40=11),"0",IF(OR(N40=12,N40=13),"+1",IF(OR(N40=14,N40=15),"+2",IF(OR(N40=16,N40=17),"+3",IF(OR(N40=18,N40=19),"+4",IF(OR(N40=20,N40=21),"+5",IF(OR(N40=22,N40=23),"+6",IF(OR(N40=24,N40=25),"+7",IF(OR(N40=26,N40=27),"+8",IF(OR(N40=28,N40=29),"+9",IF(N40=30,"+10"," "))))))))))))))))</f>
        <v>+1</v>
      </c>
      <c r="P40" s="1" t="n">
        <v>9</v>
      </c>
      <c r="Q40" s="1" t="str">
        <f aca="false">IF(P40=1,"-5",IF(OR(P40=2,P40=3),"-4",IF(OR(P40=4,P40=5),"-3",IF(OR(P40=6,P40=7),"-2",IF(OR(P40=8,P40=9),"-1",IF(OR(P40=10,P40=11),"0",IF(OR(P40=12,P40=13),"+1",IF(OR(P40=14,P40=15),"+2",IF(OR(P40=16,P40=17),"+3",IF(OR(P40=18,P40=19),"+4",IF(OR(P40=20,P40=21),"+5",IF(OR(P40=22,P40=23),"+6",IF(OR(P40=24,P40=25),"+7",IF(OR(P40=26,P40=27),"+8",IF(OR(P40=28,P40=29),"+9",IF(P40=30,"+10"," "))))))))))))))))</f>
        <v>-1</v>
      </c>
      <c r="R40" s="1" t="n">
        <v>9</v>
      </c>
      <c r="S40" s="1" t="str">
        <f aca="false">IF(R40=1,"-5",IF(OR(R40=2,R40=3),"-4",IF(OR(R40=4,R40=5),"-3",IF(OR(R40=6,R40=7),"-2",IF(OR(R40=8,R40=9),"-1",IF(OR(R40=10,R40=11),"0",IF(OR(R40=12,R40=13),"+1",IF(OR(R40=14,R40=15),"+2",IF(OR(R40=16,R40=17),"+3",IF(OR(R40=18,R40=19),"+4",IF(OR(R40=20,R40=21),"+5",IF(OR(R40=22,R40=23),"+6",IF(OR(R40=24,R40=25),"+7",IF(OR(R40=26,R40=27),"+8",IF(OR(R40=28,R40=29),"+9",IF(R40=30,"+10"," "))))))))))))))))</f>
        <v>-1</v>
      </c>
      <c r="T40" s="1" t="n">
        <v>11</v>
      </c>
      <c r="U40" s="1" t="str">
        <f aca="false">IF(T40=1,"-5",IF(OR(T40=2,T40=3),"-4",IF(OR(T40=4,T40=5),"-3",IF(OR(T40=6,T40=7),"-2",IF(OR(T40=8,T40=9),"-1",IF(OR(T40=10,T40=11),"0",IF(OR(T40=12,T40=13),"+1",IF(OR(T40=14,T40=15),"+2",IF(OR(T40=16,T40=17),"+3",IF(OR(T40=18,T40=19),"+4",IF(OR(T40=20,T40=21),"+5",IF(OR(T40=22,T40=23),"+6",IF(OR(T40=24,T40=25),"+7",IF(OR(T40=26,T40=27),"+8",IF(OR(T40=28,T40=29),"+9",IF(T40=30,"+10"," "))))))))))))))))</f>
        <v>0</v>
      </c>
      <c r="V40" s="1" t="s">
        <v>270</v>
      </c>
      <c r="W40" s="1" t="s">
        <v>271</v>
      </c>
      <c r="X40" s="2" t="s">
        <v>272</v>
      </c>
      <c r="Y40" s="2" t="s">
        <v>273</v>
      </c>
      <c r="Z40" s="2" t="s">
        <v>37</v>
      </c>
      <c r="AA40" s="1" t="s">
        <v>37</v>
      </c>
    </row>
    <row r="41" customFormat="false" ht="16.4" hidden="false" customHeight="false" outlineLevel="0" collapsed="false">
      <c r="A41" s="14" t="s">
        <v>274</v>
      </c>
      <c r="B41" s="1" t="s">
        <v>77</v>
      </c>
      <c r="C41" s="1" t="s">
        <v>222</v>
      </c>
      <c r="D41" s="5" t="n">
        <v>4</v>
      </c>
      <c r="E41" s="6" t="n">
        <f aca="false">VLOOKUP(D41,'[1]REF Tables'!$A$2:$B$40,2)</f>
        <v>1100</v>
      </c>
      <c r="F41" s="1" t="s">
        <v>30</v>
      </c>
      <c r="G41" s="1" t="n">
        <v>12</v>
      </c>
      <c r="H41" s="1" t="s">
        <v>275</v>
      </c>
      <c r="I41" s="3" t="s">
        <v>276</v>
      </c>
      <c r="J41" s="1" t="n">
        <v>1</v>
      </c>
      <c r="K41" s="1" t="str">
        <f aca="false">IF(J41=1,"-5",IF(OR(J41=2,J41=3),"-4",IF(OR(J41=4,J41=5),"-3",IF(OR(J41=6,J41=7),"-2",IF(OR(J41=8,J41=9),"-1",IF(OR(J41=10,J41=11),"0",IF(OR(J41=12,J41=13),"+1",IF(OR(J41=14,J41=15),"+2",IF(OR(J41=16,J41=17),"+3",IF(OR(J41=18,J41=19),"+4",IF(OR(J41=20,J41=21),"+5",IF(OR(J41=22,J41=23),"+6",IF(OR(J41=24,J41=25),"+7",IF(OR(J41=26,J41=27),"+8",IF(OR(J41=28,J41=29),"+9",IF(J41=30,"+10"," "))))))))))))))))</f>
        <v>-5</v>
      </c>
      <c r="L41" s="1" t="n">
        <v>14</v>
      </c>
      <c r="M41" s="1" t="str">
        <f aca="false">IF(L41=1,"-5",IF(OR(L41=2,L41=3),"-4",IF(OR(L41=4,L41=5),"-3",IF(OR(L41=6,L41=7),"-2",IF(OR(L41=8,L41=9),"-1",IF(OR(L41=10,L41=11),"0",IF(OR(L41=12,L41=13),"+1",IF(OR(L41=14,L41=15),"+2",IF(OR(L41=16,L41=17),"+3",IF(OR(L41=18,L41=19),"+4",IF(OR(L41=20,L41=21),"+5",IF(OR(L41=22,L41=23),"+6",IF(OR(L41=24,L41=25),"+7",IF(OR(L41=26,L41=27),"+8",IF(OR(L41=28,L41=29),"+9",IF(L41=30,"+10"," "))))))))))))))))</f>
        <v>+2</v>
      </c>
      <c r="N41" s="1" t="n">
        <v>10</v>
      </c>
      <c r="O41" s="1" t="str">
        <f aca="false">IF(N41=1,"-5",IF(OR(N41=2,N41=3),"-4",IF(OR(N41=4,N41=5),"-3",IF(OR(N41=6,N41=7),"-2",IF(OR(N41=8,N41=9),"-1",IF(OR(N41=10,N41=11),"0",IF(OR(N41=12,N41=13),"+1",IF(OR(N41=14,N41=15),"+2",IF(OR(N41=16,N41=17),"+3",IF(OR(N41=18,N41=19),"+4",IF(OR(N41=20,N41=21),"+5",IF(OR(N41=22,N41=23),"+6",IF(OR(N41=24,N41=25),"+7",IF(OR(N41=26,N41=27),"+8",IF(OR(N41=28,N41=29),"+9",IF(N41=30,"+10"," "))))))))))))))))</f>
        <v>0</v>
      </c>
      <c r="P41" s="1" t="n">
        <v>12</v>
      </c>
      <c r="Q41" s="1" t="str">
        <f aca="false">IF(P41=1,"-5",IF(OR(P41=2,P41=3),"-4",IF(OR(P41=4,P41=5),"-3",IF(OR(P41=6,P41=7),"-2",IF(OR(P41=8,P41=9),"-1",IF(OR(P41=10,P41=11),"0",IF(OR(P41=12,P41=13),"+1",IF(OR(P41=14,P41=15),"+2",IF(OR(P41=16,P41=17),"+3",IF(OR(P41=18,P41=19),"+4",IF(OR(P41=20,P41=21),"+5",IF(OR(P41=22,P41=23),"+6",IF(OR(P41=24,P41=25),"+7",IF(OR(P41=26,P41=27),"+8",IF(OR(P41=28,P41=29),"+9",IF(P41=30,"+10"," "))))))))))))))))</f>
        <v>+1</v>
      </c>
      <c r="R41" s="1" t="n">
        <v>11</v>
      </c>
      <c r="S41" s="1" t="str">
        <f aca="false">IF(R41=1,"-5",IF(OR(R41=2,R41=3),"-4",IF(OR(R41=4,R41=5),"-3",IF(OR(R41=6,R41=7),"-2",IF(OR(R41=8,R41=9),"-1",IF(OR(R41=10,R41=11),"0",IF(OR(R41=12,R41=13),"+1",IF(OR(R41=14,R41=15),"+2",IF(OR(R41=16,R41=17),"+3",IF(OR(R41=18,R41=19),"+4",IF(OR(R41=20,R41=21),"+5",IF(OR(R41=22,R41=23),"+6",IF(OR(R41=24,R41=25),"+7",IF(OR(R41=26,R41=27),"+8",IF(OR(R41=28,R41=29),"+9",IF(R41=30,"+10"," "))))))))))))))))</f>
        <v>0</v>
      </c>
      <c r="T41" s="1" t="n">
        <v>17</v>
      </c>
      <c r="U41" s="1" t="str">
        <f aca="false">IF(T41=1,"-5",IF(OR(T41=2,T41=3),"-4",IF(OR(T41=4,T41=5),"-3",IF(OR(T41=6,T41=7),"-2",IF(OR(T41=8,T41=9),"-1",IF(OR(T41=10,T41=11),"0",IF(OR(T41=12,T41=13),"+1",IF(OR(T41=14,T41=15),"+2",IF(OR(T41=16,T41=17),"+3",IF(OR(T41=18,T41=19),"+4",IF(OR(T41=20,T41=21),"+5",IF(OR(T41=22,T41=23),"+6",IF(OR(T41=24,T41=25),"+7",IF(OR(T41=26,T41=27),"+8",IF(OR(T41=28,T41=29),"+9",IF(T41=30,"+10"," "))))))))))))))))</f>
        <v>+3</v>
      </c>
      <c r="V41" s="1" t="s">
        <v>277</v>
      </c>
      <c r="W41" s="1" t="s">
        <v>278</v>
      </c>
      <c r="X41" s="2" t="s">
        <v>279</v>
      </c>
      <c r="Y41" s="2" t="s">
        <v>280</v>
      </c>
      <c r="Z41" s="2" t="s">
        <v>37</v>
      </c>
      <c r="AA41" s="1" t="s">
        <v>37</v>
      </c>
    </row>
    <row r="42" customFormat="false" ht="16.4" hidden="false" customHeight="false" outlineLevel="0" collapsed="false">
      <c r="A42" s="14" t="s">
        <v>281</v>
      </c>
      <c r="B42" s="1" t="s">
        <v>39</v>
      </c>
      <c r="C42" s="1" t="s">
        <v>40</v>
      </c>
      <c r="D42" s="5" t="n">
        <v>2</v>
      </c>
      <c r="E42" s="3" t="n">
        <f aca="false">VLOOKUP(D42,'[1]REF Tables'!$A$2:$B$40,2)</f>
        <v>450</v>
      </c>
      <c r="F42" s="1" t="s">
        <v>30</v>
      </c>
      <c r="G42" s="1" t="n">
        <v>15</v>
      </c>
      <c r="H42" s="1" t="s">
        <v>282</v>
      </c>
      <c r="I42" s="3" t="s">
        <v>42</v>
      </c>
      <c r="J42" s="1" t="n">
        <v>11</v>
      </c>
      <c r="K42" s="1" t="str">
        <f aca="false">IF(J42=1,"-5",IF(OR(J42=2,J42=3),"-4",IF(OR(J42=4,J42=5),"-3",IF(OR(J42=6,J42=7),"-2",IF(OR(J42=8,J42=9),"-1",IF(OR(J42=10,J42=11),"0",IF(OR(J42=12,J42=13),"+1",IF(OR(J42=14,J42=15),"+2",IF(OR(J42=16,J42=17),"+3",IF(OR(J42=18,J42=19),"+4",IF(OR(J42=20,J42=21),"+5",IF(OR(J42=22,J42=23),"+6",IF(OR(J42=24,J42=25),"+7",IF(OR(J42=26,J42=27),"+8",IF(OR(J42=28,J42=29),"+9",IF(J42=30,"+10"," "))))))))))))))))</f>
        <v>0</v>
      </c>
      <c r="L42" s="1" t="n">
        <v>14</v>
      </c>
      <c r="M42" s="1" t="str">
        <f aca="false">IF(L42=1,"-5",IF(OR(L42=2,L42=3),"-4",IF(OR(L42=4,L42=5),"-3",IF(OR(L42=6,L42=7),"-2",IF(OR(L42=8,L42=9),"-1",IF(OR(L42=10,L42=11),"0",IF(OR(L42=12,L42=13),"+1",IF(OR(L42=14,L42=15),"+2",IF(OR(L42=16,L42=17),"+3",IF(OR(L42=18,L42=19),"+4",IF(OR(L42=20,L42=21),"+5",IF(OR(L42=22,L42=23),"+6",IF(OR(L42=24,L42=25),"+7",IF(OR(L42=26,L42=27),"+8",IF(OR(L42=28,L42=29),"+9",IF(L42=30,"+10"," "))))))))))))))))</f>
        <v>+2</v>
      </c>
      <c r="N42" s="1" t="n">
        <v>12</v>
      </c>
      <c r="O42" s="1" t="str">
        <f aca="false">IF(N42=1,"-5",IF(OR(N42=2,N42=3),"-4",IF(OR(N42=4,N42=5),"-3",IF(OR(N42=6,N42=7),"-2",IF(OR(N42=8,N42=9),"-1",IF(OR(N42=10,N42=11),"0",IF(OR(N42=12,N42=13),"+1",IF(OR(N42=14,N42=15),"+2",IF(OR(N42=16,N42=17),"+3",IF(OR(N42=18,N42=19),"+4",IF(OR(N42=20,N42=21),"+5",IF(OR(N42=22,N42=23),"+6",IF(OR(N42=24,N42=25),"+7",IF(OR(N42=26,N42=27),"+8",IF(OR(N42=28,N42=29),"+9",IF(N42=30,"+10"," "))))))))))))))))</f>
        <v>+1</v>
      </c>
      <c r="P42" s="1" t="n">
        <v>10</v>
      </c>
      <c r="Q42" s="1" t="str">
        <f aca="false">IF(P42=1,"-5",IF(OR(P42=2,P42=3),"-4",IF(OR(P42=4,P42=5),"-3",IF(OR(P42=6,P42=7),"-2",IF(OR(P42=8,P42=9),"-1",IF(OR(P42=10,P42=11),"0",IF(OR(P42=12,P42=13),"+1",IF(OR(P42=14,P42=15),"+2",IF(OR(P42=16,P42=17),"+3",IF(OR(P42=18,P42=19),"+4",IF(OR(P42=20,P42=21),"+5",IF(OR(P42=22,P42=23),"+6",IF(OR(P42=24,P42=25),"+7",IF(OR(P42=26,P42=27),"+8",IF(OR(P42=28,P42=29),"+9",IF(P42=30,"+10"," "))))))))))))))))</f>
        <v>0</v>
      </c>
      <c r="R42" s="1" t="n">
        <v>13</v>
      </c>
      <c r="S42" s="1" t="str">
        <f aca="false">IF(R42=1,"-5",IF(OR(R42=2,R42=3),"-4",IF(OR(R42=4,R42=5),"-3",IF(OR(R42=6,R42=7),"-2",IF(OR(R42=8,R42=9),"-1",IF(OR(R42=10,R42=11),"0",IF(OR(R42=12,R42=13),"+1",IF(OR(R42=14,R42=15),"+2",IF(OR(R42=16,R42=17),"+3",IF(OR(R42=18,R42=19),"+4",IF(OR(R42=20,R42=21),"+5",IF(OR(R42=22,R42=23),"+6",IF(OR(R42=24,R42=25),"+7",IF(OR(R42=26,R42=27),"+8",IF(OR(R42=28,R42=29),"+9",IF(R42=30,"+10"," "))))))))))))))))</f>
        <v>+1</v>
      </c>
      <c r="T42" s="1" t="n">
        <v>14</v>
      </c>
      <c r="U42" s="1" t="str">
        <f aca="false">IF(T42=1,"-5",IF(OR(T42=2,T42=3),"-4",IF(OR(T42=4,T42=5),"-3",IF(OR(T42=6,T42=7),"-2",IF(OR(T42=8,T42=9),"-1",IF(OR(T42=10,T42=11),"0",IF(OR(T42=12,T42=13),"+1",IF(OR(T42=14,T42=15),"+2",IF(OR(T42=16,T42=17),"+3",IF(OR(T42=18,T42=19),"+4",IF(OR(T42=20,T42=21),"+5",IF(OR(T42=22,T42=23),"+6",IF(OR(T42=24,T42=25),"+7",IF(OR(T42=26,T42=27),"+8",IF(OR(T42=28,T42=29),"+9",IF(T42=30,"+10"," "))))))))))))))))</f>
        <v>+2</v>
      </c>
      <c r="V42" s="1" t="s">
        <v>283</v>
      </c>
      <c r="W42" s="1" t="s">
        <v>265</v>
      </c>
      <c r="X42" s="2" t="s">
        <v>284</v>
      </c>
      <c r="Y42" s="2" t="s">
        <v>285</v>
      </c>
      <c r="Z42" s="2" t="s">
        <v>37</v>
      </c>
      <c r="AA42" s="1" t="s">
        <v>37</v>
      </c>
    </row>
    <row r="43" customFormat="false" ht="16.4" hidden="false" customHeight="false" outlineLevel="0" collapsed="false">
      <c r="A43" s="14" t="s">
        <v>286</v>
      </c>
      <c r="B43" s="1" t="s">
        <v>287</v>
      </c>
      <c r="C43" s="1" t="s">
        <v>85</v>
      </c>
      <c r="D43" s="5" t="n">
        <v>4</v>
      </c>
      <c r="E43" s="6" t="n">
        <f aca="false">VLOOKUP(D43,'[1]REF Tables'!$A$2:$B$40,2)</f>
        <v>1100</v>
      </c>
      <c r="F43" s="1" t="s">
        <v>50</v>
      </c>
      <c r="G43" s="1" t="n">
        <v>17</v>
      </c>
      <c r="H43" s="1" t="s">
        <v>288</v>
      </c>
      <c r="I43" s="3" t="s">
        <v>289</v>
      </c>
      <c r="J43" s="1" t="n">
        <v>19</v>
      </c>
      <c r="K43" s="1" t="str">
        <f aca="false">IF(J43=1,"-5",IF(OR(J43=2,J43=3),"-4",IF(OR(J43=4,J43=5),"-3",IF(OR(J43=6,J43=7),"-2",IF(OR(J43=8,J43=9),"-1",IF(OR(J43=10,J43=11),"0",IF(OR(J43=12,J43=13),"+1",IF(OR(J43=14,J43=15),"+2",IF(OR(J43=16,J43=17),"+3",IF(OR(J43=18,J43=19),"+4",IF(OR(J43=20,J43=21),"+5",IF(OR(J43=22,J43=23),"+6",IF(OR(J43=24,J43=25),"+7",IF(OR(J43=26,J43=27),"+8",IF(OR(J43=28,J43=29),"+9",IF(J43=30,"+10"," "))))))))))))))))</f>
        <v>+4</v>
      </c>
      <c r="L43" s="1" t="n">
        <v>15</v>
      </c>
      <c r="M43" s="1" t="str">
        <f aca="false">IF(L43=1,"-5",IF(OR(L43=2,L43=3),"-4",IF(OR(L43=4,L43=5),"-3",IF(OR(L43=6,L43=7),"-2",IF(OR(L43=8,L43=9),"-1",IF(OR(L43=10,L43=11),"0",IF(OR(L43=12,L43=13),"+1",IF(OR(L43=14,L43=15),"+2",IF(OR(L43=16,L43=17),"+3",IF(OR(L43=18,L43=19),"+4",IF(OR(L43=20,L43=21),"+5",IF(OR(L43=22,L43=23),"+6",IF(OR(L43=24,L43=25),"+7",IF(OR(L43=26,L43=27),"+8",IF(OR(L43=28,L43=29),"+9",IF(L43=30,"+10"," "))))))))))))))))</f>
        <v>+2</v>
      </c>
      <c r="N43" s="1" t="n">
        <v>14</v>
      </c>
      <c r="O43" s="1" t="str">
        <f aca="false">IF(N43=1,"-5",IF(OR(N43=2,N43=3),"-4",IF(OR(N43=4,N43=5),"-3",IF(OR(N43=6,N43=7),"-2",IF(OR(N43=8,N43=9),"-1",IF(OR(N43=10,N43=11),"0",IF(OR(N43=12,N43=13),"+1",IF(OR(N43=14,N43=15),"+2",IF(OR(N43=16,N43=17),"+3",IF(OR(N43=18,N43=19),"+4",IF(OR(N43=20,N43=21),"+5",IF(OR(N43=22,N43=23),"+6",IF(OR(N43=24,N43=25),"+7",IF(OR(N43=26,N43=27),"+8",IF(OR(N43=28,N43=29),"+9",IF(N43=30,"+10"," "))))))))))))))))</f>
        <v>+2</v>
      </c>
      <c r="P43" s="1" t="n">
        <v>13</v>
      </c>
      <c r="Q43" s="1" t="str">
        <f aca="false">IF(P43=1,"-5",IF(OR(P43=2,P43=3),"-4",IF(OR(P43=4,P43=5),"-3",IF(OR(P43=6,P43=7),"-2",IF(OR(P43=8,P43=9),"-1",IF(OR(P43=10,P43=11),"0",IF(OR(P43=12,P43=13),"+1",IF(OR(P43=14,P43=15),"+2",IF(OR(P43=16,P43=17),"+3",IF(OR(P43=18,P43=19),"+4",IF(OR(P43=20,P43=21),"+5",IF(OR(P43=22,P43=23),"+6",IF(OR(P43=24,P43=25),"+7",IF(OR(P43=26,P43=27),"+8",IF(OR(P43=28,P43=29),"+9",IF(P43=30,"+10"," "))))))))))))))))</f>
        <v>+1</v>
      </c>
      <c r="R43" s="1" t="n">
        <v>12</v>
      </c>
      <c r="S43" s="1" t="str">
        <f aca="false">IF(R43=1,"-5",IF(OR(R43=2,R43=3),"-4",IF(OR(R43=4,R43=5),"-3",IF(OR(R43=6,R43=7),"-2",IF(OR(R43=8,R43=9),"-1",IF(OR(R43=10,R43=11),"0",IF(OR(R43=12,R43=13),"+1",IF(OR(R43=14,R43=15),"+2",IF(OR(R43=16,R43=17),"+3",IF(OR(R43=18,R43=19),"+4",IF(OR(R43=20,R43=21),"+5",IF(OR(R43=22,R43=23),"+6",IF(OR(R43=24,R43=25),"+7",IF(OR(R43=26,R43=27),"+8",IF(OR(R43=28,R43=29),"+9",IF(R43=30,"+10"," "))))))))))))))))</f>
        <v>+1</v>
      </c>
      <c r="T43" s="1" t="n">
        <v>14</v>
      </c>
      <c r="U43" s="1" t="str">
        <f aca="false">IF(T43=1,"-5",IF(OR(T43=2,T43=3),"-4",IF(OR(T43=4,T43=5),"-3",IF(OR(T43=6,T43=7),"-2",IF(OR(T43=8,T43=9),"-1",IF(OR(T43=10,T43=11),"0",IF(OR(T43=12,T43=13),"+1",IF(OR(T43=14,T43=15),"+2",IF(OR(T43=16,T43=17),"+3",IF(OR(T43=18,T43=19),"+4",IF(OR(T43=20,T43=21),"+5",IF(OR(T43=22,T43=23),"+6",IF(OR(T43=24,T43=25),"+7",IF(OR(T43=26,T43=27),"+8",IF(OR(T43=28,T43=29),"+9",IF(T43=30,"+10"," "))))))))))))))))</f>
        <v>+2</v>
      </c>
      <c r="V43" s="1" t="s">
        <v>290</v>
      </c>
      <c r="W43" s="1" t="s">
        <v>291</v>
      </c>
      <c r="X43" s="2" t="s">
        <v>292</v>
      </c>
      <c r="Y43" s="2" t="s">
        <v>293</v>
      </c>
      <c r="Z43" s="2" t="s">
        <v>37</v>
      </c>
      <c r="AA43" s="1" t="s">
        <v>37</v>
      </c>
    </row>
    <row r="44" customFormat="false" ht="16.4" hidden="false" customHeight="false" outlineLevel="0" collapsed="false">
      <c r="A44" s="14" t="s">
        <v>294</v>
      </c>
      <c r="B44" s="1" t="s">
        <v>221</v>
      </c>
      <c r="C44" s="1" t="s">
        <v>222</v>
      </c>
      <c r="D44" s="5" t="n">
        <v>5</v>
      </c>
      <c r="E44" s="6" t="n">
        <f aca="false">VLOOKUP(D44,'[1]REF Tables'!$A$2:$B$40,2)</f>
        <v>1800</v>
      </c>
      <c r="F44" s="1" t="s">
        <v>50</v>
      </c>
      <c r="G44" s="1" t="n">
        <v>15</v>
      </c>
      <c r="H44" s="1" t="s">
        <v>295</v>
      </c>
      <c r="I44" s="3" t="s">
        <v>153</v>
      </c>
      <c r="J44" s="1" t="n">
        <v>18</v>
      </c>
      <c r="K44" s="1" t="str">
        <f aca="false">IF(J44=1,"-5",IF(OR(J44=2,J44=3),"-4",IF(OR(J44=4,J44=5),"-3",IF(OR(J44=6,J44=7),"-2",IF(OR(J44=8,J44=9),"-1",IF(OR(J44=10,J44=11),"0",IF(OR(J44=12,J44=13),"+1",IF(OR(J44=14,J44=15),"+2",IF(OR(J44=16,J44=17),"+3",IF(OR(J44=18,J44=19),"+4",IF(OR(J44=20,J44=21),"+5",IF(OR(J44=22,J44=23),"+6",IF(OR(J44=24,J44=25),"+7",IF(OR(J44=26,J44=27),"+8",IF(OR(J44=28,J44=29),"+9",IF(J44=30,"+10"," "))))))))))))))))</f>
        <v>+4</v>
      </c>
      <c r="L44" s="1" t="n">
        <v>15</v>
      </c>
      <c r="M44" s="1" t="str">
        <f aca="false">IF(L44=1,"-5",IF(OR(L44=2,L44=3),"-4",IF(OR(L44=4,L44=5),"-3",IF(OR(L44=6,L44=7),"-2",IF(OR(L44=8,L44=9),"-1",IF(OR(L44=10,L44=11),"0",IF(OR(L44=12,L44=13),"+1",IF(OR(L44=14,L44=15),"+2",IF(OR(L44=16,L44=17),"+3",IF(OR(L44=18,L44=19),"+4",IF(OR(L44=20,L44=21),"+5",IF(OR(L44=22,L44=23),"+6",IF(OR(L44=24,L44=25),"+7",IF(OR(L44=26,L44=27),"+8",IF(OR(L44=28,L44=29),"+9",IF(L44=30,"+10"," "))))))))))))))))</f>
        <v>+2</v>
      </c>
      <c r="N44" s="1" t="n">
        <v>16</v>
      </c>
      <c r="O44" s="1" t="str">
        <f aca="false">IF(N44=1,"-5",IF(OR(N44=2,N44=3),"-4",IF(OR(N44=4,N44=5),"-3",IF(OR(N44=6,N44=7),"-2",IF(OR(N44=8,N44=9),"-1",IF(OR(N44=10,N44=11),"0",IF(OR(N44=12,N44=13),"+1",IF(OR(N44=14,N44=15),"+2",IF(OR(N44=16,N44=17),"+3",IF(OR(N44=18,N44=19),"+4",IF(OR(N44=20,N44=21),"+5",IF(OR(N44=22,N44=23),"+6",IF(OR(N44=24,N44=25),"+7",IF(OR(N44=26,N44=27),"+8",IF(OR(N44=28,N44=29),"+9",IF(N44=30,"+10"," "))))))))))))))))</f>
        <v>+3</v>
      </c>
      <c r="P44" s="1" t="n">
        <v>7</v>
      </c>
      <c r="Q44" s="1" t="str">
        <f aca="false">IF(P44=1,"-5",IF(OR(P44=2,P44=3),"-4",IF(OR(P44=4,P44=5),"-3",IF(OR(P44=6,P44=7),"-2",IF(OR(P44=8,P44=9),"-1",IF(OR(P44=10,P44=11),"0",IF(OR(P44=12,P44=13),"+1",IF(OR(P44=14,P44=15),"+2",IF(OR(P44=16,P44=17),"+3",IF(OR(P44=18,P44=19),"+4",IF(OR(P44=20,P44=21),"+5",IF(OR(P44=22,P44=23),"+6",IF(OR(P44=24,P44=25),"+7",IF(OR(P44=26,P44=27),"+8",IF(OR(P44=28,P44=29),"+9",IF(P44=30,"+10"," "))))))))))))))))</f>
        <v>-2</v>
      </c>
      <c r="R44" s="1" t="n">
        <v>14</v>
      </c>
      <c r="S44" s="1" t="str">
        <f aca="false">IF(R44=1,"-5",IF(OR(R44=2,R44=3),"-4",IF(OR(R44=4,R44=5),"-3",IF(OR(R44=6,R44=7),"-2",IF(OR(R44=8,R44=9),"-1",IF(OR(R44=10,R44=11),"0",IF(OR(R44=12,R44=13),"+1",IF(OR(R44=14,R44=15),"+2",IF(OR(R44=16,R44=17),"+3",IF(OR(R44=18,R44=19),"+4",IF(OR(R44=20,R44=21),"+5",IF(OR(R44=22,R44=23),"+6",IF(OR(R44=24,R44=25),"+7",IF(OR(R44=26,R44=27),"+8",IF(OR(R44=28,R44=29),"+9",IF(R44=30,"+10"," "))))))))))))))))</f>
        <v>+2</v>
      </c>
      <c r="T44" s="1" t="n">
        <v>9</v>
      </c>
      <c r="U44" s="1" t="str">
        <f aca="false">IF(T44=1,"-5",IF(OR(T44=2,T44=3),"-4",IF(OR(T44=4,T44=5),"-3",IF(OR(T44=6,T44=7),"-2",IF(OR(T44=8,T44=9),"-1",IF(OR(T44=10,T44=11),"0",IF(OR(T44=12,T44=13),"+1",IF(OR(T44=14,T44=15),"+2",IF(OR(T44=16,T44=17),"+3",IF(OR(T44=18,T44=19),"+4",IF(OR(T44=20,T44=21),"+5",IF(OR(T44=22,T44=23),"+6",IF(OR(T44=24,T44=25),"+7",IF(OR(T44=26,T44=27),"+8",IF(OR(T44=28,T44=29),"+9",IF(T44=30,"+10"," "))))))))))))))))</f>
        <v>-1</v>
      </c>
      <c r="V44" s="1" t="s">
        <v>296</v>
      </c>
      <c r="W44" s="1" t="s">
        <v>249</v>
      </c>
      <c r="X44" s="2" t="s">
        <v>297</v>
      </c>
      <c r="Y44" s="2" t="s">
        <v>298</v>
      </c>
      <c r="Z44" s="2" t="s">
        <v>37</v>
      </c>
      <c r="AA44" s="1" t="s">
        <v>37</v>
      </c>
    </row>
    <row r="45" customFormat="false" ht="16.4" hidden="false" customHeight="false" outlineLevel="0" collapsed="false">
      <c r="A45" s="14" t="s">
        <v>299</v>
      </c>
      <c r="B45" s="1" t="s">
        <v>105</v>
      </c>
      <c r="C45" s="1" t="s">
        <v>37</v>
      </c>
      <c r="D45" s="5" t="n">
        <v>3</v>
      </c>
      <c r="E45" s="3" t="n">
        <f aca="false">VLOOKUP(D45,'[1]REF Tables'!$A$2:$B$40,2)</f>
        <v>700</v>
      </c>
      <c r="F45" s="1" t="s">
        <v>30</v>
      </c>
      <c r="G45" s="1" t="n">
        <v>15</v>
      </c>
      <c r="H45" s="1" t="s">
        <v>300</v>
      </c>
      <c r="I45" s="3" t="s">
        <v>160</v>
      </c>
      <c r="J45" s="1" t="n">
        <v>16</v>
      </c>
      <c r="K45" s="1" t="str">
        <f aca="false">IF(J45=1,"-5",IF(OR(J45=2,J45=3),"-4",IF(OR(J45=4,J45=5),"-3",IF(OR(J45=6,J45=7),"-2",IF(OR(J45=8,J45=9),"-1",IF(OR(J45=10,J45=11),"0",IF(OR(J45=12,J45=13),"+1",IF(OR(J45=14,J45=15),"+2",IF(OR(J45=16,J45=17),"+3",IF(OR(J45=18,J45=19),"+4",IF(OR(J45=20,J45=21),"+5",IF(OR(J45=22,J45=23),"+6",IF(OR(J45=24,J45=25),"+7",IF(OR(J45=26,J45=27),"+8",IF(OR(J45=28,J45=29),"+9",IF(J45=30,"+10"," "))))))))))))))))</f>
        <v>+3</v>
      </c>
      <c r="L45" s="1" t="n">
        <v>8</v>
      </c>
      <c r="M45" s="1" t="str">
        <f aca="false">IF(L45=1,"-5",IF(OR(L45=2,L45=3),"-4",IF(OR(L45=4,L45=5),"-3",IF(OR(L45=6,L45=7),"-2",IF(OR(L45=8,L45=9),"-1",IF(OR(L45=10,L45=11),"0",IF(OR(L45=12,L45=13),"+1",IF(OR(L45=14,L45=15),"+2",IF(OR(L45=16,L45=17),"+3",IF(OR(L45=18,L45=19),"+4",IF(OR(L45=20,L45=21),"+5",IF(OR(L45=22,L45=23),"+6",IF(OR(L45=24,L45=25),"+7",IF(OR(L45=26,L45=27),"+8",IF(OR(L45=28,L45=29),"+9",IF(L45=30,"+10"," "))))))))))))))))</f>
        <v>-1</v>
      </c>
      <c r="N45" s="1" t="n">
        <v>15</v>
      </c>
      <c r="O45" s="1" t="str">
        <f aca="false">IF(N45=1,"-5",IF(OR(N45=2,N45=3),"-4",IF(OR(N45=4,N45=5),"-3",IF(OR(N45=6,N45=7),"-2",IF(OR(N45=8,N45=9),"-1",IF(OR(N45=10,N45=11),"0",IF(OR(N45=12,N45=13),"+1",IF(OR(N45=14,N45=15),"+2",IF(OR(N45=16,N45=17),"+3",IF(OR(N45=18,N45=19),"+4",IF(OR(N45=20,N45=21),"+5",IF(OR(N45=22,N45=23),"+6",IF(OR(N45=24,N45=25),"+7",IF(OR(N45=26,N45=27),"+8",IF(OR(N45=28,N45=29),"+9",IF(N45=30,"+10"," "))))))))))))))))</f>
        <v>+2</v>
      </c>
      <c r="P45" s="1" t="n">
        <v>2</v>
      </c>
      <c r="Q45" s="1" t="str">
        <f aca="false">IF(P45=1,"-5",IF(OR(P45=2,P45=3),"-4",IF(OR(P45=4,P45=5),"-3",IF(OR(P45=6,P45=7),"-2",IF(OR(P45=8,P45=9),"-1",IF(OR(P45=10,P45=11),"0",IF(OR(P45=12,P45=13),"+1",IF(OR(P45=14,P45=15),"+2",IF(OR(P45=16,P45=17),"+3",IF(OR(P45=18,P45=19),"+4",IF(OR(P45=20,P45=21),"+5",IF(OR(P45=22,P45=23),"+6",IF(OR(P45=24,P45=25),"+7",IF(OR(P45=26,P45=27),"+8",IF(OR(P45=28,P45=29),"+9",IF(P45=30,"+10"," "))))))))))))))))</f>
        <v>-4</v>
      </c>
      <c r="R45" s="1" t="n">
        <v>8</v>
      </c>
      <c r="S45" s="1" t="str">
        <f aca="false">IF(R45=1,"-5",IF(OR(R45=2,R45=3),"-4",IF(OR(R45=4,R45=5),"-3",IF(OR(R45=6,R45=7),"-2",IF(OR(R45=8,R45=9),"-1",IF(OR(R45=10,R45=11),"0",IF(OR(R45=12,R45=13),"+1",IF(OR(R45=14,R45=15),"+2",IF(OR(R45=16,R45=17),"+3",IF(OR(R45=18,R45=19),"+4",IF(OR(R45=20,R45=21),"+5",IF(OR(R45=22,R45=23),"+6",IF(OR(R45=24,R45=25),"+7",IF(OR(R45=26,R45=27),"+8",IF(OR(R45=28,R45=29),"+9",IF(R45=30,"+10"," "))))))))))))))))</f>
        <v>-1</v>
      </c>
      <c r="T45" s="1" t="n">
        <v>7</v>
      </c>
      <c r="U45" s="1" t="str">
        <f aca="false">IF(T45=1,"-5",IF(OR(T45=2,T45=3),"-4",IF(OR(T45=4,T45=5),"-3",IF(OR(T45=6,T45=7),"-2",IF(OR(T45=8,T45=9),"-1",IF(OR(T45=10,T45=11),"0",IF(OR(T45=12,T45=13),"+1",IF(OR(T45=14,T45=15),"+2",IF(OR(T45=16,T45=17),"+3",IF(OR(T45=18,T45=19),"+4",IF(OR(T45=20,T45=21),"+5",IF(OR(T45=22,T45=23),"+6",IF(OR(T45=24,T45=25),"+7",IF(OR(T45=26,T45=27),"+8",IF(OR(T45=28,T45=29),"+9",IF(T45=30,"+10"," "))))))))))))))))</f>
        <v>-2</v>
      </c>
      <c r="V45" s="1" t="s">
        <v>37</v>
      </c>
      <c r="W45" s="1" t="s">
        <v>37</v>
      </c>
      <c r="X45" s="2" t="s">
        <v>301</v>
      </c>
      <c r="Y45" s="2" t="s">
        <v>302</v>
      </c>
      <c r="Z45" s="2" t="s">
        <v>37</v>
      </c>
      <c r="AA45" s="1" t="s">
        <v>37</v>
      </c>
    </row>
    <row r="46" customFormat="false" ht="16.4" hidden="false" customHeight="false" outlineLevel="0" collapsed="false">
      <c r="A46" s="14" t="s">
        <v>303</v>
      </c>
      <c r="B46" s="1" t="s">
        <v>59</v>
      </c>
      <c r="C46" s="1" t="s">
        <v>37</v>
      </c>
      <c r="D46" s="5" t="n">
        <v>0.25</v>
      </c>
      <c r="E46" s="3" t="n">
        <f aca="false">VLOOKUP(D46,'[1]REF Tables'!$A$2:$B$40,2)</f>
        <v>50</v>
      </c>
      <c r="F46" s="1" t="s">
        <v>50</v>
      </c>
      <c r="G46" s="1" t="n">
        <v>11</v>
      </c>
      <c r="H46" s="1" t="s">
        <v>304</v>
      </c>
      <c r="I46" s="3" t="s">
        <v>210</v>
      </c>
      <c r="J46" s="1" t="n">
        <v>14</v>
      </c>
      <c r="K46" s="1" t="str">
        <f aca="false">IF(J46=1,"-5",IF(OR(J46=2,J46=3),"-4",IF(OR(J46=4,J46=5),"-3",IF(OR(J46=6,J46=7),"-2",IF(OR(J46=8,J46=9),"-1",IF(OR(J46=10,J46=11),"0",IF(OR(J46=12,J46=13),"+1",IF(OR(J46=14,J46=15),"+2",IF(OR(J46=16,J46=17),"+3",IF(OR(J46=18,J46=19),"+4",IF(OR(J46=20,J46=21),"+5",IF(OR(J46=22,J46=23),"+6",IF(OR(J46=24,J46=25),"+7",IF(OR(J46=26,J46=27),"+8",IF(OR(J46=28,J46=29),"+9",IF(J46=30,"+10"," "))))))))))))))))</f>
        <v>+2</v>
      </c>
      <c r="L46" s="1" t="n">
        <v>12</v>
      </c>
      <c r="M46" s="1" t="str">
        <f aca="false">IF(L46=1,"-5",IF(OR(L46=2,L46=3),"-4",IF(OR(L46=4,L46=5),"-3",IF(OR(L46=6,L46=7),"-2",IF(OR(L46=8,L46=9),"-1",IF(OR(L46=10,L46=11),"0",IF(OR(L46=12,L46=13),"+1",IF(OR(L46=14,L46=15),"+2",IF(OR(L46=16,L46=17),"+3",IF(OR(L46=18,L46=19),"+4",IF(OR(L46=20,L46=21),"+5",IF(OR(L46=22,L46=23),"+6",IF(OR(L46=24,L46=25),"+7",IF(OR(L46=26,L46=27),"+8",IF(OR(L46=28,L46=29),"+9",IF(L46=30,"+10"," "))))))))))))))))</f>
        <v>+1</v>
      </c>
      <c r="N46" s="1" t="n">
        <v>12</v>
      </c>
      <c r="O46" s="1" t="str">
        <f aca="false">IF(N46=1,"-5",IF(OR(N46=2,N46=3),"-4",IF(OR(N46=4,N46=5),"-3",IF(OR(N46=6,N46=7),"-2",IF(OR(N46=8,N46=9),"-1",IF(OR(N46=10,N46=11),"0",IF(OR(N46=12,N46=13),"+1",IF(OR(N46=14,N46=15),"+2",IF(OR(N46=16,N46=17),"+3",IF(OR(N46=18,N46=19),"+4",IF(OR(N46=20,N46=21),"+5",IF(OR(N46=22,N46=23),"+6",IF(OR(N46=24,N46=25),"+7",IF(OR(N46=26,N46=27),"+8",IF(OR(N46=28,N46=29),"+9",IF(N46=30,"+10"," "))))))))))))))))</f>
        <v>+1</v>
      </c>
      <c r="P46" s="1" t="n">
        <v>2</v>
      </c>
      <c r="Q46" s="1" t="str">
        <f aca="false">IF(P46=1,"-5",IF(OR(P46=2,P46=3),"-4",IF(OR(P46=4,P46=5),"-3",IF(OR(P46=6,P46=7),"-2",IF(OR(P46=8,P46=9),"-1",IF(OR(P46=10,P46=11),"0",IF(OR(P46=12,P46=13),"+1",IF(OR(P46=14,P46=15),"+2",IF(OR(P46=16,P46=17),"+3",IF(OR(P46=18,P46=19),"+4",IF(OR(P46=20,P46=21),"+5",IF(OR(P46=22,P46=23),"+6",IF(OR(P46=24,P46=25),"+7",IF(OR(P46=26,P46=27),"+8",IF(OR(P46=28,P46=29),"+9",IF(P46=30,"+10"," "))))))))))))))))</f>
        <v>-4</v>
      </c>
      <c r="R46" s="1" t="n">
        <v>10</v>
      </c>
      <c r="S46" s="1" t="str">
        <f aca="false">IF(R46=1,"-5",IF(OR(R46=2,R46=3),"-4",IF(OR(R46=4,R46=5),"-3",IF(OR(R46=6,R46=7),"-2",IF(OR(R46=8,R46=9),"-1",IF(OR(R46=10,R46=11),"0",IF(OR(R46=12,R46=13),"+1",IF(OR(R46=14,R46=15),"+2",IF(OR(R46=16,R46=17),"+3",IF(OR(R46=18,R46=19),"+4",IF(OR(R46=20,R46=21),"+5",IF(OR(R46=22,R46=23),"+6",IF(OR(R46=24,R46=25),"+7",IF(OR(R46=26,R46=27),"+8",IF(OR(R46=28,R46=29),"+9",IF(R46=30,"+10"," "))))))))))))))))</f>
        <v>0</v>
      </c>
      <c r="T46" s="1" t="n">
        <v>5</v>
      </c>
      <c r="U46" s="1" t="str">
        <f aca="false">IF(T46=1,"-5",IF(OR(T46=2,T46=3),"-4",IF(OR(T46=4,T46=5),"-3",IF(OR(T46=6,T46=7),"-2",IF(OR(T46=8,T46=9),"-1",IF(OR(T46=10,T46=11),"0",IF(OR(T46=12,T46=13),"+1",IF(OR(T46=14,T46=15),"+2",IF(OR(T46=16,T46=17),"+3",IF(OR(T46=18,T46=19),"+4",IF(OR(T46=20,T46=21),"+5",IF(OR(T46=22,T46=23),"+6",IF(OR(T46=24,T46=25),"+7",IF(OR(T46=26,T46=27),"+8",IF(OR(T46=28,T46=29),"+9",IF(T46=30,"+10"," "))))))))))))))))</f>
        <v>-3</v>
      </c>
      <c r="V46" s="1" t="s">
        <v>37</v>
      </c>
      <c r="W46" s="1" t="s">
        <v>37</v>
      </c>
      <c r="X46" s="2" t="s">
        <v>305</v>
      </c>
      <c r="Y46" s="2" t="s">
        <v>306</v>
      </c>
      <c r="Z46" s="2" t="s">
        <v>37</v>
      </c>
      <c r="AA46" s="1" t="s">
        <v>37</v>
      </c>
    </row>
    <row r="47" customFormat="false" ht="16.4" hidden="false" customHeight="false" outlineLevel="0" collapsed="false">
      <c r="A47" s="14" t="s">
        <v>307</v>
      </c>
      <c r="B47" s="1" t="s">
        <v>105</v>
      </c>
      <c r="C47" s="1" t="s">
        <v>85</v>
      </c>
      <c r="D47" s="5" t="n">
        <v>11</v>
      </c>
      <c r="E47" s="6" t="n">
        <f aca="false">VLOOKUP(D47,'[1]REF Tables'!$A$2:$B$40,2)</f>
        <v>7200</v>
      </c>
      <c r="F47" s="1" t="s">
        <v>121</v>
      </c>
      <c r="G47" s="1" t="n">
        <v>17</v>
      </c>
      <c r="H47" s="1" t="s">
        <v>308</v>
      </c>
      <c r="I47" s="3" t="s">
        <v>309</v>
      </c>
      <c r="J47" s="1" t="n">
        <v>23</v>
      </c>
      <c r="K47" s="1" t="str">
        <f aca="false">IF(J47=1,"-5",IF(OR(J47=2,J47=3),"-4",IF(OR(J47=4,J47=5),"-3",IF(OR(J47=6,J47=7),"-2",IF(OR(J47=8,J47=9),"-1",IF(OR(J47=10,J47=11),"0",IF(OR(J47=12,J47=13),"+1",IF(OR(J47=14,J47=15),"+2",IF(OR(J47=16,J47=17),"+3",IF(OR(J47=18,J47=19),"+4",IF(OR(J47=20,J47=21),"+5",IF(OR(J47=22,J47=23),"+6",IF(OR(J47=24,J47=25),"+7",IF(OR(J47=26,J47=27),"+8",IF(OR(J47=28,J47=29),"+9",IF(J47=30,"+10"," "))))))))))))))))</f>
        <v>+6</v>
      </c>
      <c r="L47" s="1" t="n">
        <v>16</v>
      </c>
      <c r="M47" s="1" t="str">
        <f aca="false">IF(L47=1,"-5",IF(OR(L47=2,L47=3),"-4",IF(OR(L47=4,L47=5),"-3",IF(OR(L47=6,L47=7),"-2",IF(OR(L47=8,L47=9),"-1",IF(OR(L47=10,L47=11),"0",IF(OR(L47=12,L47=13),"+1",IF(OR(L47=14,L47=15),"+2",IF(OR(L47=16,L47=17),"+3",IF(OR(L47=18,L47=19),"+4",IF(OR(L47=20,L47=21),"+5",IF(OR(L47=22,L47=23),"+6",IF(OR(L47=24,L47=25),"+7",IF(OR(L47=26,L47=27),"+8",IF(OR(L47=28,L47=29),"+9",IF(L47=30,"+10"," "))))))))))))))))</f>
        <v>+3</v>
      </c>
      <c r="N47" s="1" t="n">
        <v>18</v>
      </c>
      <c r="O47" s="1" t="str">
        <f aca="false">IF(N47=1,"-5",IF(OR(N47=2,N47=3),"-4",IF(OR(N47=4,N47=5),"-3",IF(OR(N47=6,N47=7),"-2",IF(OR(N47=8,N47=9),"-1",IF(OR(N47=10,N47=11),"0",IF(OR(N47=12,N47=13),"+1",IF(OR(N47=14,N47=15),"+2",IF(OR(N47=16,N47=17),"+3",IF(OR(N47=18,N47=19),"+4",IF(OR(N47=20,N47=21),"+5",IF(OR(N47=22,N47=23),"+6",IF(OR(N47=24,N47=25),"+7",IF(OR(N47=26,N47=27),"+8",IF(OR(N47=28,N47=29),"+9",IF(N47=30,"+10"," "))))))))))))))))</f>
        <v>+4</v>
      </c>
      <c r="P47" s="1" t="n">
        <v>7</v>
      </c>
      <c r="Q47" s="1" t="str">
        <f aca="false">IF(P47=1,"-5",IF(OR(P47=2,P47=3),"-4",IF(OR(P47=4,P47=5),"-3",IF(OR(P47=6,P47=7),"-2",IF(OR(P47=8,P47=9),"-1",IF(OR(P47=10,P47=11),"0",IF(OR(P47=12,P47=13),"+1",IF(OR(P47=14,P47=15),"+2",IF(OR(P47=16,P47=17),"+3",IF(OR(P47=18,P47=19),"+4",IF(OR(P47=20,P47=21),"+5",IF(OR(P47=22,P47=23),"+6",IF(OR(P47=24,P47=25),"+7",IF(OR(P47=26,P47=27),"+8",IF(OR(P47=28,P47=29),"+9",IF(P47=30,"+10"," "))))))))))))))))</f>
        <v>-2</v>
      </c>
      <c r="R47" s="1" t="n">
        <v>14</v>
      </c>
      <c r="S47" s="1" t="str">
        <f aca="false">IF(R47=1,"-5",IF(OR(R47=2,R47=3),"-4",IF(OR(R47=4,R47=5),"-3",IF(OR(R47=6,R47=7),"-2",IF(OR(R47=8,R47=9),"-1",IF(OR(R47=10,R47=11),"0",IF(OR(R47=12,R47=13),"+1",IF(OR(R47=14,R47=15),"+2",IF(OR(R47=16,R47=17),"+3",IF(OR(R47=18,R47=19),"+4",IF(OR(R47=20,R47=21),"+5",IF(OR(R47=22,R47=23),"+6",IF(OR(R47=24,R47=25),"+7",IF(OR(R47=26,R47=27),"+8",IF(OR(R47=28,R47=29),"+9",IF(R47=30,"+10"," "))))))))))))))))</f>
        <v>+2</v>
      </c>
      <c r="T47" s="1" t="n">
        <v>12</v>
      </c>
      <c r="U47" s="1" t="str">
        <f aca="false">IF(T47=1,"-5",IF(OR(T47=2,T47=3),"-4",IF(OR(T47=4,T47=5),"-3",IF(OR(T47=6,T47=7),"-2",IF(OR(T47=8,T47=9),"-1",IF(OR(T47=10,T47=11),"0",IF(OR(T47=12,T47=13),"+1",IF(OR(T47=14,T47=15),"+2",IF(OR(T47=16,T47=17),"+3",IF(OR(T47=18,T47=19),"+4",IF(OR(T47=20,T47=21),"+5",IF(OR(T47=22,T47=23),"+6",IF(OR(T47=24,T47=25),"+7",IF(OR(T47=26,T47=27),"+8",IF(OR(T47=28,T47=29),"+9",IF(T47=30,"+10"," "))))))))))))))))</f>
        <v>+1</v>
      </c>
      <c r="V47" s="1" t="s">
        <v>310</v>
      </c>
      <c r="W47" s="1" t="s">
        <v>311</v>
      </c>
      <c r="X47" s="2" t="s">
        <v>312</v>
      </c>
      <c r="Y47" s="2" t="s">
        <v>313</v>
      </c>
      <c r="Z47" s="2" t="s">
        <v>37</v>
      </c>
      <c r="AA47" s="1" t="s">
        <v>37</v>
      </c>
    </row>
    <row r="48" customFormat="false" ht="16.4" hidden="false" customHeight="false" outlineLevel="0" collapsed="false">
      <c r="A48" s="15" t="s">
        <v>314</v>
      </c>
      <c r="B48" s="3" t="s">
        <v>59</v>
      </c>
      <c r="C48" s="3" t="s">
        <v>37</v>
      </c>
      <c r="D48" s="16" t="n">
        <v>0</v>
      </c>
      <c r="E48" s="3" t="n">
        <f aca="false">VLOOKUP(D48,'[1]REF Tables'!$A$2:$B$40,2)</f>
        <v>10</v>
      </c>
      <c r="F48" s="3" t="s">
        <v>315</v>
      </c>
      <c r="G48" s="3" t="n">
        <v>13</v>
      </c>
      <c r="H48" s="3" t="s">
        <v>316</v>
      </c>
      <c r="I48" s="3" t="s">
        <v>42</v>
      </c>
      <c r="J48" s="3" t="n">
        <v>3</v>
      </c>
      <c r="K48" s="1" t="str">
        <f aca="false">IF(J48=1,"-5",IF(OR(J48=2,J48=3),"-4",IF(OR(J48=4,J48=5),"-3",IF(OR(J48=6,J48=7),"-2",IF(OR(J48=8,J48=9),"-1",IF(OR(J48=10,J48=11),"0",IF(OR(J48=12,J48=13),"+1",IF(OR(J48=14,J48=15),"+2",IF(OR(J48=16,J48=17),"+3",IF(OR(J48=18,J48=19),"+4",IF(OR(J48=20,J48=21),"+5",IF(OR(J48=22,J48=23),"+6",IF(OR(J48=24,J48=25),"+7",IF(OR(J48=26,J48=27),"+8",IF(OR(J48=28,J48=29),"+9",IF(J48=30,"+10"," "))))))))))))))))</f>
        <v>-4</v>
      </c>
      <c r="L48" s="3" t="n">
        <v>16</v>
      </c>
      <c r="M48" s="1" t="str">
        <f aca="false">IF(L48=1,"-5",IF(OR(L48=2,L48=3),"-4",IF(OR(L48=4,L48=5),"-3",IF(OR(L48=6,L48=7),"-2",IF(OR(L48=8,L48=9),"-1",IF(OR(L48=10,L48=11),"0",IF(OR(L48=12,L48=13),"+1",IF(OR(L48=14,L48=15),"+2",IF(OR(L48=16,L48=17),"+3",IF(OR(L48=18,L48=19),"+4",IF(OR(L48=20,L48=21),"+5",IF(OR(L48=22,L48=23),"+6",IF(OR(L48=24,L48=25),"+7",IF(OR(L48=26,L48=27),"+8",IF(OR(L48=28,L48=29),"+9",IF(L48=30,"+10"," "))))))))))))))))</f>
        <v>+3</v>
      </c>
      <c r="N48" s="3" t="n">
        <v>8</v>
      </c>
      <c r="O48" s="1" t="str">
        <f aca="false">IF(N48=1,"-5",IF(OR(N48=2,N48=3),"-4",IF(OR(N48=4,N48=5),"-3",IF(OR(N48=6,N48=7),"-2",IF(OR(N48=8,N48=9),"-1",IF(OR(N48=10,N48=11),"0",IF(OR(N48=12,N48=13),"+1",IF(OR(N48=14,N48=15),"+2",IF(OR(N48=16,N48=17),"+3",IF(OR(N48=18,N48=19),"+4",IF(OR(N48=20,N48=21),"+5",IF(OR(N48=22,N48=23),"+6",IF(OR(N48=24,N48=25),"+7",IF(OR(N48=26,N48=27),"+8",IF(OR(N48=28,N48=29),"+9",IF(N48=30,"+10"," "))))))))))))))))</f>
        <v>-1</v>
      </c>
      <c r="P48" s="3" t="n">
        <v>2</v>
      </c>
      <c r="Q48" s="1" t="str">
        <f aca="false">IF(P48=1,"-5",IF(OR(P48=2,P48=3),"-4",IF(OR(P48=4,P48=5),"-3",IF(OR(P48=6,P48=7),"-2",IF(OR(P48=8,P48=9),"-1",IF(OR(P48=10,P48=11),"0",IF(OR(P48=12,P48=13),"+1",IF(OR(P48=14,P48=15),"+2",IF(OR(P48=16,P48=17),"+3",IF(OR(P48=18,P48=19),"+4",IF(OR(P48=20,P48=21),"+5",IF(OR(P48=22,P48=23),"+6",IF(OR(P48=24,P48=25),"+7",IF(OR(P48=26,P48=27),"+8",IF(OR(P48=28,P48=29),"+9",IF(P48=30,"+10"," "))))))))))))))))</f>
        <v>-4</v>
      </c>
      <c r="R48" s="3" t="n">
        <v>12</v>
      </c>
      <c r="S48" s="1" t="str">
        <f aca="false">IF(R48=1,"-5",IF(OR(R48=2,R48=3),"-4",IF(OR(R48=4,R48=5),"-3",IF(OR(R48=6,R48=7),"-2",IF(OR(R48=8,R48=9),"-1",IF(OR(R48=10,R48=11),"0",IF(OR(R48=12,R48=13),"+1",IF(OR(R48=14,R48=15),"+2",IF(OR(R48=16,R48=17),"+3",IF(OR(R48=18,R48=19),"+4",IF(OR(R48=20,R48=21),"+5",IF(OR(R48=22,R48=23),"+6",IF(OR(R48=24,R48=25),"+7",IF(OR(R48=26,R48=27),"+8",IF(OR(R48=28,R48=29),"+9",IF(R48=30,"+10"," "))))))))))))))))</f>
        <v>+1</v>
      </c>
      <c r="T48" s="3" t="n">
        <v>3</v>
      </c>
      <c r="U48" s="1" t="str">
        <f aca="false">IF(T48=1,"-5",IF(OR(T48=2,T48=3),"-4",IF(OR(T48=4,T48=5),"-3",IF(OR(T48=6,T48=7),"-2",IF(OR(T48=8,T48=9),"-1",IF(OR(T48=10,T48=11),"0",IF(OR(T48=12,T48=13),"+1",IF(OR(T48=14,T48=15),"+2",IF(OR(T48=16,T48=17),"+3",IF(OR(T48=18,T48=19),"+4",IF(OR(T48=20,T48=21),"+5",IF(OR(T48=22,T48=23),"+6",IF(OR(T48=24,T48=25),"+7",IF(OR(T48=26,T48=27),"+8",IF(OR(T48=28,T48=29),"+9",IF(T48=30,"+10"," "))))))))))))))))</f>
        <v>-4</v>
      </c>
      <c r="V48" s="3" t="s">
        <v>317</v>
      </c>
      <c r="W48" s="3" t="s">
        <v>37</v>
      </c>
      <c r="X48" s="11" t="s">
        <v>318</v>
      </c>
      <c r="Y48" s="11" t="s">
        <v>319</v>
      </c>
      <c r="Z48" s="11" t="s">
        <v>37</v>
      </c>
      <c r="AA48" s="12" t="s">
        <v>37</v>
      </c>
    </row>
    <row r="49" customFormat="false" ht="16.4" hidden="false" customHeight="false" outlineLevel="0" collapsed="false">
      <c r="A49" s="15" t="s">
        <v>320</v>
      </c>
      <c r="B49" s="3" t="s">
        <v>59</v>
      </c>
      <c r="C49" s="3" t="s">
        <v>37</v>
      </c>
      <c r="D49" s="5" t="n">
        <v>0.125</v>
      </c>
      <c r="E49" s="3" t="n">
        <f aca="false">VLOOKUP(D49,'[1]REF Tables'!$A$2:$B$40,2)</f>
        <v>25</v>
      </c>
      <c r="F49" s="3" t="s">
        <v>30</v>
      </c>
      <c r="G49" s="3" t="n">
        <v>13</v>
      </c>
      <c r="H49" s="3" t="s">
        <v>64</v>
      </c>
      <c r="I49" s="3" t="s">
        <v>224</v>
      </c>
      <c r="J49" s="3" t="n">
        <v>11</v>
      </c>
      <c r="K49" s="1" t="str">
        <f aca="false">IF(J49=1,"-5",IF(OR(J49=2,J49=3),"-4",IF(OR(J49=4,J49=5),"-3",IF(OR(J49=6,J49=7),"-2",IF(OR(J49=8,J49=9),"-1",IF(OR(J49=10,J49=11),"0",IF(OR(J49=12,J49=13),"+1",IF(OR(J49=14,J49=15),"+2",IF(OR(J49=16,J49=17),"+3",IF(OR(J49=18,J49=19),"+4",IF(OR(J49=20,J49=21),"+5",IF(OR(J49=22,J49=23),"+6",IF(OR(J49=24,J49=25),"+7",IF(OR(J49=26,J49=27),"+8",IF(OR(J49=28,J49=29),"+9",IF(J49=30,"+10"," "))))))))))))))))</f>
        <v>0</v>
      </c>
      <c r="L49" s="3" t="n">
        <v>16</v>
      </c>
      <c r="M49" s="1" t="str">
        <f aca="false">IF(L49=1,"-5",IF(OR(L49=2,L49=3),"-4",IF(OR(L49=4,L49=5),"-3",IF(OR(L49=6,L49=7),"-2",IF(OR(L49=8,L49=9),"-1",IF(OR(L49=10,L49=11),"0",IF(OR(L49=12,L49=13),"+1",IF(OR(L49=14,L49=15),"+2",IF(OR(L49=16,L49=17),"+3",IF(OR(L49=18,L49=19),"+4",IF(OR(L49=20,L49=21),"+5",IF(OR(L49=22,L49=23),"+6",IF(OR(L49=24,L49=25),"+7",IF(OR(L49=26,L49=27),"+8",IF(OR(L49=28,L49=29),"+9",IF(L49=30,"+10"," "))))))))))))))))</f>
        <v>+3</v>
      </c>
      <c r="N49" s="3" t="n">
        <v>10</v>
      </c>
      <c r="O49" s="1" t="str">
        <f aca="false">IF(N49=1,"-5",IF(OR(N49=2,N49=3),"-4",IF(OR(N49=4,N49=5),"-3",IF(OR(N49=6,N49=7),"-2",IF(OR(N49=8,N49=9),"-1",IF(OR(N49=10,N49=11),"0",IF(OR(N49=12,N49=13),"+1",IF(OR(N49=14,N49=15),"+2",IF(OR(N49=16,N49=17),"+3",IF(OR(N49=18,N49=19),"+4",IF(OR(N49=20,N49=21),"+5",IF(OR(N49=22,N49=23),"+6",IF(OR(N49=24,N49=25),"+7",IF(OR(N49=26,N49=27),"+8",IF(OR(N49=28,N49=29),"+9",IF(N49=30,"+10"," "))))))))))))))))</f>
        <v>0</v>
      </c>
      <c r="P49" s="3" t="n">
        <v>4</v>
      </c>
      <c r="Q49" s="1" t="str">
        <f aca="false">IF(P49=1,"-5",IF(OR(P49=2,P49=3),"-4",IF(OR(P49=4,P49=5),"-3",IF(OR(P49=6,P49=7),"-2",IF(OR(P49=8,P49=9),"-1",IF(OR(P49=10,P49=11),"0",IF(OR(P49=12,P49=13),"+1",IF(OR(P49=14,P49=15),"+2",IF(OR(P49=16,P49=17),"+3",IF(OR(P49=18,P49=19),"+4",IF(OR(P49=20,P49=21),"+5",IF(OR(P49=22,P49=23),"+6",IF(OR(P49=24,P49=25),"+7",IF(OR(P49=26,P49=27),"+8",IF(OR(P49=28,P49=29),"+9",IF(P49=30,"+10"," "))))))))))))))))</f>
        <v>-3</v>
      </c>
      <c r="R49" s="3" t="n">
        <v>12</v>
      </c>
      <c r="S49" s="1" t="str">
        <f aca="false">IF(R49=1,"-5",IF(OR(R49=2,R49=3),"-4",IF(OR(R49=4,R49=5),"-3",IF(OR(R49=6,R49=7),"-2",IF(OR(R49=8,R49=9),"-1",IF(OR(R49=10,R49=11),"0",IF(OR(R49=12,R49=13),"+1",IF(OR(R49=14,R49=15),"+2",IF(OR(R49=16,R49=17),"+3",IF(OR(R49=18,R49=19),"+4",IF(OR(R49=20,R49=21),"+5",IF(OR(R49=22,R49=23),"+6",IF(OR(R49=24,R49=25),"+7",IF(OR(R49=26,R49=27),"+8",IF(OR(R49=28,R49=29),"+9",IF(R49=30,"+10"," "))))))))))))))))</f>
        <v>+1</v>
      </c>
      <c r="T49" s="3" t="n">
        <v>5</v>
      </c>
      <c r="U49" s="1" t="str">
        <f aca="false">IF(T49=1,"-5",IF(OR(T49=2,T49=3),"-4",IF(OR(T49=4,T49=5),"-3",IF(OR(T49=6,T49=7),"-2",IF(OR(T49=8,T49=9),"-1",IF(OR(T49=10,T49=11),"0",IF(OR(T49=12,T49=13),"+1",IF(OR(T49=14,T49=15),"+2",IF(OR(T49=16,T49=17),"+3",IF(OR(T49=18,T49=19),"+4",IF(OR(T49=20,T49=21),"+5",IF(OR(T49=22,T49=23),"+6",IF(OR(T49=24,T49=25),"+7",IF(OR(T49=26,T49=27),"+8",IF(OR(T49=28,T49=29),"+9",IF(T49=30,"+10"," "))))))))))))))))</f>
        <v>-3</v>
      </c>
      <c r="V49" s="3" t="s">
        <v>317</v>
      </c>
      <c r="W49" s="3" t="s">
        <v>37</v>
      </c>
      <c r="X49" s="11" t="s">
        <v>321</v>
      </c>
      <c r="Y49" s="11" t="s">
        <v>322</v>
      </c>
      <c r="Z49" s="11" t="s">
        <v>37</v>
      </c>
      <c r="AA49" s="12" t="s">
        <v>37</v>
      </c>
    </row>
    <row r="50" customFormat="false" ht="16.4" hidden="false" customHeight="false" outlineLevel="0" collapsed="false">
      <c r="A50" s="15" t="s">
        <v>323</v>
      </c>
      <c r="B50" s="3" t="s">
        <v>39</v>
      </c>
      <c r="C50" s="3" t="s">
        <v>324</v>
      </c>
      <c r="D50" s="16" t="n">
        <v>2</v>
      </c>
      <c r="E50" s="3" t="n">
        <f aca="false">VLOOKUP(D50,'[1]REF Tables'!$A$2:$B$40,2)</f>
        <v>450</v>
      </c>
      <c r="F50" s="3" t="s">
        <v>30</v>
      </c>
      <c r="G50" s="3" t="n">
        <v>13</v>
      </c>
      <c r="H50" s="3" t="s">
        <v>98</v>
      </c>
      <c r="I50" s="3" t="s">
        <v>42</v>
      </c>
      <c r="J50" s="3" t="n">
        <v>16</v>
      </c>
      <c r="K50" s="1" t="str">
        <f aca="false">IF(J50=1,"-5",IF(OR(J50=2,J50=3),"-4",IF(OR(J50=4,J50=5),"-3",IF(OR(J50=6,J50=7),"-2",IF(OR(J50=8,J50=9),"-1",IF(OR(J50=10,J50=11),"0",IF(OR(J50=12,J50=13),"+1",IF(OR(J50=14,J50=15),"+2",IF(OR(J50=16,J50=17),"+3",IF(OR(J50=18,J50=19),"+4",IF(OR(J50=20,J50=21),"+5",IF(OR(J50=22,J50=23),"+6",IF(OR(J50=24,J50=25),"+7",IF(OR(J50=26,J50=27),"+8",IF(OR(J50=28,J50=29),"+9",IF(J50=30,"+10"," "))))))))))))))))</f>
        <v>+3</v>
      </c>
      <c r="L50" s="3" t="n">
        <v>12</v>
      </c>
      <c r="M50" s="1" t="str">
        <f aca="false">IF(L50=1,"-5",IF(OR(L50=2,L50=3),"-4",IF(OR(L50=4,L50=5),"-3",IF(OR(L50=6,L50=7),"-2",IF(OR(L50=8,L50=9),"-1",IF(OR(L50=10,L50=11),"0",IF(OR(L50=12,L50=13),"+1",IF(OR(L50=14,L50=15),"+2",IF(OR(L50=16,L50=17),"+3",IF(OR(L50=18,L50=19),"+4",IF(OR(L50=20,L50=21),"+5",IF(OR(L50=22,L50=23),"+6",IF(OR(L50=24,L50=25),"+7",IF(OR(L50=26,L50=27),"+8",IF(OR(L50=28,L50=29),"+9",IF(L50=30,"+10"," "))))))))))))))))</f>
        <v>+1</v>
      </c>
      <c r="N50" s="3" t="n">
        <v>17</v>
      </c>
      <c r="O50" s="1" t="str">
        <f aca="false">IF(N50=1,"-5",IF(OR(N50=2,N50=3),"-4",IF(OR(N50=4,N50=5),"-3",IF(OR(N50=6,N50=7),"-2",IF(OR(N50=8,N50=9),"-1",IF(OR(N50=10,N50=11),"0",IF(OR(N50=12,N50=13),"+1",IF(OR(N50=14,N50=15),"+2",IF(OR(N50=16,N50=17),"+3",IF(OR(N50=18,N50=19),"+4",IF(OR(N50=20,N50=21),"+5",IF(OR(N50=22,N50=23),"+6",IF(OR(N50=24,N50=25),"+7",IF(OR(N50=26,N50=27),"+8",IF(OR(N50=28,N50=29),"+9",IF(N50=30,"+10"," "))))))))))))))))</f>
        <v>+3</v>
      </c>
      <c r="P50" s="3" t="n">
        <v>9</v>
      </c>
      <c r="Q50" s="1" t="str">
        <f aca="false">IF(P50=1,"-5",IF(OR(P50=2,P50=3),"-4",IF(OR(P50=4,P50=5),"-3",IF(OR(P50=6,P50=7),"-2",IF(OR(P50=8,P50=9),"-1",IF(OR(P50=10,P50=11),"0",IF(OR(P50=12,P50=13),"+1",IF(OR(P50=14,P50=15),"+2",IF(OR(P50=16,P50=17),"+3",IF(OR(P50=18,P50=19),"+4",IF(OR(P50=20,P50=21),"+5",IF(OR(P50=22,P50=23),"+6",IF(OR(P50=24,P50=25),"+7",IF(OR(P50=26,P50=27),"+8",IF(OR(P50=28,P50=29),"+9",IF(P50=30,"+10"," "))))))))))))))))</f>
        <v>-1</v>
      </c>
      <c r="R50" s="3" t="n">
        <v>11</v>
      </c>
      <c r="S50" s="1" t="str">
        <f aca="false">IF(R50=1,"-5",IF(OR(R50=2,R50=3),"-4",IF(OR(R50=4,R50=5),"-3",IF(OR(R50=6,R50=7),"-2",IF(OR(R50=8,R50=9),"-1",IF(OR(R50=10,R50=11),"0",IF(OR(R50=12,R50=13),"+1",IF(OR(R50=14,R50=15),"+2",IF(OR(R50=16,R50=17),"+3",IF(OR(R50=18,R50=19),"+4",IF(OR(R50=20,R50=21),"+5",IF(OR(R50=22,R50=23),"+6",IF(OR(R50=24,R50=25),"+7",IF(OR(R50=26,R50=27),"+8",IF(OR(R50=28,R50=29),"+9",IF(R50=30,"+10"," "))))))))))))))))</f>
        <v>0</v>
      </c>
      <c r="T50" s="3" t="n">
        <v>9</v>
      </c>
      <c r="U50" s="1" t="str">
        <f aca="false">IF(T50=1,"-5",IF(OR(T50=2,T50=3),"-4",IF(OR(T50=4,T50=5),"-3",IF(OR(T50=6,T50=7),"-2",IF(OR(T50=8,T50=9),"-1",IF(OR(T50=10,T50=11),"0",IF(OR(T50=12,T50=13),"+1",IF(OR(T50=14,T50=15),"+2",IF(OR(T50=16,T50=17),"+3",IF(OR(T50=18,T50=19),"+4",IF(OR(T50=20,T50=21),"+5",IF(OR(T50=22,T50=23),"+6",IF(OR(T50=24,T50=25),"+7",IF(OR(T50=26,T50=27),"+8",IF(OR(T50=28,T50=29),"+9",IF(T50=30,"+10"," "))))))))))))))))</f>
        <v>-1</v>
      </c>
      <c r="V50" s="3" t="s">
        <v>37</v>
      </c>
      <c r="W50" s="3" t="s">
        <v>66</v>
      </c>
      <c r="X50" s="11" t="s">
        <v>325</v>
      </c>
      <c r="Y50" s="11" t="s">
        <v>326</v>
      </c>
      <c r="Z50" s="11" t="s">
        <v>37</v>
      </c>
      <c r="AA50" s="12" t="s">
        <v>37</v>
      </c>
    </row>
    <row r="51" customFormat="false" ht="16.4" hidden="false" customHeight="false" outlineLevel="0" collapsed="false">
      <c r="A51" s="15" t="s">
        <v>327</v>
      </c>
      <c r="B51" s="3" t="s">
        <v>105</v>
      </c>
      <c r="C51" s="3" t="s">
        <v>49</v>
      </c>
      <c r="D51" s="16" t="n">
        <v>3</v>
      </c>
      <c r="E51" s="3" t="n">
        <f aca="false">VLOOKUP(D51,'[1]REF Tables'!$A$2:$B$40,2)</f>
        <v>700</v>
      </c>
      <c r="F51" s="3" t="s">
        <v>50</v>
      </c>
      <c r="G51" s="3" t="n">
        <v>13</v>
      </c>
      <c r="H51" s="3" t="s">
        <v>328</v>
      </c>
      <c r="I51" s="3" t="s">
        <v>224</v>
      </c>
      <c r="J51" s="3" t="n">
        <v>18</v>
      </c>
      <c r="K51" s="1" t="str">
        <f aca="false">IF(J51=1,"-5",IF(OR(J51=2,J51=3),"-4",IF(OR(J51=4,J51=5),"-3",IF(OR(J51=6,J51=7),"-2",IF(OR(J51=8,J51=9),"-1",IF(OR(J51=10,J51=11),"0",IF(OR(J51=12,J51=13),"+1",IF(OR(J51=14,J51=15),"+2",IF(OR(J51=16,J51=17),"+3",IF(OR(J51=18,J51=19),"+4",IF(OR(J51=20,J51=21),"+5",IF(OR(J51=22,J51=23),"+6",IF(OR(J51=24,J51=25),"+7",IF(OR(J51=26,J51=27),"+8",IF(OR(J51=28,J51=29),"+9",IF(J51=30,"+10"," "))))))))))))))))</f>
        <v>+4</v>
      </c>
      <c r="L51" s="3" t="n">
        <v>15</v>
      </c>
      <c r="M51" s="1" t="str">
        <f aca="false">IF(L51=1,"-5",IF(OR(L51=2,L51=3),"-4",IF(OR(L51=4,L51=5),"-3",IF(OR(L51=6,L51=7),"-2",IF(OR(L51=8,L51=9),"-1",IF(OR(L51=10,L51=11),"0",IF(OR(L51=12,L51=13),"+1",IF(OR(L51=14,L51=15),"+2",IF(OR(L51=16,L51=17),"+3",IF(OR(L51=18,L51=19),"+4",IF(OR(L51=20,L51=21),"+5",IF(OR(L51=22,L51=23),"+6",IF(OR(L51=24,L51=25),"+7",IF(OR(L51=26,L51=27),"+8",IF(OR(L51=28,L51=29),"+9",IF(L51=30,"+10"," "))))))))))))))))</f>
        <v>+2</v>
      </c>
      <c r="N51" s="3" t="n">
        <v>16</v>
      </c>
      <c r="O51" s="1" t="str">
        <f aca="false">IF(N51=1,"-5",IF(OR(N51=2,N51=3),"-4",IF(OR(N51=4,N51=5),"-3",IF(OR(N51=6,N51=7),"-2",IF(OR(N51=8,N51=9),"-1",IF(OR(N51=10,N51=11),"0",IF(OR(N51=12,N51=13),"+1",IF(OR(N51=14,N51=15),"+2",IF(OR(N51=16,N51=17),"+3",IF(OR(N51=18,N51=19),"+4",IF(OR(N51=20,N51=21),"+5",IF(OR(N51=22,N51=23),"+6",IF(OR(N51=24,N51=25),"+7",IF(OR(N51=26,N51=27),"+8",IF(OR(N51=28,N51=29),"+9",IF(N51=30,"+10"," "))))))))))))))))</f>
        <v>+3</v>
      </c>
      <c r="P51" s="3" t="n">
        <v>6</v>
      </c>
      <c r="Q51" s="1" t="str">
        <f aca="false">IF(P51=1,"-5",IF(OR(P51=2,P51=3),"-4",IF(OR(P51=4,P51=5),"-3",IF(OR(P51=6,P51=7),"-2",IF(OR(P51=8,P51=9),"-1",IF(OR(P51=10,P51=11),"0",IF(OR(P51=12,P51=13),"+1",IF(OR(P51=14,P51=15),"+2",IF(OR(P51=16,P51=17),"+3",IF(OR(P51=18,P51=19),"+4",IF(OR(P51=20,P51=21),"+5",IF(OR(P51=22,P51=23),"+6",IF(OR(P51=24,P51=25),"+7",IF(OR(P51=26,P51=27),"+8",IF(OR(P51=28,P51=29),"+9",IF(P51=30,"+10"," "))))))))))))))))</f>
        <v>-2</v>
      </c>
      <c r="R51" s="3" t="n">
        <v>12</v>
      </c>
      <c r="S51" s="1" t="str">
        <f aca="false">IF(R51=1,"-5",IF(OR(R51=2,R51=3),"-4",IF(OR(R51=4,R51=5),"-3",IF(OR(R51=6,R51=7),"-2",IF(OR(R51=8,R51=9),"-1",IF(OR(R51=10,R51=11),"0",IF(OR(R51=12,R51=13),"+1",IF(OR(R51=14,R51=15),"+2",IF(OR(R51=16,R51=17),"+3",IF(OR(R51=18,R51=19),"+4",IF(OR(R51=20,R51=21),"+5",IF(OR(R51=22,R51=23),"+6",IF(OR(R51=24,R51=25),"+7",IF(OR(R51=26,R51=27),"+8",IF(OR(R51=28,R51=29),"+9",IF(R51=30,"+10"," "))))))))))))))))</f>
        <v>+1</v>
      </c>
      <c r="T51" s="3" t="n">
        <v>8</v>
      </c>
      <c r="U51" s="1" t="str">
        <f aca="false">IF(T51=1,"-5",IF(OR(T51=2,T51=3),"-4",IF(OR(T51=4,T51=5),"-3",IF(OR(T51=6,T51=7),"-2",IF(OR(T51=8,T51=9),"-1",IF(OR(T51=10,T51=11),"0",IF(OR(T51=12,T51=13),"+1",IF(OR(T51=14,T51=15),"+2",IF(OR(T51=16,T51=17),"+3",IF(OR(T51=18,T51=19),"+4",IF(OR(T51=20,T51=21),"+5",IF(OR(T51=22,T51=23),"+6",IF(OR(T51=24,T51=25),"+7",IF(OR(T51=26,T51=27),"+8",IF(OR(T51=28,T51=29),"+9",IF(T51=30,"+10"," "))))))))))))))))</f>
        <v>-1</v>
      </c>
      <c r="V51" s="3" t="s">
        <v>37</v>
      </c>
      <c r="W51" s="3" t="s">
        <v>37</v>
      </c>
      <c r="X51" s="11" t="s">
        <v>329</v>
      </c>
      <c r="Y51" s="11" t="s">
        <v>330</v>
      </c>
      <c r="Z51" s="11" t="s">
        <v>37</v>
      </c>
      <c r="AA51" s="12" t="s">
        <v>37</v>
      </c>
    </row>
    <row r="52" customFormat="false" ht="16.4" hidden="false" customHeight="false" outlineLevel="0" collapsed="false">
      <c r="A52" s="15" t="s">
        <v>331</v>
      </c>
      <c r="B52" s="3" t="s">
        <v>59</v>
      </c>
      <c r="C52" s="3" t="s">
        <v>37</v>
      </c>
      <c r="D52" s="16" t="n">
        <v>0</v>
      </c>
      <c r="E52" s="3" t="n">
        <f aca="false">VLOOKUP(D52,'[1]REF Tables'!$A$2:$B$40,2)</f>
        <v>10</v>
      </c>
      <c r="F52" s="3" t="s">
        <v>315</v>
      </c>
      <c r="G52" s="3" t="n">
        <v>10</v>
      </c>
      <c r="H52" s="3" t="s">
        <v>332</v>
      </c>
      <c r="I52" s="3" t="s">
        <v>333</v>
      </c>
      <c r="J52" s="3" t="n">
        <v>4</v>
      </c>
      <c r="K52" s="1" t="str">
        <f aca="false">IF(J52=1,"-5",IF(OR(J52=2,J52=3),"-4",IF(OR(J52=4,J52=5),"-3",IF(OR(J52=6,J52=7),"-2",IF(OR(J52=8,J52=9),"-1",IF(OR(J52=10,J52=11),"0",IF(OR(J52=12,J52=13),"+1",IF(OR(J52=14,J52=15),"+2",IF(OR(J52=16,J52=17),"+3",IF(OR(J52=18,J52=19),"+4",IF(OR(J52=20,J52=21),"+5",IF(OR(J52=22,J52=23),"+6",IF(OR(J52=24,J52=25),"+7",IF(OR(J52=26,J52=27),"+8",IF(OR(J52=28,J52=29),"+9",IF(J52=30,"+10"," "))))))))))))))))</f>
        <v>-3</v>
      </c>
      <c r="L52" s="3" t="n">
        <v>11</v>
      </c>
      <c r="M52" s="1" t="str">
        <f aca="false">IF(L52=1,"-5",IF(OR(L52=2,L52=3),"-4",IF(OR(L52=4,L52=5),"-3",IF(OR(L52=6,L52=7),"-2",IF(OR(L52=8,L52=9),"-1",IF(OR(L52=10,L52=11),"0",IF(OR(L52=12,L52=13),"+1",IF(OR(L52=14,L52=15),"+2",IF(OR(L52=16,L52=17),"+3",IF(OR(L52=18,L52=19),"+4",IF(OR(L52=20,L52=21),"+5",IF(OR(L52=22,L52=23),"+6",IF(OR(L52=24,L52=25),"+7",IF(OR(L52=26,L52=27),"+8",IF(OR(L52=28,L52=29),"+9",IF(L52=30,"+10"," "))))))))))))))))</f>
        <v>0</v>
      </c>
      <c r="N52" s="3" t="n">
        <v>12</v>
      </c>
      <c r="O52" s="1" t="str">
        <f aca="false">IF(N52=1,"-5",IF(OR(N52=2,N52=3),"-4",IF(OR(N52=4,N52=5),"-3",IF(OR(N52=6,N52=7),"-2",IF(OR(N52=8,N52=9),"-1",IF(OR(N52=10,N52=11),"0",IF(OR(N52=12,N52=13),"+1",IF(OR(N52=14,N52=15),"+2",IF(OR(N52=16,N52=17),"+3",IF(OR(N52=18,N52=19),"+4",IF(OR(N52=20,N52=21),"+5",IF(OR(N52=22,N52=23),"+6",IF(OR(N52=24,N52=25),"+7",IF(OR(N52=26,N52=27),"+8",IF(OR(N52=28,N52=29),"+9",IF(N52=30,"+10"," "))))))))))))))))</f>
        <v>+1</v>
      </c>
      <c r="P52" s="3" t="n">
        <v>2</v>
      </c>
      <c r="Q52" s="1" t="str">
        <f aca="false">IF(P52=1,"-5",IF(OR(P52=2,P52=3),"-4",IF(OR(P52=4,P52=5),"-3",IF(OR(P52=6,P52=7),"-2",IF(OR(P52=8,P52=9),"-1",IF(OR(P52=10,P52=11),"0",IF(OR(P52=12,P52=13),"+1",IF(OR(P52=14,P52=15),"+2",IF(OR(P52=16,P52=17),"+3",IF(OR(P52=18,P52=19),"+4",IF(OR(P52=20,P52=21),"+5",IF(OR(P52=22,P52=23),"+6",IF(OR(P52=24,P52=25),"+7",IF(OR(P52=26,P52=27),"+8",IF(OR(P52=28,P52=29),"+9",IF(P52=30,"+10"," "))))))))))))))))</f>
        <v>-4</v>
      </c>
      <c r="R52" s="3" t="n">
        <v>12</v>
      </c>
      <c r="S52" s="1" t="str">
        <f aca="false">IF(R52=1,"-5",IF(OR(R52=2,R52=3),"-4",IF(OR(R52=4,R52=5),"-3",IF(OR(R52=6,R52=7),"-2",IF(OR(R52=8,R52=9),"-1",IF(OR(R52=10,R52=11),"0",IF(OR(R52=12,R52=13),"+1",IF(OR(R52=14,R52=15),"+2",IF(OR(R52=16,R52=17),"+3",IF(OR(R52=18,R52=19),"+4",IF(OR(R52=20,R52=21),"+5",IF(OR(R52=22,R52=23),"+6",IF(OR(R52=24,R52=25),"+7",IF(OR(R52=26,R52=27),"+8",IF(OR(R52=28,R52=29),"+9",IF(R52=30,"+10"," "))))))))))))))))</f>
        <v>+1</v>
      </c>
      <c r="T52" s="3" t="n">
        <v>5</v>
      </c>
      <c r="U52" s="1" t="str">
        <f aca="false">IF(T52=1,"-5",IF(OR(T52=2,T52=3),"-4",IF(OR(T52=4,T52=5),"-3",IF(OR(T52=6,T52=7),"-2",IF(OR(T52=8,T52=9),"-1",IF(OR(T52=10,T52=11),"0",IF(OR(T52=12,T52=13),"+1",IF(OR(T52=14,T52=15),"+2",IF(OR(T52=16,T52=17),"+3",IF(OR(T52=18,T52=19),"+4",IF(OR(T52=20,T52=21),"+5",IF(OR(T52=22,T52=23),"+6",IF(OR(T52=24,T52=25),"+7",IF(OR(T52=26,T52=27),"+8",IF(OR(T52=28,T52=29),"+9",IF(T52=30,"+10"," "))))))))))))))))</f>
        <v>-3</v>
      </c>
      <c r="V52" s="3" t="s">
        <v>37</v>
      </c>
      <c r="W52" s="3" t="s">
        <v>37</v>
      </c>
      <c r="X52" s="11" t="s">
        <v>334</v>
      </c>
      <c r="Y52" s="11" t="s">
        <v>335</v>
      </c>
      <c r="Z52" s="11" t="s">
        <v>37</v>
      </c>
      <c r="AA52" s="12" t="s">
        <v>37</v>
      </c>
    </row>
    <row r="53" customFormat="false" ht="16.4" hidden="false" customHeight="false" outlineLevel="0" collapsed="false">
      <c r="A53" s="15" t="s">
        <v>336</v>
      </c>
      <c r="B53" s="3" t="s">
        <v>59</v>
      </c>
      <c r="C53" s="3" t="s">
        <v>37</v>
      </c>
      <c r="D53" s="16" t="n">
        <v>0.25</v>
      </c>
      <c r="E53" s="3" t="n">
        <f aca="false">VLOOKUP(D53,'[1]REF Tables'!$A$2:$B$40,2)</f>
        <v>50</v>
      </c>
      <c r="F53" s="3" t="s">
        <v>30</v>
      </c>
      <c r="G53" s="3" t="n">
        <v>10</v>
      </c>
      <c r="H53" s="3" t="s">
        <v>136</v>
      </c>
      <c r="I53" s="3" t="s">
        <v>117</v>
      </c>
      <c r="J53" s="3" t="n">
        <v>13</v>
      </c>
      <c r="K53" s="1" t="str">
        <f aca="false">IF(J53=1,"-5",IF(OR(J53=2,J53=3),"-4",IF(OR(J53=4,J53=5),"-3",IF(OR(J53=6,J53=7),"-2",IF(OR(J53=8,J53=9),"-1",IF(OR(J53=10,J53=11),"0",IF(OR(J53=12,J53=13),"+1",IF(OR(J53=14,J53=15),"+2",IF(OR(J53=16,J53=17),"+3",IF(OR(J53=18,J53=19),"+4",IF(OR(J53=20,J53=21),"+5",IF(OR(J53=22,J53=23),"+6",IF(OR(J53=24,J53=25),"+7",IF(OR(J53=26,J53=27),"+8",IF(OR(J53=28,J53=29),"+9",IF(J53=30,"+10"," "))))))))))))))))</f>
        <v>+1</v>
      </c>
      <c r="L53" s="3" t="n">
        <v>10</v>
      </c>
      <c r="M53" s="1" t="str">
        <f aca="false">IF(L53=1,"-5",IF(OR(L53=2,L53=3),"-4",IF(OR(L53=4,L53=5),"-3",IF(OR(L53=6,L53=7),"-2",IF(OR(L53=8,L53=9),"-1",IF(OR(L53=10,L53=11),"0",IF(OR(L53=12,L53=13),"+1",IF(OR(L53=14,L53=15),"+2",IF(OR(L53=16,L53=17),"+3",IF(OR(L53=18,L53=19),"+4",IF(OR(L53=20,L53=21),"+5",IF(OR(L53=22,L53=23),"+6",IF(OR(L53=24,L53=25),"+7",IF(OR(L53=26,L53=27),"+8",IF(OR(L53=28,L53=29),"+9",IF(L53=30,"+10"," "))))))))))))))))</f>
        <v>0</v>
      </c>
      <c r="N53" s="3" t="n">
        <v>15</v>
      </c>
      <c r="O53" s="1" t="str">
        <f aca="false">IF(N53=1,"-5",IF(OR(N53=2,N53=3),"-4",IF(OR(N53=4,N53=5),"-3",IF(OR(N53=6,N53=7),"-2",IF(OR(N53=8,N53=9),"-1",IF(OR(N53=10,N53=11),"0",IF(OR(N53=12,N53=13),"+1",IF(OR(N53=14,N53=15),"+2",IF(OR(N53=16,N53=17),"+3",IF(OR(N53=18,N53=19),"+4",IF(OR(N53=20,N53=21),"+5",IF(OR(N53=22,N53=23),"+6",IF(OR(N53=24,N53=25),"+7",IF(OR(N53=26,N53=27),"+8",IF(OR(N53=28,N53=29),"+9",IF(N53=30,"+10"," "))))))))))))))))</f>
        <v>+2</v>
      </c>
      <c r="P53" s="3" t="n">
        <v>2</v>
      </c>
      <c r="Q53" s="1" t="str">
        <f aca="false">IF(P53=1,"-5",IF(OR(P53=2,P53=3),"-4",IF(OR(P53=4,P53=5),"-3",IF(OR(P53=6,P53=7),"-2",IF(OR(P53=8,P53=9),"-1",IF(OR(P53=10,P53=11),"0",IF(OR(P53=12,P53=13),"+1",IF(OR(P53=14,P53=15),"+2",IF(OR(P53=16,P53=17),"+3",IF(OR(P53=18,P53=19),"+4",IF(OR(P53=20,P53=21),"+5",IF(OR(P53=22,P53=23),"+6",IF(OR(P53=24,P53=25),"+7",IF(OR(P53=26,P53=27),"+8",IF(OR(P53=28,P53=29),"+9",IF(P53=30,"+10"," "))))))))))))))))</f>
        <v>-4</v>
      </c>
      <c r="R53" s="3" t="n">
        <v>12</v>
      </c>
      <c r="S53" s="1" t="str">
        <f aca="false">IF(R53=1,"-5",IF(OR(R53=2,R53=3),"-4",IF(OR(R53=4,R53=5),"-3",IF(OR(R53=6,R53=7),"-2",IF(OR(R53=8,R53=9),"-1",IF(OR(R53=10,R53=11),"0",IF(OR(R53=12,R53=13),"+1",IF(OR(R53=14,R53=15),"+2",IF(OR(R53=16,R53=17),"+3",IF(OR(R53=18,R53=19),"+4",IF(OR(R53=20,R53=21),"+5",IF(OR(R53=22,R53=23),"+6",IF(OR(R53=24,R53=25),"+7",IF(OR(R53=26,R53=27),"+8",IF(OR(R53=28,R53=29),"+9",IF(R53=30,"+10"," "))))))))))))))))</f>
        <v>+1</v>
      </c>
      <c r="T53" s="3" t="n">
        <v>5</v>
      </c>
      <c r="U53" s="1" t="str">
        <f aca="false">IF(T53=1,"-5",IF(OR(T53=2,T53=3),"-4",IF(OR(T53=4,T53=5),"-3",IF(OR(T53=6,T53=7),"-2",IF(OR(T53=8,T53=9),"-1",IF(OR(T53=10,T53=11),"0",IF(OR(T53=12,T53=13),"+1",IF(OR(T53=14,T53=15),"+2",IF(OR(T53=16,T53=17),"+3",IF(OR(T53=18,T53=19),"+4",IF(OR(T53=20,T53=21),"+5",IF(OR(T53=22,T53=23),"+6",IF(OR(T53=24,T53=25),"+7",IF(OR(T53=26,T53=27),"+8",IF(OR(T53=28,T53=29),"+9",IF(T53=30,"+10"," "))))))))))))))))</f>
        <v>-3</v>
      </c>
      <c r="V53" s="3" t="s">
        <v>37</v>
      </c>
      <c r="W53" s="3" t="s">
        <v>37</v>
      </c>
      <c r="X53" s="11" t="s">
        <v>334</v>
      </c>
      <c r="Y53" s="11" t="s">
        <v>337</v>
      </c>
      <c r="Z53" s="11" t="s">
        <v>37</v>
      </c>
      <c r="AA53" s="12" t="s">
        <v>37</v>
      </c>
    </row>
    <row r="54" customFormat="false" ht="16.4" hidden="false" customHeight="false" outlineLevel="0" collapsed="false">
      <c r="A54" s="15" t="s">
        <v>338</v>
      </c>
      <c r="B54" s="3" t="s">
        <v>77</v>
      </c>
      <c r="C54" s="3" t="s">
        <v>222</v>
      </c>
      <c r="D54" s="16" t="n">
        <v>2</v>
      </c>
      <c r="E54" s="3" t="n">
        <f aca="false">VLOOKUP(D54,'[1]REF Tables'!$A$2:$B$40,2)</f>
        <v>450</v>
      </c>
      <c r="F54" s="3" t="s">
        <v>30</v>
      </c>
      <c r="G54" s="3" t="n">
        <v>13</v>
      </c>
      <c r="H54" s="3" t="s">
        <v>339</v>
      </c>
      <c r="I54" s="3" t="s">
        <v>42</v>
      </c>
      <c r="J54" s="3" t="n">
        <v>16</v>
      </c>
      <c r="K54" s="1" t="str">
        <f aca="false">IF(J54=1,"-5",IF(OR(J54=2,J54=3),"-4",IF(OR(J54=4,J54=5),"-3",IF(OR(J54=6,J54=7),"-2",IF(OR(J54=8,J54=9),"-1",IF(OR(J54=10,J54=11),"0",IF(OR(J54=12,J54=13),"+1",IF(OR(J54=14,J54=15),"+2",IF(OR(J54=16,J54=17),"+3",IF(OR(J54=18,J54=19),"+4",IF(OR(J54=20,J54=21),"+5",IF(OR(J54=22,J54=23),"+6",IF(OR(J54=24,J54=25),"+7",IF(OR(J54=26,J54=27),"+8",IF(OR(J54=28,J54=29),"+9",IF(J54=30,"+10"," "))))))))))))))))</f>
        <v>+3</v>
      </c>
      <c r="L54" s="3" t="n">
        <v>17</v>
      </c>
      <c r="M54" s="1" t="str">
        <f aca="false">IF(L54=1,"-5",IF(OR(L54=2,L54=3),"-4",IF(OR(L54=4,L54=5),"-3",IF(OR(L54=6,L54=7),"-2",IF(OR(L54=8,L54=9),"-1",IF(OR(L54=10,L54=11),"0",IF(OR(L54=12,L54=13),"+1",IF(OR(L54=14,L54=15),"+2",IF(OR(L54=16,L54=17),"+3",IF(OR(L54=18,L54=19),"+4",IF(OR(L54=20,L54=21),"+5",IF(OR(L54=22,L54=23),"+6",IF(OR(L54=24,L54=25),"+7",IF(OR(L54=26,L54=27),"+8",IF(OR(L54=28,L54=29),"+9",IF(L54=30,"+10"," "))))))))))))))))</f>
        <v>+3</v>
      </c>
      <c r="N54" s="3" t="n">
        <v>10</v>
      </c>
      <c r="O54" s="1" t="str">
        <f aca="false">IF(N54=1,"-5",IF(OR(N54=2,N54=3),"-4",IF(OR(N54=4,N54=5),"-3",IF(OR(N54=6,N54=7),"-2",IF(OR(N54=8,N54=9),"-1",IF(OR(N54=10,N54=11),"0",IF(OR(N54=12,N54=13),"+1",IF(OR(N54=14,N54=15),"+2",IF(OR(N54=16,N54=17),"+3",IF(OR(N54=18,N54=19),"+4",IF(OR(N54=20,N54=21),"+5",IF(OR(N54=22,N54=23),"+6",IF(OR(N54=24,N54=25),"+7",IF(OR(N54=26,N54=27),"+8",IF(OR(N54=28,N54=29),"+9",IF(N54=30,"+10"," "))))))))))))))))</f>
        <v>0</v>
      </c>
      <c r="P54" s="3" t="n">
        <v>11</v>
      </c>
      <c r="Q54" s="1" t="str">
        <f aca="false">IF(P54=1,"-5",IF(OR(P54=2,P54=3),"-4",IF(OR(P54=4,P54=5),"-3",IF(OR(P54=6,P54=7),"-2",IF(OR(P54=8,P54=9),"-1",IF(OR(P54=10,P54=11),"0",IF(OR(P54=12,P54=13),"+1",IF(OR(P54=14,P54=15),"+2",IF(OR(P54=16,P54=17),"+3",IF(OR(P54=18,P54=19),"+4",IF(OR(P54=20,P54=21),"+5",IF(OR(P54=22,P54=23),"+6",IF(OR(P54=24,P54=25),"+7",IF(OR(P54=26,P54=27),"+8",IF(OR(P54=28,P54=29),"+9",IF(P54=30,"+10"," "))))))))))))))))</f>
        <v>0</v>
      </c>
      <c r="R54" s="3" t="n">
        <v>10</v>
      </c>
      <c r="S54" s="1" t="str">
        <f aca="false">IF(R54=1,"-5",IF(OR(R54=2,R54=3),"-4",IF(OR(R54=4,R54=5),"-3",IF(OR(R54=6,R54=7),"-2",IF(OR(R54=8,R54=9),"-1",IF(OR(R54=10,R54=11),"0",IF(OR(R54=12,R54=13),"+1",IF(OR(R54=14,R54=15),"+2",IF(OR(R54=16,R54=17),"+3",IF(OR(R54=18,R54=19),"+4",IF(OR(R54=20,R54=21),"+5",IF(OR(R54=22,R54=23),"+6",IF(OR(R54=24,R54=25),"+7",IF(OR(R54=26,R54=27),"+8",IF(OR(R54=28,R54=29),"+9",IF(R54=30,"+10"," "))))))))))))))))</f>
        <v>0</v>
      </c>
      <c r="T54" s="3" t="n">
        <v>8</v>
      </c>
      <c r="U54" s="1" t="str">
        <f aca="false">IF(T54=1,"-5",IF(OR(T54=2,T54=3),"-4",IF(OR(T54=4,T54=5),"-3",IF(OR(T54=6,T54=7),"-2",IF(OR(T54=8,T54=9),"-1",IF(OR(T54=10,T54=11),"0",IF(OR(T54=12,T54=13),"+1",IF(OR(T54=14,T54=15),"+2",IF(OR(T54=16,T54=17),"+3",IF(OR(T54=18,T54=19),"+4",IF(OR(T54=20,T54=21),"+5",IF(OR(T54=22,T54=23),"+6",IF(OR(T54=24,T54=25),"+7",IF(OR(T54=26,T54=27),"+8",IF(OR(T54=28,T54=29),"+9",IF(T54=30,"+10"," "))))))))))))))))</f>
        <v>-1</v>
      </c>
      <c r="V54" s="3" t="s">
        <v>37</v>
      </c>
      <c r="W54" s="3" t="s">
        <v>271</v>
      </c>
      <c r="X54" s="11" t="s">
        <v>340</v>
      </c>
      <c r="Y54" s="11" t="s">
        <v>341</v>
      </c>
      <c r="Z54" s="11" t="s">
        <v>37</v>
      </c>
      <c r="AA54" s="12" t="s">
        <v>37</v>
      </c>
    </row>
    <row r="55" customFormat="false" ht="16.4" hidden="false" customHeight="false" outlineLevel="0" collapsed="false">
      <c r="A55" s="15" t="s">
        <v>342</v>
      </c>
      <c r="B55" s="3" t="s">
        <v>77</v>
      </c>
      <c r="C55" s="3" t="s">
        <v>222</v>
      </c>
      <c r="D55" s="16" t="n">
        <v>6</v>
      </c>
      <c r="E55" s="6" t="n">
        <f aca="false">VLOOKUP(D55,'[1]REF Tables'!$A$2:$B$40,2)</f>
        <v>2300</v>
      </c>
      <c r="F55" s="3" t="s">
        <v>30</v>
      </c>
      <c r="G55" s="3" t="n">
        <v>15</v>
      </c>
      <c r="H55" s="3" t="s">
        <v>343</v>
      </c>
      <c r="I55" s="3" t="s">
        <v>42</v>
      </c>
      <c r="J55" s="3" t="n">
        <v>15</v>
      </c>
      <c r="K55" s="1" t="str">
        <f aca="false">IF(J55=1,"-5",IF(OR(J55=2,J55=3),"-4",IF(OR(J55=4,J55=5),"-3",IF(OR(J55=6,J55=7),"-2",IF(OR(J55=8,J55=9),"-1",IF(OR(J55=10,J55=11),"0",IF(OR(J55=12,J55=13),"+1",IF(OR(J55=14,J55=15),"+2",IF(OR(J55=16,J55=17),"+3",IF(OR(J55=18,J55=19),"+4",IF(OR(J55=20,J55=21),"+5",IF(OR(J55=22,J55=23),"+6",IF(OR(J55=24,J55=25),"+7",IF(OR(J55=26,J55=27),"+8",IF(OR(J55=28,J55=29),"+9",IF(J55=30,"+10"," "))))))))))))))))</f>
        <v>+2</v>
      </c>
      <c r="L55" s="3" t="n">
        <v>16</v>
      </c>
      <c r="M55" s="1" t="str">
        <f aca="false">IF(L55=1,"-5",IF(OR(L55=2,L55=3),"-4",IF(OR(L55=4,L55=5),"-3",IF(OR(L55=6,L55=7),"-2",IF(OR(L55=8,L55=9),"-1",IF(OR(L55=10,L55=11),"0",IF(OR(L55=12,L55=13),"+1",IF(OR(L55=14,L55=15),"+2",IF(OR(L55=16,L55=17),"+3",IF(OR(L55=18,L55=19),"+4",IF(OR(L55=20,L55=21),"+5",IF(OR(L55=22,L55=23),"+6",IF(OR(L55=24,L55=25),"+7",IF(OR(L55=26,L55=27),"+8",IF(OR(L55=28,L55=29),"+9",IF(L55=30,"+10"," "))))))))))))))))</f>
        <v>+3</v>
      </c>
      <c r="N55" s="3" t="n">
        <v>15</v>
      </c>
      <c r="O55" s="1" t="str">
        <f aca="false">IF(N55=1,"-5",IF(OR(N55=2,N55=3),"-4",IF(OR(N55=4,N55=5),"-3",IF(OR(N55=6,N55=7),"-2",IF(OR(N55=8,N55=9),"-1",IF(OR(N55=10,N55=11),"0",IF(OR(N55=12,N55=13),"+1",IF(OR(N55=14,N55=15),"+2",IF(OR(N55=16,N55=17),"+3",IF(OR(N55=18,N55=19),"+4",IF(OR(N55=20,N55=21),"+5",IF(OR(N55=22,N55=23),"+6",IF(OR(N55=24,N55=25),"+7",IF(OR(N55=26,N55=27),"+8",IF(OR(N55=28,N55=29),"+9",IF(N55=30,"+10"," "))))))))))))))))</f>
        <v>+2</v>
      </c>
      <c r="P55" s="3" t="n">
        <v>7</v>
      </c>
      <c r="Q55" s="1" t="str">
        <f aca="false">IF(P55=1,"-5",IF(OR(P55=2,P55=3),"-4",IF(OR(P55=4,P55=5),"-3",IF(OR(P55=6,P55=7),"-2",IF(OR(P55=8,P55=9),"-1",IF(OR(P55=10,P55=11),"0",IF(OR(P55=12,P55=13),"+1",IF(OR(P55=14,P55=15),"+2",IF(OR(P55=16,P55=17),"+3",IF(OR(P55=18,P55=19),"+4",IF(OR(P55=20,P55=21),"+5",IF(OR(P55=22,P55=23),"+6",IF(OR(P55=24,P55=25),"+7",IF(OR(P55=26,P55=27),"+8",IF(OR(P55=28,P55=29),"+9",IF(P55=30,"+10"," "))))))))))))))))</f>
        <v>-2</v>
      </c>
      <c r="R55" s="3" t="n">
        <v>12</v>
      </c>
      <c r="S55" s="1" t="str">
        <f aca="false">IF(R55=1,"-5",IF(OR(R55=2,R55=3),"-4",IF(OR(R55=4,R55=5),"-3",IF(OR(R55=6,R55=7),"-2",IF(OR(R55=8,R55=9),"-1",IF(OR(R55=10,R55=11),"0",IF(OR(R55=12,R55=13),"+1",IF(OR(R55=14,R55=15),"+2",IF(OR(R55=16,R55=17),"+3",IF(OR(R55=18,R55=19),"+4",IF(OR(R55=20,R55=21),"+5",IF(OR(R55=22,R55=23),"+6",IF(OR(R55=24,R55=25),"+7",IF(OR(R55=26,R55=27),"+8",IF(OR(R55=28,R55=29),"+9",IF(R55=30,"+10"," "))))))))))))))))</f>
        <v>+1</v>
      </c>
      <c r="T55" s="3" t="n">
        <v>12</v>
      </c>
      <c r="U55" s="1" t="str">
        <f aca="false">IF(T55=1,"-5",IF(OR(T55=2,T55=3),"-4",IF(OR(T55=4,T55=5),"-3",IF(OR(T55=6,T55=7),"-2",IF(OR(T55=8,T55=9),"-1",IF(OR(T55=10,T55=11),"0",IF(OR(T55=12,T55=13),"+1",IF(OR(T55=14,T55=15),"+2",IF(OR(T55=16,T55=17),"+3",IF(OR(T55=18,T55=19),"+4",IF(OR(T55=20,T55=21),"+5",IF(OR(T55=22,T55=23),"+6",IF(OR(T55=24,T55=25),"+7",IF(OR(T55=26,T55=27),"+8",IF(OR(T55=28,T55=29),"+9",IF(T55=30,"+10"," "))))))))))))))))</f>
        <v>+1</v>
      </c>
      <c r="V55" s="3" t="s">
        <v>344</v>
      </c>
      <c r="W55" s="3" t="s">
        <v>345</v>
      </c>
      <c r="X55" s="11" t="s">
        <v>346</v>
      </c>
      <c r="Y55" s="11" t="s">
        <v>347</v>
      </c>
      <c r="Z55" s="11" t="s">
        <v>37</v>
      </c>
      <c r="AA55" s="12" t="s">
        <v>37</v>
      </c>
    </row>
    <row r="56" customFormat="false" ht="16.4" hidden="false" customHeight="false" outlineLevel="0" collapsed="false">
      <c r="A56" s="15" t="s">
        <v>348</v>
      </c>
      <c r="B56" s="3" t="s">
        <v>59</v>
      </c>
      <c r="C56" s="3" t="s">
        <v>37</v>
      </c>
      <c r="D56" s="5" t="n">
        <v>0.25</v>
      </c>
      <c r="E56" s="3" t="n">
        <f aca="false">VLOOKUP(D56,'[1]REF Tables'!$A$2:$B$40,2)</f>
        <v>50</v>
      </c>
      <c r="F56" s="3" t="s">
        <v>50</v>
      </c>
      <c r="G56" s="3" t="n">
        <v>10</v>
      </c>
      <c r="H56" s="3" t="s">
        <v>60</v>
      </c>
      <c r="I56" s="3" t="s">
        <v>42</v>
      </c>
      <c r="J56" s="3" t="n">
        <v>18</v>
      </c>
      <c r="K56" s="1" t="str">
        <f aca="false">IF(J56=1,"-5",IF(OR(J56=2,J56=3),"-4",IF(OR(J56=4,J56=5),"-3",IF(OR(J56=6,J56=7),"-2",IF(OR(J56=8,J56=9),"-1",IF(OR(J56=10,J56=11),"0",IF(OR(J56=12,J56=13),"+1",IF(OR(J56=14,J56=15),"+2",IF(OR(J56=16,J56=17),"+3",IF(OR(J56=18,J56=19),"+4",IF(OR(J56=20,J56=21),"+5",IF(OR(J56=22,J56=23),"+6",IF(OR(J56=24,J56=25),"+7",IF(OR(J56=26,J56=27),"+8",IF(OR(J56=28,J56=29),"+9",IF(J56=30,"+10"," "))))))))))))))))</f>
        <v>+4</v>
      </c>
      <c r="L56" s="3" t="n">
        <v>10</v>
      </c>
      <c r="M56" s="1" t="str">
        <f aca="false">IF(L56=1,"-5",IF(OR(L56=2,L56=3),"-4",IF(OR(L56=4,L56=5),"-3",IF(OR(L56=6,L56=7),"-2",IF(OR(L56=8,L56=9),"-1",IF(OR(L56=10,L56=11),"0",IF(OR(L56=12,L56=13),"+1",IF(OR(L56=14,L56=15),"+2",IF(OR(L56=16,L56=17),"+3",IF(OR(L56=18,L56=19),"+4",IF(OR(L56=20,L56=21),"+5",IF(OR(L56=22,L56=23),"+6",IF(OR(L56=24,L56=25),"+7",IF(OR(L56=26,L56=27),"+8",IF(OR(L56=28,L56=29),"+9",IF(L56=30,"+10"," "))))))))))))))))</f>
        <v>0</v>
      </c>
      <c r="N56" s="3" t="n">
        <v>14</v>
      </c>
      <c r="O56" s="1" t="str">
        <f aca="false">IF(N56=1,"-5",IF(OR(N56=2,N56=3),"-4",IF(OR(N56=4,N56=5),"-3",IF(OR(N56=6,N56=7),"-2",IF(OR(N56=8,N56=9),"-1",IF(OR(N56=10,N56=11),"0",IF(OR(N56=12,N56=13),"+1",IF(OR(N56=14,N56=15),"+2",IF(OR(N56=16,N56=17),"+3",IF(OR(N56=18,N56=19),"+4",IF(OR(N56=20,N56=21),"+5",IF(OR(N56=22,N56=23),"+6",IF(OR(N56=24,N56=25),"+7",IF(OR(N56=26,N56=27),"+8",IF(OR(N56=28,N56=29),"+9",IF(N56=30,"+10"," "))))))))))))))))</f>
        <v>+2</v>
      </c>
      <c r="P56" s="3" t="n">
        <v>2</v>
      </c>
      <c r="Q56" s="1" t="str">
        <f aca="false">IF(P56=1,"-5",IF(OR(P56=2,P56=3),"-4",IF(OR(P56=4,P56=5),"-3",IF(OR(P56=6,P56=7),"-2",IF(OR(P56=8,P56=9),"-1",IF(OR(P56=10,P56=11),"0",IF(OR(P56=12,P56=13),"+1",IF(OR(P56=14,P56=15),"+2",IF(OR(P56=16,P56=17),"+3",IF(OR(P56=18,P56=19),"+4",IF(OR(P56=20,P56=21),"+5",IF(OR(P56=22,P56=23),"+6",IF(OR(P56=24,P56=25),"+7",IF(OR(P56=26,P56=27),"+8",IF(OR(P56=28,P56=29),"+9",IF(P56=30,"+10"," "))))))))))))))))</f>
        <v>-4</v>
      </c>
      <c r="R56" s="3" t="n">
        <v>10</v>
      </c>
      <c r="S56" s="1" t="str">
        <f aca="false">IF(R56=1,"-5",IF(OR(R56=2,R56=3),"-4",IF(OR(R56=4,R56=5),"-3",IF(OR(R56=6,R56=7),"-2",IF(OR(R56=8,R56=9),"-1",IF(OR(R56=10,R56=11),"0",IF(OR(R56=12,R56=13),"+1",IF(OR(R56=14,R56=15),"+2",IF(OR(R56=16,R56=17),"+3",IF(OR(R56=18,R56=19),"+4",IF(OR(R56=20,R56=21),"+5",IF(OR(R56=22,R56=23),"+6",IF(OR(R56=24,R56=25),"+7",IF(OR(R56=26,R56=27),"+8",IF(OR(R56=28,R56=29),"+9",IF(R56=30,"+10"," "))))))))))))))))</f>
        <v>0</v>
      </c>
      <c r="T56" s="3" t="n">
        <v>4</v>
      </c>
      <c r="U56" s="1" t="str">
        <f aca="false">IF(T56=1,"-5",IF(OR(T56=2,T56=3),"-4",IF(OR(T56=4,T56=5),"-3",IF(OR(T56=6,T56=7),"-2",IF(OR(T56=8,T56=9),"-1",IF(OR(T56=10,T56=11),"0",IF(OR(T56=12,T56=13),"+1",IF(OR(T56=14,T56=15),"+2",IF(OR(T56=16,T56=17),"+3",IF(OR(T56=18,T56=19),"+4",IF(OR(T56=20,T56=21),"+5",IF(OR(T56=22,T56=23),"+6",IF(OR(T56=24,T56=25),"+7",IF(OR(T56=26,T56=27),"+8",IF(OR(T56=28,T56=29),"+9",IF(T56=30,"+10"," "))))))))))))))))</f>
        <v>-3</v>
      </c>
      <c r="V56" s="3" t="s">
        <v>37</v>
      </c>
      <c r="W56" s="3" t="s">
        <v>37</v>
      </c>
      <c r="X56" s="11" t="s">
        <v>349</v>
      </c>
      <c r="Y56" s="11" t="s">
        <v>62</v>
      </c>
      <c r="Z56" s="11" t="s">
        <v>37</v>
      </c>
      <c r="AA56" s="12" t="s">
        <v>37</v>
      </c>
    </row>
    <row r="57" customFormat="false" ht="16.4" hidden="false" customHeight="false" outlineLevel="0" collapsed="false">
      <c r="A57" s="15" t="s">
        <v>350</v>
      </c>
      <c r="B57" s="3" t="s">
        <v>158</v>
      </c>
      <c r="C57" s="3" t="s">
        <v>106</v>
      </c>
      <c r="D57" s="16" t="n">
        <v>5</v>
      </c>
      <c r="E57" s="6" t="n">
        <f aca="false">VLOOKUP(D57,'[1]REF Tables'!$A$2:$B$40,2)</f>
        <v>1800</v>
      </c>
      <c r="F57" s="3" t="s">
        <v>30</v>
      </c>
      <c r="G57" s="3" t="n">
        <v>18</v>
      </c>
      <c r="H57" s="3" t="s">
        <v>178</v>
      </c>
      <c r="I57" s="3" t="s">
        <v>147</v>
      </c>
      <c r="J57" s="3" t="n">
        <v>18</v>
      </c>
      <c r="K57" s="1" t="str">
        <f aca="false">IF(J57=1,"-5",IF(OR(J57=2,J57=3),"-4",IF(OR(J57=4,J57=5),"-3",IF(OR(J57=6,J57=7),"-2",IF(OR(J57=8,J57=9),"-1",IF(OR(J57=10,J57=11),"0",IF(OR(J57=12,J57=13),"+1",IF(OR(J57=14,J57=15),"+2",IF(OR(J57=16,J57=17),"+3",IF(OR(J57=18,J57=19),"+4",IF(OR(J57=20,J57=21),"+5",IF(OR(J57=22,J57=23),"+6",IF(OR(J57=24,J57=25),"+7",IF(OR(J57=26,J57=27),"+8",IF(OR(J57=28,J57=29),"+9",IF(J57=30,"+10"," "))))))))))))))))</f>
        <v>+4</v>
      </c>
      <c r="L57" s="3" t="n">
        <v>12</v>
      </c>
      <c r="M57" s="1" t="str">
        <f aca="false">IF(L57=1,"-5",IF(OR(L57=2,L57=3),"-4",IF(OR(L57=4,L57=5),"-3",IF(OR(L57=6,L57=7),"-2",IF(OR(L57=8,L57=9),"-1",IF(OR(L57=10,L57=11),"0",IF(OR(L57=12,L57=13),"+1",IF(OR(L57=14,L57=15),"+2",IF(OR(L57=16,L57=17),"+3",IF(OR(L57=18,L57=19),"+4",IF(OR(L57=20,L57=21),"+5",IF(OR(L57=22,L57=23),"+6",IF(OR(L57=24,L57=25),"+7",IF(OR(L57=26,L57=27),"+8",IF(OR(L57=28,L57=29),"+9",IF(L57=30,"+10"," "))))))))))))))))</f>
        <v>+1</v>
      </c>
      <c r="N57" s="3" t="n">
        <v>16</v>
      </c>
      <c r="O57" s="1" t="str">
        <f aca="false">IF(N57=1,"-5",IF(OR(N57=2,N57=3),"-4",IF(OR(N57=4,N57=5),"-3",IF(OR(N57=6,N57=7),"-2",IF(OR(N57=8,N57=9),"-1",IF(OR(N57=10,N57=11),"0",IF(OR(N57=12,N57=13),"+1",IF(OR(N57=14,N57=15),"+2",IF(OR(N57=16,N57=17),"+3",IF(OR(N57=18,N57=19),"+4",IF(OR(N57=20,N57=21),"+5",IF(OR(N57=22,N57=23),"+6",IF(OR(N57=24,N57=25),"+7",IF(OR(N57=26,N57=27),"+8",IF(OR(N57=28,N57=29),"+9",IF(N57=30,"+10"," "))))))))))))))))</f>
        <v>+3</v>
      </c>
      <c r="P57" s="3" t="n">
        <v>10</v>
      </c>
      <c r="Q57" s="1" t="str">
        <f aca="false">IF(P57=1,"-5",IF(OR(P57=2,P57=3),"-4",IF(OR(P57=4,P57=5),"-3",IF(OR(P57=6,P57=7),"-2",IF(OR(P57=8,P57=9),"-1",IF(OR(P57=10,P57=11),"0",IF(OR(P57=12,P57=13),"+1",IF(OR(P57=14,P57=15),"+2",IF(OR(P57=16,P57=17),"+3",IF(OR(P57=18,P57=19),"+4",IF(OR(P57=20,P57=21),"+5",IF(OR(P57=22,P57=23),"+6",IF(OR(P57=24,P57=25),"+7",IF(OR(P57=26,P57=27),"+8",IF(OR(P57=28,P57=29),"+9",IF(P57=30,"+10"," "))))))))))))))))</f>
        <v>0</v>
      </c>
      <c r="R57" s="3" t="n">
        <v>13</v>
      </c>
      <c r="S57" s="1" t="str">
        <f aca="false">IF(R57=1,"-5",IF(OR(R57=2,R57=3),"-4",IF(OR(R57=4,R57=5),"-3",IF(OR(R57=6,R57=7),"-2",IF(OR(R57=8,R57=9),"-1",IF(OR(R57=10,R57=11),"0",IF(OR(R57=12,R57=13),"+1",IF(OR(R57=14,R57=15),"+2",IF(OR(R57=16,R57=17),"+3",IF(OR(R57=18,R57=19),"+4",IF(OR(R57=20,R57=21),"+5",IF(OR(R57=22,R57=23),"+6",IF(OR(R57=24,R57=25),"+7",IF(OR(R57=26,R57=27),"+8",IF(OR(R57=28,R57=29),"+9",IF(R57=30,"+10"," "))))))))))))))))</f>
        <v>+1</v>
      </c>
      <c r="T57" s="3" t="n">
        <v>8</v>
      </c>
      <c r="U57" s="1" t="str">
        <f aca="false">IF(T57=1,"-5",IF(OR(T57=2,T57=3),"-4",IF(OR(T57=4,T57=5),"-3",IF(OR(T57=6,T57=7),"-2",IF(OR(T57=8,T57=9),"-1",IF(OR(T57=10,T57=11),"0",IF(OR(T57=12,T57=13),"+1",IF(OR(T57=14,T57=15),"+2",IF(OR(T57=16,T57=17),"+3",IF(OR(T57=18,T57=19),"+4",IF(OR(T57=20,T57=21),"+5",IF(OR(T57=22,T57=23),"+6",IF(OR(T57=24,T57=25),"+7",IF(OR(T57=26,T57=27),"+8",IF(OR(T57=28,T57=29),"+9",IF(T57=30,"+10"," "))))))))))))))))</f>
        <v>-1</v>
      </c>
      <c r="V57" s="3" t="s">
        <v>351</v>
      </c>
      <c r="W57" s="3" t="s">
        <v>352</v>
      </c>
      <c r="X57" s="11" t="s">
        <v>353</v>
      </c>
      <c r="Y57" s="11" t="s">
        <v>354</v>
      </c>
      <c r="Z57" s="11" t="s">
        <v>37</v>
      </c>
      <c r="AA57" s="12" t="s">
        <v>37</v>
      </c>
    </row>
    <row r="58" customFormat="false" ht="16.4" hidden="false" customHeight="false" outlineLevel="0" collapsed="false">
      <c r="A58" s="15" t="s">
        <v>355</v>
      </c>
      <c r="B58" s="3" t="s">
        <v>356</v>
      </c>
      <c r="C58" s="3" t="s">
        <v>222</v>
      </c>
      <c r="D58" s="16" t="n">
        <v>3</v>
      </c>
      <c r="E58" s="3" t="n">
        <f aca="false">VLOOKUP(D58,'[1]REF Tables'!$A$2:$B$40,2)</f>
        <v>700</v>
      </c>
      <c r="F58" s="3" t="s">
        <v>165</v>
      </c>
      <c r="G58" s="3" t="n">
        <v>13</v>
      </c>
      <c r="H58" s="3" t="s">
        <v>357</v>
      </c>
      <c r="I58" s="3" t="s">
        <v>358</v>
      </c>
      <c r="J58" s="3" t="n">
        <v>18</v>
      </c>
      <c r="K58" s="1" t="str">
        <f aca="false">IF(J58=1,"-5",IF(OR(J58=2,J58=3),"-4",IF(OR(J58=4,J58=5),"-3",IF(OR(J58=6,J58=7),"-2",IF(OR(J58=8,J58=9),"-1",IF(OR(J58=10,J58=11),"0",IF(OR(J58=12,J58=13),"+1",IF(OR(J58=14,J58=15),"+2",IF(OR(J58=16,J58=17),"+3",IF(OR(J58=18,J58=19),"+4",IF(OR(J58=20,J58=21),"+5",IF(OR(J58=22,J58=23),"+6",IF(OR(J58=24,J58=25),"+7",IF(OR(J58=26,J58=27),"+8",IF(OR(J58=28,J58=29),"+9",IF(J58=30,"+10"," "))))))))))))))))</f>
        <v>+4</v>
      </c>
      <c r="L58" s="3" t="n">
        <v>13</v>
      </c>
      <c r="M58" s="1" t="str">
        <f aca="false">IF(L58=1,"-5",IF(OR(L58=2,L58=3),"-4",IF(OR(L58=4,L58=5),"-3",IF(OR(L58=6,L58=7),"-2",IF(OR(L58=8,L58=9),"-1",IF(OR(L58=10,L58=11),"0",IF(OR(L58=12,L58=13),"+1",IF(OR(L58=14,L58=15),"+2",IF(OR(L58=16,L58=17),"+3",IF(OR(L58=18,L58=19),"+4",IF(OR(L58=20,L58=21),"+5",IF(OR(L58=22,L58=23),"+6",IF(OR(L58=24,L58=25),"+7",IF(OR(L58=26,L58=27),"+8",IF(OR(L58=28,L58=29),"+9",IF(L58=30,"+10"," "))))))))))))))))</f>
        <v>+1</v>
      </c>
      <c r="N58" s="3" t="n">
        <v>18</v>
      </c>
      <c r="O58" s="1" t="str">
        <f aca="false">IF(N58=1,"-5",IF(OR(N58=2,N58=3),"-4",IF(OR(N58=4,N58=5),"-3",IF(OR(N58=6,N58=7),"-2",IF(OR(N58=8,N58=9),"-1",IF(OR(N58=10,N58=11),"0",IF(OR(N58=12,N58=13),"+1",IF(OR(N58=14,N58=15),"+2",IF(OR(N58=16,N58=17),"+3",IF(OR(N58=18,N58=19),"+4",IF(OR(N58=20,N58=21),"+5",IF(OR(N58=22,N58=23),"+6",IF(OR(N58=24,N58=25),"+7",IF(OR(N58=26,N58=27),"+8",IF(OR(N58=28,N58=29),"+9",IF(N58=30,"+10"," "))))))))))))))))</f>
        <v>+4</v>
      </c>
      <c r="P58" s="3" t="n">
        <v>10</v>
      </c>
      <c r="Q58" s="1" t="str">
        <f aca="false">IF(P58=1,"-5",IF(OR(P58=2,P58=3),"-4",IF(OR(P58=4,P58=5),"-3",IF(OR(P58=6,P58=7),"-2",IF(OR(P58=8,P58=9),"-1",IF(OR(P58=10,P58=11),"0",IF(OR(P58=12,P58=13),"+1",IF(OR(P58=14,P58=15),"+2",IF(OR(P58=16,P58=17),"+3",IF(OR(P58=18,P58=19),"+4",IF(OR(P58=20,P58=21),"+5",IF(OR(P58=22,P58=23),"+6",IF(OR(P58=24,P58=25),"+7",IF(OR(P58=26,P58=27),"+8",IF(OR(P58=28,P58=29),"+9",IF(P58=30,"+10"," "))))))))))))))))</f>
        <v>0</v>
      </c>
      <c r="R58" s="3" t="n">
        <v>12</v>
      </c>
      <c r="S58" s="1" t="str">
        <f aca="false">IF(R58=1,"-5",IF(OR(R58=2,R58=3),"-4",IF(OR(R58=4,R58=5),"-3",IF(OR(R58=6,R58=7),"-2",IF(OR(R58=8,R58=9),"-1",IF(OR(R58=10,R58=11),"0",IF(OR(R58=12,R58=13),"+1",IF(OR(R58=14,R58=15),"+2",IF(OR(R58=16,R58=17),"+3",IF(OR(R58=18,R58=19),"+4",IF(OR(R58=20,R58=21),"+5",IF(OR(R58=22,R58=23),"+6",IF(OR(R58=24,R58=25),"+7",IF(OR(R58=26,R58=27),"+8",IF(OR(R58=28,R58=29),"+9",IF(R58=30,"+10"," "))))))))))))))))</f>
        <v>+1</v>
      </c>
      <c r="T58" s="3" t="n">
        <v>9</v>
      </c>
      <c r="U58" s="1" t="str">
        <f aca="false">IF(T58=1,"-5",IF(OR(T58=2,T58=3),"-4",IF(OR(T58=4,T58=5),"-3",IF(OR(T58=6,T58=7),"-2",IF(OR(T58=8,T58=9),"-1",IF(OR(T58=10,T58=11),"0",IF(OR(T58=12,T58=13),"+1",IF(OR(T58=14,T58=15),"+2",IF(OR(T58=16,T58=17),"+3",IF(OR(T58=18,T58=19),"+4",IF(OR(T58=20,T58=21),"+5",IF(OR(T58=22,T58=23),"+6",IF(OR(T58=24,T58=25),"+7",IF(OR(T58=26,T58=27),"+8",IF(OR(T58=28,T58=29),"+9",IF(T58=30,"+10"," "))))))))))))))))</f>
        <v>-1</v>
      </c>
      <c r="V58" s="3" t="s">
        <v>359</v>
      </c>
      <c r="W58" s="3" t="s">
        <v>360</v>
      </c>
      <c r="X58" s="11" t="s">
        <v>361</v>
      </c>
      <c r="Y58" s="11" t="s">
        <v>362</v>
      </c>
      <c r="Z58" s="11" t="s">
        <v>37</v>
      </c>
      <c r="AA58" s="12" t="s">
        <v>37</v>
      </c>
    </row>
    <row r="59" customFormat="false" ht="16.4" hidden="false" customHeight="false" outlineLevel="0" collapsed="false">
      <c r="A59" s="15" t="s">
        <v>363</v>
      </c>
      <c r="B59" s="3" t="s">
        <v>39</v>
      </c>
      <c r="C59" s="3" t="s">
        <v>364</v>
      </c>
      <c r="D59" s="16" t="n">
        <v>3</v>
      </c>
      <c r="E59" s="3" t="n">
        <f aca="false">VLOOKUP(D59,'[1]REF Tables'!$A$2:$B$40,2)</f>
        <v>700</v>
      </c>
      <c r="F59" s="3" t="s">
        <v>30</v>
      </c>
      <c r="G59" s="3" t="n">
        <v>17</v>
      </c>
      <c r="H59" s="3" t="s">
        <v>365</v>
      </c>
      <c r="I59" s="3" t="s">
        <v>42</v>
      </c>
      <c r="J59" s="3" t="n">
        <v>12</v>
      </c>
      <c r="K59" s="1" t="str">
        <f aca="false">IF(J59=1,"-5",IF(OR(J59=2,J59=3),"-4",IF(OR(J59=4,J59=5),"-3",IF(OR(J59=6,J59=7),"-2",IF(OR(J59=8,J59=9),"-1",IF(OR(J59=10,J59=11),"0",IF(OR(J59=12,J59=13),"+1",IF(OR(J59=14,J59=15),"+2",IF(OR(J59=16,J59=17),"+3",IF(OR(J59=18,J59=19),"+4",IF(OR(J59=20,J59=21),"+5",IF(OR(J59=22,J59=23),"+6",IF(OR(J59=24,J59=25),"+7",IF(OR(J59=26,J59=27),"+8",IF(OR(J59=28,J59=29),"+9",IF(J59=30,"+10"," "))))))))))))))))</f>
        <v>+1</v>
      </c>
      <c r="L59" s="3" t="n">
        <v>18</v>
      </c>
      <c r="M59" s="1" t="str">
        <f aca="false">IF(L59=1,"-5",IF(OR(L59=2,L59=3),"-4",IF(OR(L59=4,L59=5),"-3",IF(OR(L59=6,L59=7),"-2",IF(OR(L59=8,L59=9),"-1",IF(OR(L59=10,L59=11),"0",IF(OR(L59=12,L59=13),"+1",IF(OR(L59=14,L59=15),"+2",IF(OR(L59=16,L59=17),"+3",IF(OR(L59=18,L59=19),"+4",IF(OR(L59=20,L59=21),"+5",IF(OR(L59=22,L59=23),"+6",IF(OR(L59=24,L59=25),"+7",IF(OR(L59=26,L59=27),"+8",IF(OR(L59=28,L59=29),"+9",IF(L59=30,"+10"," "))))))))))))))))</f>
        <v>+4</v>
      </c>
      <c r="N59" s="3" t="n">
        <v>12</v>
      </c>
      <c r="O59" s="1" t="str">
        <f aca="false">IF(N59=1,"-5",IF(OR(N59=2,N59=3),"-4",IF(OR(N59=4,N59=5),"-3",IF(OR(N59=6,N59=7),"-2",IF(OR(N59=8,N59=9),"-1",IF(OR(N59=10,N59=11),"0",IF(OR(N59=12,N59=13),"+1",IF(OR(N59=14,N59=15),"+2",IF(OR(N59=16,N59=17),"+3",IF(OR(N59=18,N59=19),"+4",IF(OR(N59=20,N59=21),"+5",IF(OR(N59=22,N59=23),"+6",IF(OR(N59=24,N59=25),"+7",IF(OR(N59=26,N59=27),"+8",IF(OR(N59=28,N59=29),"+9",IF(N59=30,"+10"," "))))))))))))))))</f>
        <v>+1</v>
      </c>
      <c r="P59" s="3" t="n">
        <v>14</v>
      </c>
      <c r="Q59" s="1" t="str">
        <f aca="false">IF(P59=1,"-5",IF(OR(P59=2,P59=3),"-4",IF(OR(P59=4,P59=5),"-3",IF(OR(P59=6,P59=7),"-2",IF(OR(P59=8,P59=9),"-1",IF(OR(P59=10,P59=11),"0",IF(OR(P59=12,P59=13),"+1",IF(OR(P59=14,P59=15),"+2",IF(OR(P59=16,P59=17),"+3",IF(OR(P59=18,P59=19),"+4",IF(OR(P59=20,P59=21),"+5",IF(OR(P59=22,P59=23),"+6",IF(OR(P59=24,P59=25),"+7",IF(OR(P59=26,P59=27),"+8",IF(OR(P59=28,P59=29),"+9",IF(P59=30,"+10"," "))))))))))))))))</f>
        <v>+2</v>
      </c>
      <c r="R59" s="3" t="n">
        <v>11</v>
      </c>
      <c r="S59" s="1" t="str">
        <f aca="false">IF(R59=1,"-5",IF(OR(R59=2,R59=3),"-4",IF(OR(R59=4,R59=5),"-3",IF(OR(R59=6,R59=7),"-2",IF(OR(R59=8,R59=9),"-1",IF(OR(R59=10,R59=11),"0",IF(OR(R59=12,R59=13),"+1",IF(OR(R59=14,R59=15),"+2",IF(OR(R59=16,R59=17),"+3",IF(OR(R59=18,R59=19),"+4",IF(OR(R59=20,R59=21),"+5",IF(OR(R59=22,R59=23),"+6",IF(OR(R59=24,R59=25),"+7",IF(OR(R59=26,R59=27),"+8",IF(OR(R59=28,R59=29),"+9",IF(R59=30,"+10"," "))))))))))))))))</f>
        <v>0</v>
      </c>
      <c r="T59" s="3" t="n">
        <v>15</v>
      </c>
      <c r="U59" s="1" t="str">
        <f aca="false">IF(T59=1,"-5",IF(OR(T59=2,T59=3),"-4",IF(OR(T59=4,T59=5),"-3",IF(OR(T59=6,T59=7),"-2",IF(OR(T59=8,T59=9),"-1",IF(OR(T59=10,T59=11),"0",IF(OR(T59=12,T59=13),"+1",IF(OR(T59=14,T59=15),"+2",IF(OR(T59=16,T59=17),"+3",IF(OR(T59=18,T59=19),"+4",IF(OR(T59=20,T59=21),"+5",IF(OR(T59=22,T59=23),"+6",IF(OR(T59=24,T59=25),"+7",IF(OR(T59=26,T59=27),"+8",IF(OR(T59=28,T59=29),"+9",IF(T59=30,"+10"," "))))))))))))))))</f>
        <v>+2</v>
      </c>
      <c r="V59" s="3" t="s">
        <v>366</v>
      </c>
      <c r="W59" s="3" t="s">
        <v>66</v>
      </c>
      <c r="X59" s="11" t="s">
        <v>367</v>
      </c>
      <c r="Y59" s="11" t="s">
        <v>368</v>
      </c>
      <c r="Z59" s="11" t="s">
        <v>37</v>
      </c>
      <c r="AA59" s="12" t="s">
        <v>37</v>
      </c>
    </row>
    <row r="60" customFormat="false" ht="16.4" hidden="false" customHeight="false" outlineLevel="0" collapsed="false">
      <c r="A60" s="7" t="s">
        <v>363</v>
      </c>
      <c r="B60" s="1" t="s">
        <v>39</v>
      </c>
      <c r="C60" s="1" t="s">
        <v>40</v>
      </c>
      <c r="D60" s="8" t="n">
        <v>3</v>
      </c>
      <c r="E60" s="10" t="n">
        <f aca="false">VLOOKUP(D60,'[1]REF Tables'!$A$2:$B$40,2)</f>
        <v>700</v>
      </c>
      <c r="F60" s="1" t="s">
        <v>30</v>
      </c>
      <c r="G60" s="10" t="n">
        <v>17</v>
      </c>
      <c r="H60" s="1" t="s">
        <v>365</v>
      </c>
      <c r="I60" s="1" t="s">
        <v>42</v>
      </c>
      <c r="J60" s="10" t="n">
        <v>12</v>
      </c>
      <c r="K60" s="1" t="str">
        <f aca="false">IF(J60=1,"-5",IF(OR(J60=2,J60=3),"-4",IF(OR(J60=4,J60=5),"-3",IF(OR(J60=6,J60=7),"-2",IF(OR(J60=8,J60=9),"-1",IF(OR(J60=10,J60=11),"0",IF(OR(J60=12,J60=13),"+1",IF(OR(J60=14,J60=15),"+2",IF(OR(J60=16,J60=17),"+3",IF(OR(J60=18,J60=19),"+4",IF(OR(J60=20,J60=21),"+5",IF(OR(J60=22,J60=23),"+6",IF(OR(J60=24,J60=25),"+7",IF(OR(J60=26,J60=27),"+8",IF(OR(J60=28,J60=29),"+9",IF(J60=30,"+10"," "))))))))))))))))</f>
        <v>+1</v>
      </c>
      <c r="L60" s="10" t="n">
        <v>18</v>
      </c>
      <c r="M60" s="1" t="str">
        <f aca="false">IF(L60=1,"-5",IF(OR(L60=2,L60=3),"-4",IF(OR(L60=4,L60=5),"-3",IF(OR(L60=6,L60=7),"-2",IF(OR(L60=8,L60=9),"-1",IF(OR(L60=10,L60=11),"0",IF(OR(L60=12,L60=13),"+1",IF(OR(L60=14,L60=15),"+2",IF(OR(L60=16,L60=17),"+3",IF(OR(L60=18,L60=19),"+4",IF(OR(L60=20,L60=21),"+5",IF(OR(L60=22,L60=23),"+6",IF(OR(L60=24,L60=25),"+7",IF(OR(L60=26,L60=27),"+8",IF(OR(L60=28,L60=29),"+9",IF(L60=30,"+10"," "))))))))))))))))</f>
        <v>+4</v>
      </c>
      <c r="N60" s="10" t="n">
        <v>12</v>
      </c>
      <c r="O60" s="1" t="str">
        <f aca="false">IF(N60=1,"-5",IF(OR(N60=2,N60=3),"-4",IF(OR(N60=4,N60=5),"-3",IF(OR(N60=6,N60=7),"-2",IF(OR(N60=8,N60=9),"-1",IF(OR(N60=10,N60=11),"0",IF(OR(N60=12,N60=13),"+1",IF(OR(N60=14,N60=15),"+2",IF(OR(N60=16,N60=17),"+3",IF(OR(N60=18,N60=19),"+4",IF(OR(N60=20,N60=21),"+5",IF(OR(N60=22,N60=23),"+6",IF(OR(N60=24,N60=25),"+7",IF(OR(N60=26,N60=27),"+8",IF(OR(N60=28,N60=29),"+9",IF(N60=30,"+10"," "))))))))))))))))</f>
        <v>+1</v>
      </c>
      <c r="P60" s="10" t="n">
        <v>14</v>
      </c>
      <c r="Q60" s="1" t="str">
        <f aca="false">IF(P60=1,"-5",IF(OR(P60=2,P60=3),"-4",IF(OR(P60=4,P60=5),"-3",IF(OR(P60=6,P60=7),"-2",IF(OR(P60=8,P60=9),"-1",IF(OR(P60=10,P60=11),"0",IF(OR(P60=12,P60=13),"+1",IF(OR(P60=14,P60=15),"+2",IF(OR(P60=16,P60=17),"+3",IF(OR(P60=18,P60=19),"+4",IF(OR(P60=20,P60=21),"+5",IF(OR(P60=22,P60=23),"+6",IF(OR(P60=24,P60=25),"+7",IF(OR(P60=26,P60=27),"+8",IF(OR(P60=28,P60=29),"+9",IF(P60=30,"+10"," "))))))))))))))))</f>
        <v>+2</v>
      </c>
      <c r="R60" s="10" t="n">
        <v>11</v>
      </c>
      <c r="S60" s="1" t="str">
        <f aca="false">IF(R60=1,"-5",IF(OR(R60=2,R60=3),"-4",IF(OR(R60=4,R60=5),"-3",IF(OR(R60=6,R60=7),"-2",IF(OR(R60=8,R60=9),"-1",IF(OR(R60=10,R60=11),"0",IF(OR(R60=12,R60=13),"+1",IF(OR(R60=14,R60=15),"+2",IF(OR(R60=16,R60=17),"+3",IF(OR(R60=18,R60=19),"+4",IF(OR(R60=20,R60=21),"+5",IF(OR(R60=22,R60=23),"+6",IF(OR(R60=24,R60=25),"+7",IF(OR(R60=26,R60=27),"+8",IF(OR(R60=28,R60=29),"+9",IF(R60=30,"+10"," "))))))))))))))))</f>
        <v>0</v>
      </c>
      <c r="T60" s="10" t="n">
        <v>15</v>
      </c>
      <c r="U60" s="1" t="str">
        <f aca="false">IF(T60=1,"-5",IF(OR(T60=2,T60=3),"-4",IF(OR(T60=4,T60=5),"-3",IF(OR(T60=6,T60=7),"-2",IF(OR(T60=8,T60=9),"-1",IF(OR(T60=10,T60=11),"0",IF(OR(T60=12,T60=13),"+1",IF(OR(T60=14,T60=15),"+2",IF(OR(T60=16,T60=17),"+3",IF(OR(T60=18,T60=19),"+4",IF(OR(T60=20,T60=21),"+5",IF(OR(T60=22,T60=23),"+6",IF(OR(T60=24,T60=25),"+7",IF(OR(T60=26,T60=27),"+8",IF(OR(T60=28,T60=29),"+9",IF(T60=30,"+10"," "))))))))))))))))</f>
        <v>+2</v>
      </c>
      <c r="V60" s="1" t="s">
        <v>369</v>
      </c>
      <c r="W60" s="1" t="s">
        <v>66</v>
      </c>
      <c r="X60" s="11" t="s">
        <v>370</v>
      </c>
      <c r="Y60" s="11" t="s">
        <v>371</v>
      </c>
      <c r="Z60" s="11" t="s">
        <v>37</v>
      </c>
      <c r="AA60" s="12" t="s">
        <v>37</v>
      </c>
      <c r="AB60" s="1"/>
      <c r="AC60" s="1"/>
      <c r="AD60" s="1"/>
      <c r="AE60" s="1"/>
      <c r="AF60" s="1"/>
    </row>
    <row r="61" customFormat="false" ht="16.4" hidden="false" customHeight="false" outlineLevel="0" collapsed="false">
      <c r="A61" s="15" t="s">
        <v>372</v>
      </c>
      <c r="B61" s="3" t="s">
        <v>373</v>
      </c>
      <c r="C61" s="3" t="s">
        <v>85</v>
      </c>
      <c r="D61" s="5" t="n">
        <v>0.25</v>
      </c>
      <c r="E61" s="3" t="n">
        <f aca="false">VLOOKUP(D61,'[1]REF Tables'!$A$2:$B$40,2)</f>
        <v>50</v>
      </c>
      <c r="F61" s="3" t="s">
        <v>30</v>
      </c>
      <c r="G61" s="3" t="n">
        <v>15</v>
      </c>
      <c r="H61" s="3" t="s">
        <v>152</v>
      </c>
      <c r="I61" s="3" t="s">
        <v>374</v>
      </c>
      <c r="J61" s="3" t="n">
        <v>12</v>
      </c>
      <c r="K61" s="1" t="str">
        <f aca="false">IF(J61=1,"-5",IF(OR(J61=2,J61=3),"-4",IF(OR(J61=4,J61=5),"-3",IF(OR(J61=6,J61=7),"-2",IF(OR(J61=8,J61=9),"-1",IF(OR(J61=10,J61=11),"0",IF(OR(J61=12,J61=13),"+1",IF(OR(J61=14,J61=15),"+2",IF(OR(J61=16,J61=17),"+3",IF(OR(J61=18,J61=19),"+4",IF(OR(J61=20,J61=21),"+5",IF(OR(J61=22,J61=23),"+6",IF(OR(J61=24,J61=25),"+7",IF(OR(J61=26,J61=27),"+8",IF(OR(J61=28,J61=29),"+9",IF(J61=30,"+10"," "))))))))))))))))</f>
        <v>+1</v>
      </c>
      <c r="L61" s="3" t="n">
        <v>12</v>
      </c>
      <c r="M61" s="1" t="str">
        <f aca="false">IF(L61=1,"-5",IF(OR(L61=2,L61=3),"-4",IF(OR(L61=4,L61=5),"-3",IF(OR(L61=6,L61=7),"-2",IF(OR(L61=8,L61=9),"-1",IF(OR(L61=10,L61=11),"0",IF(OR(L61=12,L61=13),"+1",IF(OR(L61=14,L61=15),"+2",IF(OR(L61=16,L61=17),"+3",IF(OR(L61=18,L61=19),"+4",IF(OR(L61=20,L61=21),"+5",IF(OR(L61=22,L61=23),"+6",IF(OR(L61=24,L61=25),"+7",IF(OR(L61=26,L61=27),"+8",IF(OR(L61=28,L61=29),"+9",IF(L61=30,"+10"," "))))))))))))))))</f>
        <v>+1</v>
      </c>
      <c r="N61" s="3" t="n">
        <v>13</v>
      </c>
      <c r="O61" s="1" t="str">
        <f aca="false">IF(N61=1,"-5",IF(OR(N61=2,N61=3),"-4",IF(OR(N61=4,N61=5),"-3",IF(OR(N61=6,N61=7),"-2",IF(OR(N61=8,N61=9),"-1",IF(OR(N61=10,N61=11),"0",IF(OR(N61=12,N61=13),"+1",IF(OR(N61=14,N61=15),"+2",IF(OR(N61=16,N61=17),"+3",IF(OR(N61=18,N61=19),"+4",IF(OR(N61=20,N61=21),"+5",IF(OR(N61=22,N61=23),"+6",IF(OR(N61=24,N61=25),"+7",IF(OR(N61=26,N61=27),"+8",IF(OR(N61=28,N61=29),"+9",IF(N61=30,"+10"," "))))))))))))))))</f>
        <v>+1</v>
      </c>
      <c r="P61" s="3" t="n">
        <v>7</v>
      </c>
      <c r="Q61" s="1" t="str">
        <f aca="false">IF(P61=1,"-5",IF(OR(P61=2,P61=3),"-4",IF(OR(P61=4,P61=5),"-3",IF(OR(P61=6,P61=7),"-2",IF(OR(P61=8,P61=9),"-1",IF(OR(P61=10,P61=11),"0",IF(OR(P61=12,P61=13),"+1",IF(OR(P61=14,P61=15),"+2",IF(OR(P61=16,P61=17),"+3",IF(OR(P61=18,P61=19),"+4",IF(OR(P61=20,P61=21),"+5",IF(OR(P61=22,P61=23),"+6",IF(OR(P61=24,P61=25),"+7",IF(OR(P61=26,P61=27),"+8",IF(OR(P61=28,P61=29),"+9",IF(P61=30,"+10"," "))))))))))))))))</f>
        <v>-2</v>
      </c>
      <c r="R61" s="3" t="n">
        <v>10</v>
      </c>
      <c r="S61" s="1" t="str">
        <f aca="false">IF(R61=1,"-5",IF(OR(R61=2,R61=3),"-4",IF(OR(R61=4,R61=5),"-3",IF(OR(R61=6,R61=7),"-2",IF(OR(R61=8,R61=9),"-1",IF(OR(R61=10,R61=11),"0",IF(OR(R61=12,R61=13),"+1",IF(OR(R61=14,R61=15),"+2",IF(OR(R61=16,R61=17),"+3",IF(OR(R61=18,R61=19),"+4",IF(OR(R61=20,R61=21),"+5",IF(OR(R61=22,R61=23),"+6",IF(OR(R61=24,R61=25),"+7",IF(OR(R61=26,R61=27),"+8",IF(OR(R61=28,R61=29),"+9",IF(R61=30,"+10"," "))))))))))))))))</f>
        <v>0</v>
      </c>
      <c r="T61" s="3" t="n">
        <v>7</v>
      </c>
      <c r="U61" s="1" t="str">
        <f aca="false">IF(T61=1,"-5",IF(OR(T61=2,T61=3),"-4",IF(OR(T61=4,T61=5),"-3",IF(OR(T61=6,T61=7),"-2",IF(OR(T61=8,T61=9),"-1",IF(OR(T61=10,T61=11),"0",IF(OR(T61=12,T61=13),"+1",IF(OR(T61=14,T61=15),"+2",IF(OR(T61=16,T61=17),"+3",IF(OR(T61=18,T61=19),"+4",IF(OR(T61=20,T61=21),"+5",IF(OR(T61=22,T61=23),"+6",IF(OR(T61=24,T61=25),"+7",IF(OR(T61=26,T61=27),"+8",IF(OR(T61=28,T61=29),"+9",IF(T61=30,"+10"," "))))))))))))))))</f>
        <v>-2</v>
      </c>
      <c r="V61" s="3" t="s">
        <v>375</v>
      </c>
      <c r="W61" s="3" t="s">
        <v>376</v>
      </c>
      <c r="X61" s="11" t="s">
        <v>377</v>
      </c>
      <c r="Y61" s="11" t="s">
        <v>378</v>
      </c>
      <c r="Z61" s="11" t="s">
        <v>37</v>
      </c>
      <c r="AA61" s="12" t="s">
        <v>37</v>
      </c>
    </row>
    <row r="62" customFormat="false" ht="16.4" hidden="false" customHeight="false" outlineLevel="0" collapsed="false">
      <c r="A62" s="15" t="s">
        <v>379</v>
      </c>
      <c r="B62" s="3" t="s">
        <v>105</v>
      </c>
      <c r="C62" s="3" t="s">
        <v>37</v>
      </c>
      <c r="D62" s="16" t="n">
        <v>5</v>
      </c>
      <c r="E62" s="6" t="n">
        <f aca="false">VLOOKUP(D62,'[1]REF Tables'!$A$2:$B$40,2)</f>
        <v>1800</v>
      </c>
      <c r="F62" s="3" t="s">
        <v>50</v>
      </c>
      <c r="G62" s="3" t="n">
        <v>17</v>
      </c>
      <c r="H62" s="3" t="s">
        <v>380</v>
      </c>
      <c r="I62" s="3" t="s">
        <v>381</v>
      </c>
      <c r="J62" s="3" t="n">
        <v>19</v>
      </c>
      <c r="K62" s="1" t="str">
        <f aca="false">IF(J62=1,"-5",IF(OR(J62=2,J62=3),"-4",IF(OR(J62=4,J62=5),"-3",IF(OR(J62=6,J62=7),"-2",IF(OR(J62=8,J62=9),"-1",IF(OR(J62=10,J62=11),"0",IF(OR(J62=12,J62=13),"+1",IF(OR(J62=14,J62=15),"+2",IF(OR(J62=16,J62=17),"+3",IF(OR(J62=18,J62=19),"+4",IF(OR(J62=20,J62=21),"+5",IF(OR(J62=22,J62=23),"+6",IF(OR(J62=24,J62=25),"+7",IF(OR(J62=26,J62=27),"+8",IF(OR(J62=28,J62=29),"+9",IF(J62=30,"+10"," "))))))))))))))))</f>
        <v>+4</v>
      </c>
      <c r="L62" s="3" t="n">
        <v>11</v>
      </c>
      <c r="M62" s="1" t="str">
        <f aca="false">IF(L62=1,"-5",IF(OR(L62=2,L62=3),"-4",IF(OR(L62=4,L62=5),"-3",IF(OR(L62=6,L62=7),"-2",IF(OR(L62=8,L62=9),"-1",IF(OR(L62=10,L62=11),"0",IF(OR(L62=12,L62=13),"+1",IF(OR(L62=14,L62=15),"+2",IF(OR(L62=16,L62=17),"+3",IF(OR(L62=18,L62=19),"+4",IF(OR(L62=20,L62=21),"+5",IF(OR(L62=22,L62=23),"+6",IF(OR(L62=24,L62=25),"+7",IF(OR(L62=26,L62=27),"+8",IF(OR(L62=28,L62=29),"+9",IF(L62=30,"+10"," "))))))))))))))))</f>
        <v>0</v>
      </c>
      <c r="N62" s="3" t="n">
        <v>21</v>
      </c>
      <c r="O62" s="1" t="str">
        <f aca="false">IF(N62=1,"-5",IF(OR(N62=2,N62=3),"-4",IF(OR(N62=4,N62=5),"-3",IF(OR(N62=6,N62=7),"-2",IF(OR(N62=8,N62=9),"-1",IF(OR(N62=10,N62=11),"0",IF(OR(N62=12,N62=13),"+1",IF(OR(N62=14,N62=15),"+2",IF(OR(N62=16,N62=17),"+3",IF(OR(N62=18,N62=19),"+4",IF(OR(N62=20,N62=21),"+5",IF(OR(N62=22,N62=23),"+6",IF(OR(N62=24,N62=25),"+7",IF(OR(N62=26,N62=27),"+8",IF(OR(N62=28,N62=29),"+9",IF(N62=30,"+10"," "))))))))))))))))</f>
        <v>+5</v>
      </c>
      <c r="P62" s="3" t="n">
        <v>2</v>
      </c>
      <c r="Q62" s="1" t="str">
        <f aca="false">IF(P62=1,"-5",IF(OR(P62=2,P62=3),"-4",IF(OR(P62=4,P62=5),"-3",IF(OR(P62=6,P62=7),"-2",IF(OR(P62=8,P62=9),"-1",IF(OR(P62=10,P62=11),"0",IF(OR(P62=12,P62=13),"+1",IF(OR(P62=14,P62=15),"+2",IF(OR(P62=16,P62=17),"+3",IF(OR(P62=18,P62=19),"+4",IF(OR(P62=20,P62=21),"+5",IF(OR(P62=22,P62=23),"+6",IF(OR(P62=24,P62=25),"+7",IF(OR(P62=26,P62=27),"+8",IF(OR(P62=28,P62=29),"+9",IF(P62=30,"+10"," "))))))))))))))))</f>
        <v>-4</v>
      </c>
      <c r="R62" s="3" t="n">
        <v>10</v>
      </c>
      <c r="S62" s="1" t="str">
        <f aca="false">IF(R62=1,"-5",IF(OR(R62=2,R62=3),"-4",IF(OR(R62=4,R62=5),"-3",IF(OR(R62=6,R62=7),"-2",IF(OR(R62=8,R62=9),"-1",IF(OR(R62=10,R62=11),"0",IF(OR(R62=12,R62=13),"+1",IF(OR(R62=14,R62=15),"+2",IF(OR(R62=16,R62=17),"+3",IF(OR(R62=18,R62=19),"+4",IF(OR(R62=20,R62=21),"+5",IF(OR(R62=22,R62=23),"+6",IF(OR(R62=24,R62=25),"+7",IF(OR(R62=26,R62=27),"+8",IF(OR(R62=28,R62=29),"+9",IF(R62=30,"+10"," "))))))))))))))))</f>
        <v>0</v>
      </c>
      <c r="T62" s="3" t="n">
        <v>5</v>
      </c>
      <c r="U62" s="1" t="str">
        <f aca="false">IF(T62=1,"-5",IF(OR(T62=2,T62=3),"-4",IF(OR(T62=4,T62=5),"-3",IF(OR(T62=6,T62=7),"-2",IF(OR(T62=8,T62=9),"-1",IF(OR(T62=10,T62=11),"0",IF(OR(T62=12,T62=13),"+1",IF(OR(T62=14,T62=15),"+2",IF(OR(T62=16,T62=17),"+3",IF(OR(T62=18,T62=19),"+4",IF(OR(T62=20,T62=21),"+5",IF(OR(T62=22,T62=23),"+6",IF(OR(T62=24,T62=25),"+7",IF(OR(T62=26,T62=27),"+8",IF(OR(T62=28,T62=29),"+9",IF(T62=30,"+10"," "))))))))))))))))</f>
        <v>-3</v>
      </c>
      <c r="V62" s="3" t="s">
        <v>382</v>
      </c>
      <c r="W62" s="3" t="s">
        <v>37</v>
      </c>
      <c r="X62" s="11" t="s">
        <v>383</v>
      </c>
      <c r="Y62" s="11" t="s">
        <v>384</v>
      </c>
      <c r="Z62" s="11" t="s">
        <v>37</v>
      </c>
      <c r="AA62" s="12" t="s">
        <v>37</v>
      </c>
    </row>
    <row r="63" customFormat="false" ht="16.4" hidden="false" customHeight="false" outlineLevel="0" collapsed="false">
      <c r="A63" s="15" t="s">
        <v>385</v>
      </c>
      <c r="B63" s="3" t="s">
        <v>386</v>
      </c>
      <c r="C63" s="3" t="s">
        <v>78</v>
      </c>
      <c r="D63" s="16" t="n">
        <v>5</v>
      </c>
      <c r="E63" s="6" t="n">
        <f aca="false">VLOOKUP(D63,'[1]REF Tables'!$A$2:$B$40,2)</f>
        <v>1800</v>
      </c>
      <c r="F63" s="3" t="s">
        <v>30</v>
      </c>
      <c r="G63" s="3" t="n">
        <v>19</v>
      </c>
      <c r="H63" s="3" t="s">
        <v>387</v>
      </c>
      <c r="I63" s="3" t="s">
        <v>388</v>
      </c>
      <c r="J63" s="3" t="n">
        <v>18</v>
      </c>
      <c r="K63" s="1" t="str">
        <f aca="false">IF(J63=1,"-5",IF(OR(J63=2,J63=3),"-4",IF(OR(J63=4,J63=5),"-3",IF(OR(J63=6,J63=7),"-2",IF(OR(J63=8,J63=9),"-1",IF(OR(J63=10,J63=11),"0",IF(OR(J63=12,J63=13),"+1",IF(OR(J63=14,J63=15),"+2",IF(OR(J63=16,J63=17),"+3",IF(OR(J63=18,J63=19),"+4",IF(OR(J63=20,J63=21),"+5",IF(OR(J63=22,J63=23),"+6",IF(OR(J63=24,J63=25),"+7",IF(OR(J63=26,J63=27),"+8",IF(OR(J63=28,J63=29),"+9",IF(J63=30,"+10"," "))))))))))))))))</f>
        <v>+4</v>
      </c>
      <c r="L63" s="3" t="n">
        <v>18</v>
      </c>
      <c r="M63" s="1" t="str">
        <f aca="false">IF(L63=1,"-5",IF(OR(L63=2,L63=3),"-4",IF(OR(L63=4,L63=5),"-3",IF(OR(L63=6,L63=7),"-2",IF(OR(L63=8,L63=9),"-1",IF(OR(L63=10,L63=11),"0",IF(OR(L63=12,L63=13),"+1",IF(OR(L63=14,L63=15),"+2",IF(OR(L63=16,L63=17),"+3",IF(OR(L63=18,L63=19),"+4",IF(OR(L63=20,L63=21),"+5",IF(OR(L63=22,L63=23),"+6",IF(OR(L63=24,L63=25),"+7",IF(OR(L63=26,L63=27),"+8",IF(OR(L63=28,L63=29),"+9",IF(L63=30,"+10"," "))))))))))))))))</f>
        <v>+4</v>
      </c>
      <c r="N63" s="3" t="n">
        <v>16</v>
      </c>
      <c r="O63" s="1" t="str">
        <f aca="false">IF(N63=1,"-5",IF(OR(N63=2,N63=3),"-4",IF(OR(N63=4,N63=5),"-3",IF(OR(N63=6,N63=7),"-2",IF(OR(N63=8,N63=9),"-1",IF(OR(N63=10,N63=11),"0",IF(OR(N63=12,N63=13),"+1",IF(OR(N63=14,N63=15),"+2",IF(OR(N63=16,N63=17),"+3",IF(OR(N63=18,N63=19),"+4",IF(OR(N63=20,N63=21),"+5",IF(OR(N63=22,N63=23),"+6",IF(OR(N63=24,N63=25),"+7",IF(OR(N63=26,N63=27),"+8",IF(OR(N63=28,N63=29),"+9",IF(N63=30,"+10"," "))))))))))))))))</f>
        <v>+3</v>
      </c>
      <c r="P63" s="3" t="n">
        <v>14</v>
      </c>
      <c r="Q63" s="1" t="str">
        <f aca="false">IF(P63=1,"-5",IF(OR(P63=2,P63=3),"-4",IF(OR(P63=4,P63=5),"-3",IF(OR(P63=6,P63=7),"-2",IF(OR(P63=8,P63=9),"-1",IF(OR(P63=10,P63=11),"0",IF(OR(P63=12,P63=13),"+1",IF(OR(P63=14,P63=15),"+2",IF(OR(P63=16,P63=17),"+3",IF(OR(P63=18,P63=19),"+4",IF(OR(P63=20,P63=21),"+5",IF(OR(P63=22,P63=23),"+6",IF(OR(P63=24,P63=25),"+7",IF(OR(P63=26,P63=27),"+8",IF(OR(P63=28,P63=29),"+9",IF(P63=30,"+10"," "))))))))))))))))</f>
        <v>+2</v>
      </c>
      <c r="R63" s="3" t="n">
        <v>12</v>
      </c>
      <c r="S63" s="1" t="str">
        <f aca="false">IF(R63=1,"-5",IF(OR(R63=2,R63=3),"-4",IF(OR(R63=4,R63=5),"-3",IF(OR(R63=6,R63=7),"-2",IF(OR(R63=8,R63=9),"-1",IF(OR(R63=10,R63=11),"0",IF(OR(R63=12,R63=13),"+1",IF(OR(R63=14,R63=15),"+2",IF(OR(R63=16,R63=17),"+3",IF(OR(R63=18,R63=19),"+4",IF(OR(R63=20,R63=21),"+5",IF(OR(R63=22,R63=23),"+6",IF(OR(R63=24,R63=25),"+7",IF(OR(R63=26,R63=27),"+8",IF(OR(R63=28,R63=29),"+9",IF(R63=30,"+10"," "))))))))))))))))</f>
        <v>+1</v>
      </c>
      <c r="T63" s="3" t="n">
        <v>16</v>
      </c>
      <c r="U63" s="1" t="str">
        <f aca="false">IF(T63=1,"-5",IF(OR(T63=2,T63=3),"-4",IF(OR(T63=4,T63=5),"-3",IF(OR(T63=6,T63=7),"-2",IF(OR(T63=8,T63=9),"-1",IF(OR(T63=10,T63=11),"0",IF(OR(T63=12,T63=13),"+1",IF(OR(T63=14,T63=15),"+2",IF(OR(T63=16,T63=17),"+3",IF(OR(T63=18,T63=19),"+4",IF(OR(T63=20,T63=21),"+5",IF(OR(T63=22,T63=23),"+6",IF(OR(T63=24,T63=25),"+7",IF(OR(T63=26,T63=27),"+8",IF(OR(T63=28,T63=29),"+9",IF(T63=30,"+10"," "))))))))))))))))</f>
        <v>+3</v>
      </c>
      <c r="V63" s="3" t="s">
        <v>389</v>
      </c>
      <c r="W63" s="3" t="s">
        <v>390</v>
      </c>
      <c r="X63" s="11" t="s">
        <v>391</v>
      </c>
      <c r="Y63" s="11" t="s">
        <v>392</v>
      </c>
      <c r="Z63" s="11" t="s">
        <v>37</v>
      </c>
      <c r="AA63" s="12" t="s">
        <v>37</v>
      </c>
    </row>
    <row r="64" customFormat="false" ht="16.4" hidden="false" customHeight="false" outlineLevel="0" collapsed="false">
      <c r="A64" s="15" t="s">
        <v>393</v>
      </c>
      <c r="B64" s="3" t="s">
        <v>105</v>
      </c>
      <c r="C64" s="3" t="s">
        <v>37</v>
      </c>
      <c r="D64" s="16" t="n">
        <v>5</v>
      </c>
      <c r="E64" s="6" t="n">
        <f aca="false">VLOOKUP(D64,'[1]REF Tables'!$A$2:$B$40,2)</f>
        <v>1800</v>
      </c>
      <c r="F64" s="3" t="s">
        <v>50</v>
      </c>
      <c r="G64" s="3" t="n">
        <v>14</v>
      </c>
      <c r="H64" s="3" t="s">
        <v>394</v>
      </c>
      <c r="I64" s="3" t="s">
        <v>42</v>
      </c>
      <c r="J64" s="3" t="n">
        <v>19</v>
      </c>
      <c r="K64" s="1" t="str">
        <f aca="false">IF(J64=1,"-5",IF(OR(J64=2,J64=3),"-4",IF(OR(J64=4,J64=5),"-3",IF(OR(J64=6,J64=7),"-2",IF(OR(J64=8,J64=9),"-1",IF(OR(J64=10,J64=11),"0",IF(OR(J64=12,J64=13),"+1",IF(OR(J64=14,J64=15),"+2",IF(OR(J64=16,J64=17),"+3",IF(OR(J64=18,J64=19),"+4",IF(OR(J64=20,J64=21),"+5",IF(OR(J64=22,J64=23),"+6",IF(OR(J64=24,J64=25),"+7",IF(OR(J64=26,J64=27),"+8",IF(OR(J64=28,J64=29),"+9",IF(J64=30,"+10"," "))))))))))))))))</f>
        <v>+4</v>
      </c>
      <c r="L64" s="3" t="n">
        <v>12</v>
      </c>
      <c r="M64" s="1" t="str">
        <f aca="false">IF(L64=1,"-5",IF(OR(L64=2,L64=3),"-4",IF(OR(L64=4,L64=5),"-3",IF(OR(L64=6,L64=7),"-2",IF(OR(L64=8,L64=9),"-1",IF(OR(L64=10,L64=11),"0",IF(OR(L64=12,L64=13),"+1",IF(OR(L64=14,L64=15),"+2",IF(OR(L64=16,L64=17),"+3",IF(OR(L64=18,L64=19),"+4",IF(OR(L64=20,L64=21),"+5",IF(OR(L64=22,L64=23),"+6",IF(OR(L64=24,L64=25),"+7",IF(OR(L64=26,L64=27),"+8",IF(OR(L64=28,L64=29),"+9",IF(L64=30,"+10"," "))))))))))))))))</f>
        <v>+1</v>
      </c>
      <c r="N64" s="3" t="n">
        <v>21</v>
      </c>
      <c r="O64" s="1" t="str">
        <f aca="false">IF(N64=1,"-5",IF(OR(N64=2,N64=3),"-4",IF(OR(N64=4,N64=5),"-3",IF(OR(N64=6,N64=7),"-2",IF(OR(N64=8,N64=9),"-1",IF(OR(N64=10,N64=11),"0",IF(OR(N64=12,N64=13),"+1",IF(OR(N64=14,N64=15),"+2",IF(OR(N64=16,N64=17),"+3",IF(OR(N64=18,N64=19),"+4",IF(OR(N64=20,N64=21),"+5",IF(OR(N64=22,N64=23),"+6",IF(OR(N64=24,N64=25),"+7",IF(OR(N64=26,N64=27),"+8",IF(OR(N64=28,N64=29),"+9",IF(N64=30,"+10"," "))))))))))))))))</f>
        <v>+5</v>
      </c>
      <c r="P64" s="3" t="n">
        <v>3</v>
      </c>
      <c r="Q64" s="1" t="str">
        <f aca="false">IF(P64=1,"-5",IF(OR(P64=2,P64=3),"-4",IF(OR(P64=4,P64=5),"-3",IF(OR(P64=6,P64=7),"-2",IF(OR(P64=8,P64=9),"-1",IF(OR(P64=10,P64=11),"0",IF(OR(P64=12,P64=13),"+1",IF(OR(P64=14,P64=15),"+2",IF(OR(P64=16,P64=17),"+3",IF(OR(P64=18,P64=19),"+4",IF(OR(P64=20,P64=21),"+5",IF(OR(P64=22,P64=23),"+6",IF(OR(P64=24,P64=25),"+7",IF(OR(P64=26,P64=27),"+8",IF(OR(P64=28,P64=29),"+9",IF(P64=30,"+10"," "))))))))))))))))</f>
        <v>-4</v>
      </c>
      <c r="R64" s="3" t="n">
        <v>14</v>
      </c>
      <c r="S64" s="1" t="str">
        <f aca="false">IF(R64=1,"-5",IF(OR(R64=2,R64=3),"-4",IF(OR(R64=4,R64=5),"-3",IF(OR(R64=6,R64=7),"-2",IF(OR(R64=8,R64=9),"-1",IF(OR(R64=10,R64=11),"0",IF(OR(R64=12,R64=13),"+1",IF(OR(R64=14,R64=15),"+2",IF(OR(R64=16,R64=17),"+3",IF(OR(R64=18,R64=19),"+4",IF(OR(R64=20,R64=21),"+5",IF(OR(R64=22,R64=23),"+6",IF(OR(R64=24,R64=25),"+7",IF(OR(R64=26,R64=27),"+8",IF(OR(R64=28,R64=29),"+9",IF(R64=30,"+10"," "))))))))))))))))</f>
        <v>+2</v>
      </c>
      <c r="T64" s="3" t="n">
        <v>8</v>
      </c>
      <c r="U64" s="1" t="str">
        <f aca="false">IF(T64=1,"-5",IF(OR(T64=2,T64=3),"-4",IF(OR(T64=4,T64=5),"-3",IF(OR(T64=6,T64=7),"-2",IF(OR(T64=8,T64=9),"-1",IF(OR(T64=10,T64=11),"0",IF(OR(T64=12,T64=13),"+1",IF(OR(T64=14,T64=15),"+2",IF(OR(T64=16,T64=17),"+3",IF(OR(T64=18,T64=19),"+4",IF(OR(T64=20,T64=21),"+5",IF(OR(T64=22,T64=23),"+6",IF(OR(T64=24,T64=25),"+7",IF(OR(T64=26,T64=27),"+8",IF(OR(T64=28,T64=29),"+9",IF(T64=30,"+10"," "))))))))))))))))</f>
        <v>-1</v>
      </c>
      <c r="V64" s="3" t="s">
        <v>37</v>
      </c>
      <c r="W64" s="3" t="s">
        <v>37</v>
      </c>
      <c r="X64" s="11" t="s">
        <v>395</v>
      </c>
      <c r="Y64" s="2" t="s">
        <v>396</v>
      </c>
      <c r="Z64" s="11" t="s">
        <v>37</v>
      </c>
      <c r="AA64" s="12" t="s">
        <v>37</v>
      </c>
    </row>
    <row r="65" customFormat="false" ht="16.4" hidden="false" customHeight="false" outlineLevel="0" collapsed="false">
      <c r="A65" s="15" t="s">
        <v>397</v>
      </c>
      <c r="B65" s="3" t="s">
        <v>105</v>
      </c>
      <c r="C65" s="3" t="s">
        <v>29</v>
      </c>
      <c r="D65" s="16" t="n">
        <v>2</v>
      </c>
      <c r="E65" s="3" t="n">
        <f aca="false">VLOOKUP(D65,'[1]REF Tables'!$A$2:$B$40,2)</f>
        <v>450</v>
      </c>
      <c r="F65" s="3" t="s">
        <v>50</v>
      </c>
      <c r="G65" s="3" t="n">
        <v>12</v>
      </c>
      <c r="H65" s="3" t="s">
        <v>398</v>
      </c>
      <c r="I65" s="3" t="s">
        <v>210</v>
      </c>
      <c r="J65" s="3" t="n">
        <v>18</v>
      </c>
      <c r="K65" s="1" t="str">
        <f aca="false">IF(J65=1,"-5",IF(OR(J65=2,J65=3),"-4",IF(OR(J65=4,J65=5),"-3",IF(OR(J65=6,J65=7),"-2",IF(OR(J65=8,J65=9),"-1",IF(OR(J65=10,J65=11),"0",IF(OR(J65=12,J65=13),"+1",IF(OR(J65=14,J65=15),"+2",IF(OR(J65=16,J65=17),"+3",IF(OR(J65=18,J65=19),"+4",IF(OR(J65=20,J65=21),"+5",IF(OR(J65=22,J65=23),"+6",IF(OR(J65=24,J65=25),"+7",IF(OR(J65=26,J65=27),"+8",IF(OR(J65=28,J65=29),"+9",IF(J65=30,"+10"," "))))))))))))))))</f>
        <v>+4</v>
      </c>
      <c r="L65" s="3" t="n">
        <v>14</v>
      </c>
      <c r="M65" s="1" t="str">
        <f aca="false">IF(L65=1,"-5",IF(OR(L65=2,L65=3),"-4",IF(OR(L65=4,L65=5),"-3",IF(OR(L65=6,L65=7),"-2",IF(OR(L65=8,L65=9),"-1",IF(OR(L65=10,L65=11),"0",IF(OR(L65=12,L65=13),"+1",IF(OR(L65=14,L65=15),"+2",IF(OR(L65=16,L65=17),"+3",IF(OR(L65=18,L65=19),"+4",IF(OR(L65=20,L65=21),"+5",IF(OR(L65=22,L65=23),"+6",IF(OR(L65=24,L65=25),"+7",IF(OR(L65=26,L65=27),"+8",IF(OR(L65=28,L65=29),"+9",IF(L65=30,"+10"," "))))))))))))))))</f>
        <v>+2</v>
      </c>
      <c r="N65" s="3" t="n">
        <v>14</v>
      </c>
      <c r="O65" s="1" t="str">
        <f aca="false">IF(N65=1,"-5",IF(OR(N65=2,N65=3),"-4",IF(OR(N65=4,N65=5),"-3",IF(OR(N65=6,N65=7),"-2",IF(OR(N65=8,N65=9),"-1",IF(OR(N65=10,N65=11),"0",IF(OR(N65=12,N65=13),"+1",IF(OR(N65=14,N65=15),"+2",IF(OR(N65=16,N65=17),"+3",IF(OR(N65=18,N65=19),"+4",IF(OR(N65=20,N65=21),"+5",IF(OR(N65=22,N65=23),"+6",IF(OR(N65=24,N65=25),"+7",IF(OR(N65=26,N65=27),"+8",IF(OR(N65=28,N65=29),"+9",IF(N65=30,"+10"," "))))))))))))))))</f>
        <v>+2</v>
      </c>
      <c r="P65" s="3" t="n">
        <v>9</v>
      </c>
      <c r="Q65" s="1" t="str">
        <f aca="false">IF(P65=1,"-5",IF(OR(P65=2,P65=3),"-4",IF(OR(P65=4,P65=5),"-3",IF(OR(P65=6,P65=7),"-2",IF(OR(P65=8,P65=9),"-1",IF(OR(P65=10,P65=11),"0",IF(OR(P65=12,P65=13),"+1",IF(OR(P65=14,P65=15),"+2",IF(OR(P65=16,P65=17),"+3",IF(OR(P65=18,P65=19),"+4",IF(OR(P65=20,P65=21),"+5",IF(OR(P65=22,P65=23),"+6",IF(OR(P65=24,P65=25),"+7",IF(OR(P65=26,P65=27),"+8",IF(OR(P65=28,P65=29),"+9",IF(P65=30,"+10"," "))))))))))))))))</f>
        <v>-1</v>
      </c>
      <c r="R65" s="3" t="n">
        <v>13</v>
      </c>
      <c r="S65" s="1" t="str">
        <f aca="false">IF(R65=1,"-5",IF(OR(R65=2,R65=3),"-4",IF(OR(R65=4,R65=5),"-3",IF(OR(R65=6,R65=7),"-2",IF(OR(R65=8,R65=9),"-1",IF(OR(R65=10,R65=11),"0",IF(OR(R65=12,R65=13),"+1",IF(OR(R65=14,R65=15),"+2",IF(OR(R65=16,R65=17),"+3",IF(OR(R65=18,R65=19),"+4",IF(OR(R65=20,R65=21),"+5",IF(OR(R65=22,R65=23),"+6",IF(OR(R65=24,R65=25),"+7",IF(OR(R65=26,R65=27),"+8",IF(OR(R65=28,R65=29),"+9",IF(R65=30,"+10"," "))))))))))))))))</f>
        <v>+1</v>
      </c>
      <c r="T65" s="3" t="n">
        <v>11</v>
      </c>
      <c r="U65" s="1" t="str">
        <f aca="false">IF(T65=1,"-5",IF(OR(T65=2,T65=3),"-4",IF(OR(T65=4,T65=5),"-3",IF(OR(T65=6,T65=7),"-2",IF(OR(T65=8,T65=9),"-1",IF(OR(T65=10,T65=11),"0",IF(OR(T65=12,T65=13),"+1",IF(OR(T65=14,T65=15),"+2",IF(OR(T65=16,T65=17),"+3",IF(OR(T65=18,T65=19),"+4",IF(OR(T65=20,T65=21),"+5",IF(OR(T65=22,T65=23),"+6",IF(OR(T65=24,T65=25),"+7",IF(OR(T65=26,T65=27),"+8",IF(OR(T65=28,T65=29),"+9",IF(T65=30,"+10"," "))))))))))))))))</f>
        <v>0</v>
      </c>
      <c r="V65" s="3" t="s">
        <v>399</v>
      </c>
      <c r="W65" s="3" t="s">
        <v>400</v>
      </c>
      <c r="X65" s="11" t="s">
        <v>401</v>
      </c>
      <c r="Y65" s="2" t="s">
        <v>402</v>
      </c>
      <c r="Z65" s="11" t="s">
        <v>37</v>
      </c>
      <c r="AA65" s="12" t="s">
        <v>37</v>
      </c>
    </row>
    <row r="66" customFormat="false" ht="16.4" hidden="false" customHeight="false" outlineLevel="0" collapsed="false">
      <c r="A66" s="15" t="s">
        <v>403</v>
      </c>
      <c r="B66" s="3" t="s">
        <v>59</v>
      </c>
      <c r="C66" s="3" t="s">
        <v>37</v>
      </c>
      <c r="D66" s="16" t="n">
        <v>0</v>
      </c>
      <c r="E66" s="3" t="n">
        <f aca="false">VLOOKUP(D66,'[1]REF Tables'!$A$2:$B$40,2)</f>
        <v>10</v>
      </c>
      <c r="F66" s="3" t="s">
        <v>30</v>
      </c>
      <c r="G66" s="3" t="n">
        <v>13</v>
      </c>
      <c r="H66" s="3" t="s">
        <v>404</v>
      </c>
      <c r="I66" s="3" t="s">
        <v>210</v>
      </c>
      <c r="J66" s="3" t="n">
        <v>11</v>
      </c>
      <c r="K66" s="1" t="str">
        <f aca="false">IF(J66=1,"-5",IF(OR(J66=2,J66=3),"-4",IF(OR(J66=4,J66=5),"-3",IF(OR(J66=6,J66=7),"-2",IF(OR(J66=8,J66=9),"-1",IF(OR(J66=10,J66=11),"0",IF(OR(J66=12,J66=13),"+1",IF(OR(J66=14,J66=15),"+2",IF(OR(J66=16,J66=17),"+3",IF(OR(J66=18,J66=19),"+4",IF(OR(J66=20,J66=21),"+5",IF(OR(J66=22,J66=23),"+6",IF(OR(J66=24,J66=25),"+7",IF(OR(J66=26,J66=27),"+8",IF(OR(J66=28,J66=29),"+9",IF(J66=30,"+10"," "))))))))))))))))</f>
        <v>0</v>
      </c>
      <c r="L66" s="3" t="n">
        <v>16</v>
      </c>
      <c r="M66" s="1" t="str">
        <f aca="false">IF(L66=1,"-5",IF(OR(L66=2,L66=3),"-4",IF(OR(L66=4,L66=5),"-3",IF(OR(L66=6,L66=7),"-2",IF(OR(L66=8,L66=9),"-1",IF(OR(L66=10,L66=11),"0",IF(OR(L66=12,L66=13),"+1",IF(OR(L66=14,L66=15),"+2",IF(OR(L66=16,L66=17),"+3",IF(OR(L66=18,L66=19),"+4",IF(OR(L66=20,L66=21),"+5",IF(OR(L66=22,L66=23),"+6",IF(OR(L66=24,L66=25),"+7",IF(OR(L66=26,L66=27),"+8",IF(OR(L66=28,L66=29),"+9",IF(L66=30,"+10"," "))))))))))))))))</f>
        <v>+3</v>
      </c>
      <c r="N66" s="3" t="n">
        <v>11</v>
      </c>
      <c r="O66" s="1" t="str">
        <f aca="false">IF(N66=1,"-5",IF(OR(N66=2,N66=3),"-4",IF(OR(N66=4,N66=5),"-3",IF(OR(N66=6,N66=7),"-2",IF(OR(N66=8,N66=9),"-1",IF(OR(N66=10,N66=11),"0",IF(OR(N66=12,N66=13),"+1",IF(OR(N66=14,N66=15),"+2",IF(OR(N66=16,N66=17),"+3",IF(OR(N66=18,N66=19),"+4",IF(OR(N66=20,N66=21),"+5",IF(OR(N66=22,N66=23),"+6",IF(OR(N66=24,N66=25),"+7",IF(OR(N66=26,N66=27),"+8",IF(OR(N66=28,N66=29),"+9",IF(N66=30,"+10"," "))))))))))))))))</f>
        <v>0</v>
      </c>
      <c r="P66" s="3" t="n">
        <v>2</v>
      </c>
      <c r="Q66" s="1" t="str">
        <f aca="false">IF(P66=1,"-5",IF(OR(P66=2,P66=3),"-4",IF(OR(P66=4,P66=5),"-3",IF(OR(P66=6,P66=7),"-2",IF(OR(P66=8,P66=9),"-1",IF(OR(P66=10,P66=11),"0",IF(OR(P66=12,P66=13),"+1",IF(OR(P66=14,P66=15),"+2",IF(OR(P66=16,P66=17),"+3",IF(OR(P66=18,P66=19),"+4",IF(OR(P66=20,P66=21),"+5",IF(OR(P66=22,P66=23),"+6",IF(OR(P66=24,P66=25),"+7",IF(OR(P66=26,P66=27),"+8",IF(OR(P66=28,P66=29),"+9",IF(P66=30,"+10"," "))))))))))))))))</f>
        <v>-4</v>
      </c>
      <c r="R66" s="3" t="n">
        <v>14</v>
      </c>
      <c r="S66" s="1" t="str">
        <f aca="false">IF(R66=1,"-5",IF(OR(R66=2,R66=3),"-4",IF(OR(R66=4,R66=5),"-3",IF(OR(R66=6,R66=7),"-2",IF(OR(R66=8,R66=9),"-1",IF(OR(R66=10,R66=11),"0",IF(OR(R66=12,R66=13),"+1",IF(OR(R66=14,R66=15),"+2",IF(OR(R66=16,R66=17),"+3",IF(OR(R66=18,R66=19),"+4",IF(OR(R66=20,R66=21),"+5",IF(OR(R66=22,R66=23),"+6",IF(OR(R66=24,R66=25),"+7",IF(OR(R66=26,R66=27),"+8",IF(OR(R66=28,R66=29),"+9",IF(R66=30,"+10"," "))))))))))))))))</f>
        <v>+2</v>
      </c>
      <c r="T66" s="3" t="n">
        <v>5</v>
      </c>
      <c r="U66" s="1" t="str">
        <f aca="false">IF(T66=1,"-5",IF(OR(T66=2,T66=3),"-4",IF(OR(T66=4,T66=5),"-3",IF(OR(T66=6,T66=7),"-2",IF(OR(T66=8,T66=9),"-1",IF(OR(T66=10,T66=11),"0",IF(OR(T66=12,T66=13),"+1",IF(OR(T66=14,T66=15),"+2",IF(OR(T66=16,T66=17),"+3",IF(OR(T66=18,T66=19),"+4",IF(OR(T66=20,T66=21),"+5",IF(OR(T66=22,T66=23),"+6",IF(OR(T66=24,T66=25),"+7",IF(OR(T66=26,T66=27),"+8",IF(OR(T66=28,T66=29),"+9",IF(T66=30,"+10"," "))))))))))))))))</f>
        <v>-3</v>
      </c>
      <c r="V66" s="3" t="s">
        <v>37</v>
      </c>
      <c r="W66" s="3" t="s">
        <v>37</v>
      </c>
      <c r="X66" s="11" t="s">
        <v>405</v>
      </c>
      <c r="Y66" s="2" t="s">
        <v>406</v>
      </c>
      <c r="Z66" s="11" t="s">
        <v>37</v>
      </c>
      <c r="AA66" s="12"/>
    </row>
    <row r="67" customFormat="false" ht="16.4" hidden="false" customHeight="false" outlineLevel="0" collapsed="false">
      <c r="A67" s="15" t="s">
        <v>407</v>
      </c>
      <c r="B67" s="3" t="s">
        <v>48</v>
      </c>
      <c r="C67" s="3" t="s">
        <v>49</v>
      </c>
      <c r="D67" s="16" t="n">
        <v>14</v>
      </c>
      <c r="E67" s="6" t="n">
        <f aca="false">VLOOKUP(D67,'[1]REF Tables'!$A$2:$B$40,2)</f>
        <v>11500</v>
      </c>
      <c r="F67" s="3" t="s">
        <v>50</v>
      </c>
      <c r="G67" s="3" t="n">
        <v>10</v>
      </c>
      <c r="H67" s="3" t="s">
        <v>408</v>
      </c>
      <c r="I67" s="3" t="s">
        <v>409</v>
      </c>
      <c r="J67" s="3" t="n">
        <v>15</v>
      </c>
      <c r="K67" s="1" t="str">
        <f aca="false">IF(J67=1,"-5",IF(OR(J67=2,J67=3),"-4",IF(OR(J67=4,J67=5),"-3",IF(OR(J67=6,J67=7),"-2",IF(OR(J67=8,J67=9),"-1",IF(OR(J67=10,J67=11),"0",IF(OR(J67=12,J67=13),"+1",IF(OR(J67=14,J67=15),"+2",IF(OR(J67=16,J67=17),"+3",IF(OR(J67=18,J67=19),"+4",IF(OR(J67=20,J67=21),"+5",IF(OR(J67=22,J67=23),"+6",IF(OR(J67=24,J67=25),"+7",IF(OR(J67=26,J67=27),"+8",IF(OR(J67=28,J67=29),"+9",IF(J67=30,"+10"," "))))))))))))))))</f>
        <v>+2</v>
      </c>
      <c r="L67" s="3" t="n">
        <v>10</v>
      </c>
      <c r="M67" s="1" t="str">
        <f aca="false">IF(L67=1,"-5",IF(OR(L67=2,L67=3),"-4",IF(OR(L67=4,L67=5),"-3",IF(OR(L67=6,L67=7),"-2",IF(OR(L67=8,L67=9),"-1",IF(OR(L67=10,L67=11),"0",IF(OR(L67=12,L67=13),"+1",IF(OR(L67=14,L67=15),"+2",IF(OR(L67=16,L67=17),"+3",IF(OR(L67=18,L67=19),"+4",IF(OR(L67=20,L67=21),"+5",IF(OR(L67=22,L67=23),"+6",IF(OR(L67=24,L67=25),"+7",IF(OR(L67=26,L67=27),"+8",IF(OR(L67=28,L67=29),"+9",IF(L67=30,"+10"," "))))))))))))))))</f>
        <v>0</v>
      </c>
      <c r="N67" s="3" t="n">
        <v>20</v>
      </c>
      <c r="O67" s="1" t="str">
        <f aca="false">IF(N67=1,"-5",IF(OR(N67=2,N67=3),"-4",IF(OR(N67=4,N67=5),"-3",IF(OR(N67=6,N67=7),"-2",IF(OR(N67=8,N67=9),"-1",IF(OR(N67=10,N67=11),"0",IF(OR(N67=12,N67=13),"+1",IF(OR(N67=14,N67=15),"+2",IF(OR(N67=16,N67=17),"+3",IF(OR(N67=18,N67=19),"+4",IF(OR(N67=20,N67=21),"+5",IF(OR(N67=22,N67=23),"+6",IF(OR(N67=24,N67=25),"+7",IF(OR(N67=26,N67=27),"+8",IF(OR(N67=28,N67=29),"+9",IF(N67=30,"+10"," "))))))))))))))))</f>
        <v>+5</v>
      </c>
      <c r="P67" s="3" t="n">
        <v>21</v>
      </c>
      <c r="Q67" s="1" t="str">
        <f aca="false">IF(P67=1,"-5",IF(OR(P67=2,P67=3),"-4",IF(OR(P67=4,P67=5),"-3",IF(OR(P67=6,P67=7),"-2",IF(OR(P67=8,P67=9),"-1",IF(OR(P67=10,P67=11),"0",IF(OR(P67=12,P67=13),"+1",IF(OR(P67=14,P67=15),"+2",IF(OR(P67=16,P67=17),"+3",IF(OR(P67=18,P67=19),"+4",IF(OR(P67=20,P67=21),"+5",IF(OR(P67=22,P67=23),"+6",IF(OR(P67=24,P67=25),"+7",IF(OR(P67=26,P67=27),"+8",IF(OR(P67=28,P67=29),"+9",IF(P67=30,"+10"," "))))))))))))))))</f>
        <v>+5</v>
      </c>
      <c r="R67" s="3" t="n">
        <v>19</v>
      </c>
      <c r="S67" s="1" t="str">
        <f aca="false">IF(R67=1,"-5",IF(OR(R67=2,R67=3),"-4",IF(OR(R67=4,R67=5),"-3",IF(OR(R67=6,R67=7),"-2",IF(OR(R67=8,R67=9),"-1",IF(OR(R67=10,R67=11),"0",IF(OR(R67=12,R67=13),"+1",IF(OR(R67=14,R67=15),"+2",IF(OR(R67=16,R67=17),"+3",IF(OR(R67=18,R67=19),"+4",IF(OR(R67=20,R67=21),"+5",IF(OR(R67=22,R67=23),"+6",IF(OR(R67=24,R67=25),"+7",IF(OR(R67=26,R67=27),"+8",IF(OR(R67=28,R67=29),"+9",IF(R67=30,"+10"," "))))))))))))))))</f>
        <v>+4</v>
      </c>
      <c r="T67" s="3" t="n">
        <v>24</v>
      </c>
      <c r="U67" s="1" t="str">
        <f aca="false">IF(T67=1,"-5",IF(OR(T67=2,T67=3),"-4",IF(OR(T67=4,T67=5),"-3",IF(OR(T67=6,T67=7),"-2",IF(OR(T67=8,T67=9),"-1",IF(OR(T67=10,T67=11),"0",IF(OR(T67=12,T67=13),"+1",IF(OR(T67=14,T67=15),"+2",IF(OR(T67=16,T67=17),"+3",IF(OR(T67=18,T67=19),"+4",IF(OR(T67=20,T67=21),"+5",IF(OR(T67=22,T67=23),"+6",IF(OR(T67=24,T67=25),"+7",IF(OR(T67=26,T67=27),"+8",IF(OR(T67=28,T67=29),"+9",IF(T67=30,"+10"," "))))))))))))))))</f>
        <v>+7</v>
      </c>
      <c r="V67" s="3" t="s">
        <v>410</v>
      </c>
      <c r="W67" s="3" t="s">
        <v>411</v>
      </c>
      <c r="X67" s="11" t="s">
        <v>412</v>
      </c>
      <c r="Y67" s="11" t="s">
        <v>413</v>
      </c>
      <c r="Z67" s="11" t="s">
        <v>37</v>
      </c>
      <c r="AA67" s="12" t="s">
        <v>414</v>
      </c>
    </row>
    <row r="68" customFormat="false" ht="16.4" hidden="false" customHeight="false" outlineLevel="0" collapsed="false">
      <c r="A68" s="15" t="s">
        <v>415</v>
      </c>
      <c r="B68" s="3" t="s">
        <v>59</v>
      </c>
      <c r="C68" s="3" t="s">
        <v>37</v>
      </c>
      <c r="D68" s="16" t="n">
        <v>0</v>
      </c>
      <c r="E68" s="3" t="n">
        <f aca="false">VLOOKUP(D68,'[1]REF Tables'!$A$2:$B$40,2)</f>
        <v>10</v>
      </c>
      <c r="F68" s="3" t="s">
        <v>165</v>
      </c>
      <c r="G68" s="3" t="n">
        <v>12</v>
      </c>
      <c r="H68" s="3" t="s">
        <v>235</v>
      </c>
      <c r="I68" s="3" t="s">
        <v>224</v>
      </c>
      <c r="J68" s="3" t="n">
        <v>8</v>
      </c>
      <c r="K68" s="1" t="str">
        <f aca="false">IF(J68=1,"-5",IF(OR(J68=2,J68=3),"-4",IF(OR(J68=4,J68=5),"-3",IF(OR(J68=6,J68=7),"-2",IF(OR(J68=8,J68=9),"-1",IF(OR(J68=10,J68=11),"0",IF(OR(J68=12,J68=13),"+1",IF(OR(J68=14,J68=15),"+2",IF(OR(J68=16,J68=17),"+3",IF(OR(J68=18,J68=19),"+4",IF(OR(J68=20,J68=21),"+5",IF(OR(J68=22,J68=23),"+6",IF(OR(J68=24,J68=25),"+7",IF(OR(J68=26,J68=27),"+8",IF(OR(J68=28,J68=29),"+9",IF(J68=30,"+10"," "))))))))))))))))</f>
        <v>-1</v>
      </c>
      <c r="L68" s="3" t="n">
        <v>15</v>
      </c>
      <c r="M68" s="1" t="str">
        <f aca="false">IF(L68=1,"-5",IF(OR(L68=2,L68=3),"-4",IF(OR(L68=4,L68=5),"-3",IF(OR(L68=6,L68=7),"-2",IF(OR(L68=8,L68=9),"-1",IF(OR(L68=10,L68=11),"0",IF(OR(L68=12,L68=13),"+1",IF(OR(L68=14,L68=15),"+2",IF(OR(L68=16,L68=17),"+3",IF(OR(L68=18,L68=19),"+4",IF(OR(L68=20,L68=21),"+5",IF(OR(L68=22,L68=23),"+6",IF(OR(L68=24,L68=25),"+7",IF(OR(L68=26,L68=27),"+8",IF(OR(L68=28,L68=29),"+9",IF(L68=30,"+10"," "))))))))))))))))</f>
        <v>+2</v>
      </c>
      <c r="N68" s="3" t="n">
        <v>11</v>
      </c>
      <c r="O68" s="1" t="str">
        <f aca="false">IF(N68=1,"-5",IF(OR(N68=2,N68=3),"-4",IF(OR(N68=4,N68=5),"-3",IF(OR(N68=6,N68=7),"-2",IF(OR(N68=8,N68=9),"-1",IF(OR(N68=10,N68=11),"0",IF(OR(N68=12,N68=13),"+1",IF(OR(N68=14,N68=15),"+2",IF(OR(N68=16,N68=17),"+3",IF(OR(N68=18,N68=19),"+4",IF(OR(N68=20,N68=21),"+5",IF(OR(N68=22,N68=23),"+6",IF(OR(N68=24,N68=25),"+7",IF(OR(N68=26,N68=27),"+8",IF(OR(N68=28,N68=29),"+9",IF(N68=30,"+10"," "))))))))))))))))</f>
        <v>0</v>
      </c>
      <c r="P68" s="3" t="n">
        <v>3</v>
      </c>
      <c r="Q68" s="1" t="str">
        <f aca="false">IF(P68=1,"-5",IF(OR(P68=2,P68=3),"-4",IF(OR(P68=4,P68=5),"-3",IF(OR(P68=6,P68=7),"-2",IF(OR(P68=8,P68=9),"-1",IF(OR(P68=10,P68=11),"0",IF(OR(P68=12,P68=13),"+1",IF(OR(P68=14,P68=15),"+2",IF(OR(P68=16,P68=17),"+3",IF(OR(P68=18,P68=19),"+4",IF(OR(P68=20,P68=21),"+5",IF(OR(P68=22,P68=23),"+6",IF(OR(P68=24,P68=25),"+7",IF(OR(P68=26,P68=27),"+8",IF(OR(P68=28,P68=29),"+9",IF(P68=30,"+10"," "))))))))))))))))</f>
        <v>-4</v>
      </c>
      <c r="R68" s="3" t="n">
        <v>12</v>
      </c>
      <c r="S68" s="1" t="str">
        <f aca="false">IF(R68=1,"-5",IF(OR(R68=2,R68=3),"-4",IF(OR(R68=4,R68=5),"-3",IF(OR(R68=6,R68=7),"-2",IF(OR(R68=8,R68=9),"-1",IF(OR(R68=10,R68=11),"0",IF(OR(R68=12,R68=13),"+1",IF(OR(R68=14,R68=15),"+2",IF(OR(R68=16,R68=17),"+3",IF(OR(R68=18,R68=19),"+4",IF(OR(R68=20,R68=21),"+5",IF(OR(R68=22,R68=23),"+6",IF(OR(R68=24,R68=25),"+7",IF(OR(R68=26,R68=27),"+8",IF(OR(R68=28,R68=29),"+9",IF(R68=30,"+10"," "))))))))))))))))</f>
        <v>+1</v>
      </c>
      <c r="T68" s="3" t="n">
        <v>6</v>
      </c>
      <c r="U68" s="1" t="str">
        <f aca="false">IF(T68=1,"-5",IF(OR(T68=2,T68=3),"-4",IF(OR(T68=4,T68=5),"-3",IF(OR(T68=6,T68=7),"-2",IF(OR(T68=8,T68=9),"-1",IF(OR(T68=10,T68=11),"0",IF(OR(T68=12,T68=13),"+1",IF(OR(T68=14,T68=15),"+2",IF(OR(T68=16,T68=17),"+3",IF(OR(T68=18,T68=19),"+4",IF(OR(T68=20,T68=21),"+5",IF(OR(T68=22,T68=23),"+6",IF(OR(T68=24,T68=25),"+7",IF(OR(T68=26,T68=27),"+8",IF(OR(T68=28,T68=29),"+9",IF(T68=30,"+10"," "))))))))))))))))</f>
        <v>-2</v>
      </c>
      <c r="V68" s="3" t="s">
        <v>416</v>
      </c>
      <c r="W68" s="3" t="s">
        <v>37</v>
      </c>
      <c r="X68" s="11" t="s">
        <v>417</v>
      </c>
      <c r="Y68" s="11" t="s">
        <v>418</v>
      </c>
      <c r="Z68" s="11" t="s">
        <v>37</v>
      </c>
      <c r="AA68" s="12" t="s">
        <v>37</v>
      </c>
    </row>
    <row r="69" customFormat="false" ht="16.4" hidden="false" customHeight="false" outlineLevel="0" collapsed="false">
      <c r="A69" s="15" t="s">
        <v>419</v>
      </c>
      <c r="B69" s="3" t="s">
        <v>59</v>
      </c>
      <c r="C69" s="3" t="s">
        <v>37</v>
      </c>
      <c r="D69" s="16" t="n">
        <v>0</v>
      </c>
      <c r="E69" s="3" t="n">
        <f aca="false">VLOOKUP(D69,'[1]REF Tables'!$A$2:$B$40,2)</f>
        <v>10</v>
      </c>
      <c r="F69" s="3" t="s">
        <v>50</v>
      </c>
      <c r="G69" s="3" t="n">
        <v>9</v>
      </c>
      <c r="H69" s="3" t="s">
        <v>60</v>
      </c>
      <c r="I69" s="3" t="s">
        <v>210</v>
      </c>
      <c r="J69" s="3" t="n">
        <v>16</v>
      </c>
      <c r="K69" s="1" t="str">
        <f aca="false">IF(J69=1,"-5",IF(OR(J69=2,J69=3),"-4",IF(OR(J69=4,J69=5),"-3",IF(OR(J69=6,J69=7),"-2",IF(OR(J69=8,J69=9),"-1",IF(OR(J69=10,J69=11),"0",IF(OR(J69=12,J69=13),"+1",IF(OR(J69=14,J69=15),"+2",IF(OR(J69=16,J69=17),"+3",IF(OR(J69=18,J69=19),"+4",IF(OR(J69=20,J69=21),"+5",IF(OR(J69=22,J69=23),"+6",IF(OR(J69=24,J69=25),"+7",IF(OR(J69=26,J69=27),"+8",IF(OR(J69=28,J69=29),"+9",IF(J69=30,"+10"," "))))))))))))))))</f>
        <v>+3</v>
      </c>
      <c r="L69" s="3" t="n">
        <v>8</v>
      </c>
      <c r="M69" s="1" t="str">
        <f aca="false">IF(L69=1,"-5",IF(OR(L69=2,L69=3),"-4",IF(OR(L69=4,L69=5),"-3",IF(OR(L69=6,L69=7),"-2",IF(OR(L69=8,L69=9),"-1",IF(OR(L69=10,L69=11),"0",IF(OR(L69=12,L69=13),"+1",IF(OR(L69=14,L69=15),"+2",IF(OR(L69=16,L69=17),"+3",IF(OR(L69=18,L69=19),"+4",IF(OR(L69=20,L69=21),"+5",IF(OR(L69=22,L69=23),"+6",IF(OR(L69=24,L69=25),"+7",IF(OR(L69=26,L69=27),"+8",IF(OR(L69=28,L69=29),"+9",IF(L69=30,"+10"," "))))))))))))))))</f>
        <v>-1</v>
      </c>
      <c r="N69" s="3" t="n">
        <v>14</v>
      </c>
      <c r="O69" s="1" t="str">
        <f aca="false">IF(N69=1,"-5",IF(OR(N69=2,N69=3),"-4",IF(OR(N69=4,N69=5),"-3",IF(OR(N69=6,N69=7),"-2",IF(OR(N69=8,N69=9),"-1",IF(OR(N69=10,N69=11),"0",IF(OR(N69=12,N69=13),"+1",IF(OR(N69=14,N69=15),"+2",IF(OR(N69=16,N69=17),"+3",IF(OR(N69=18,N69=19),"+4",IF(OR(N69=20,N69=21),"+5",IF(OR(N69=22,N69=23),"+6",IF(OR(N69=24,N69=25),"+7",IF(OR(N69=26,N69=27),"+8",IF(OR(N69=28,N69=29),"+9",IF(N69=30,"+10"," "))))))))))))))))</f>
        <v>+2</v>
      </c>
      <c r="P69" s="3" t="n">
        <v>2</v>
      </c>
      <c r="Q69" s="1" t="str">
        <f aca="false">IF(P69=1,"-5",IF(OR(P69=2,P69=3),"-4",IF(OR(P69=4,P69=5),"-3",IF(OR(P69=6,P69=7),"-2",IF(OR(P69=8,P69=9),"-1",IF(OR(P69=10,P69=11),"0",IF(OR(P69=12,P69=13),"+1",IF(OR(P69=14,P69=15),"+2",IF(OR(P69=16,P69=17),"+3",IF(OR(P69=18,P69=19),"+4",IF(OR(P69=20,P69=21),"+5",IF(OR(P69=22,P69=23),"+6",IF(OR(P69=24,P69=25),"+7",IF(OR(P69=26,P69=27),"+8",IF(OR(P69=28,P69=29),"+9",IF(P69=30,"+10"," "))))))))))))))))</f>
        <v>-4</v>
      </c>
      <c r="R69" s="3" t="n">
        <v>8</v>
      </c>
      <c r="S69" s="1" t="str">
        <f aca="false">IF(R69=1,"-5",IF(OR(R69=2,R69=3),"-4",IF(OR(R69=4,R69=5),"-3",IF(OR(R69=6,R69=7),"-2",IF(OR(R69=8,R69=9),"-1",IF(OR(R69=10,R69=11),"0",IF(OR(R69=12,R69=13),"+1",IF(OR(R69=14,R69=15),"+2",IF(OR(R69=16,R69=17),"+3",IF(OR(R69=18,R69=19),"+4",IF(OR(R69=20,R69=21),"+5",IF(OR(R69=22,R69=23),"+6",IF(OR(R69=24,R69=25),"+7",IF(OR(R69=26,R69=27),"+8",IF(OR(R69=28,R69=29),"+9",IF(R69=30,"+10"," "))))))))))))))))</f>
        <v>-1</v>
      </c>
      <c r="T69" s="3" t="n">
        <v>5</v>
      </c>
      <c r="U69" s="1" t="str">
        <f aca="false">IF(T69=1,"-5",IF(OR(T69=2,T69=3),"-4",IF(OR(T69=4,T69=5),"-3",IF(OR(T69=6,T69=7),"-2",IF(OR(T69=8,T69=9),"-1",IF(OR(T69=10,T69=11),"0",IF(OR(T69=12,T69=13),"+1",IF(OR(T69=14,T69=15),"+2",IF(OR(T69=16,T69=17),"+3",IF(OR(T69=18,T69=19),"+4",IF(OR(T69=20,T69=21),"+5",IF(OR(T69=22,T69=23),"+6",IF(OR(T69=24,T69=25),"+7",IF(OR(T69=26,T69=27),"+8",IF(OR(T69=28,T69=29),"+9",IF(T69=30,"+10"," "))))))))))))))))</f>
        <v>-3</v>
      </c>
      <c r="V69" s="3" t="s">
        <v>37</v>
      </c>
      <c r="W69" s="3" t="s">
        <v>37</v>
      </c>
      <c r="X69" s="11" t="s">
        <v>272</v>
      </c>
      <c r="Y69" s="11" t="s">
        <v>420</v>
      </c>
      <c r="Z69" s="11" t="s">
        <v>37</v>
      </c>
      <c r="AA69" s="12" t="s">
        <v>37</v>
      </c>
    </row>
    <row r="70" customFormat="false" ht="16.4" hidden="false" customHeight="false" outlineLevel="0" collapsed="false">
      <c r="A70" s="15" t="s">
        <v>421</v>
      </c>
      <c r="B70" s="3" t="s">
        <v>39</v>
      </c>
      <c r="C70" s="3" t="s">
        <v>40</v>
      </c>
      <c r="D70" s="16" t="n">
        <v>9</v>
      </c>
      <c r="E70" s="6" t="n">
        <f aca="false">VLOOKUP(D70,'[1]REF Tables'!$A$2:$B$40,2)</f>
        <v>5000</v>
      </c>
      <c r="F70" s="3" t="s">
        <v>30</v>
      </c>
      <c r="G70" s="3" t="n">
        <v>18</v>
      </c>
      <c r="H70" s="3" t="s">
        <v>422</v>
      </c>
      <c r="I70" s="3" t="s">
        <v>42</v>
      </c>
      <c r="J70" s="3" t="n">
        <v>20</v>
      </c>
      <c r="K70" s="1" t="str">
        <f aca="false">IF(J70=1,"-5",IF(OR(J70=2,J70=3),"-4",IF(OR(J70=4,J70=5),"-3",IF(OR(J70=6,J70=7),"-2",IF(OR(J70=8,J70=9),"-1",IF(OR(J70=10,J70=11),"0",IF(OR(J70=12,J70=13),"+1",IF(OR(J70=14,J70=15),"+2",IF(OR(J70=16,J70=17),"+3",IF(OR(J70=18,J70=19),"+4",IF(OR(J70=20,J70=21),"+5",IF(OR(J70=22,J70=23),"+6",IF(OR(J70=24,J70=25),"+7",IF(OR(J70=26,J70=27),"+8",IF(OR(J70=28,J70=29),"+9",IF(J70=30,"+10"," "))))))))))))))))</f>
        <v>+5</v>
      </c>
      <c r="L70" s="3" t="n">
        <v>15</v>
      </c>
      <c r="M70" s="1" t="str">
        <f aca="false">IF(L70=1,"-5",IF(OR(L70=2,L70=3),"-4",IF(OR(L70=4,L70=5),"-3",IF(OR(L70=6,L70=7),"-2",IF(OR(L70=8,L70=9),"-1",IF(OR(L70=10,L70=11),"0",IF(OR(L70=12,L70=13),"+1",IF(OR(L70=14,L70=15),"+2",IF(OR(L70=16,L70=17),"+3",IF(OR(L70=18,L70=19),"+4",IF(OR(L70=20,L70=21),"+5",IF(OR(L70=22,L70=23),"+6",IF(OR(L70=24,L70=25),"+7",IF(OR(L70=26,L70=27),"+8",IF(OR(L70=28,L70=29),"+9",IF(L70=30,"+10"," "))))))))))))))))</f>
        <v>+2</v>
      </c>
      <c r="N70" s="3" t="n">
        <v>14</v>
      </c>
      <c r="O70" s="1" t="str">
        <f aca="false">IF(N70=1,"-5",IF(OR(N70=2,N70=3),"-4",IF(OR(N70=4,N70=5),"-3",IF(OR(N70=6,N70=7),"-2",IF(OR(N70=8,N70=9),"-1",IF(OR(N70=10,N70=11),"0",IF(OR(N70=12,N70=13),"+1",IF(OR(N70=14,N70=15),"+2",IF(OR(N70=16,N70=17),"+3",IF(OR(N70=18,N70=19),"+4",IF(OR(N70=20,N70=21),"+5",IF(OR(N70=22,N70=23),"+6",IF(OR(N70=24,N70=25),"+7",IF(OR(N70=26,N70=27),"+8",IF(OR(N70=28,N70=29),"+9",IF(N70=30,"+10"," "))))))))))))))))</f>
        <v>+2</v>
      </c>
      <c r="P70" s="3" t="n">
        <v>10</v>
      </c>
      <c r="Q70" s="1" t="str">
        <f aca="false">IF(P70=1,"-5",IF(OR(P70=2,P70=3),"-4",IF(OR(P70=4,P70=5),"-3",IF(OR(P70=6,P70=7),"-2",IF(OR(P70=8,P70=9),"-1",IF(OR(P70=10,P70=11),"0",IF(OR(P70=12,P70=13),"+1",IF(OR(P70=14,P70=15),"+2",IF(OR(P70=16,P70=17),"+3",IF(OR(P70=18,P70=19),"+4",IF(OR(P70=20,P70=21),"+5",IF(OR(P70=22,P70=23),"+6",IF(OR(P70=24,P70=25),"+7",IF(OR(P70=26,P70=27),"+8",IF(OR(P70=28,P70=29),"+9",IF(P70=30,"+10"," "))))))))))))))))</f>
        <v>0</v>
      </c>
      <c r="R70" s="3" t="n">
        <v>14</v>
      </c>
      <c r="S70" s="1" t="str">
        <f aca="false">IF(R70=1,"-5",IF(OR(R70=2,R70=3),"-4",IF(OR(R70=4,R70=5),"-3",IF(OR(R70=6,R70=7),"-2",IF(OR(R70=8,R70=9),"-1",IF(OR(R70=10,R70=11),"0",IF(OR(R70=12,R70=13),"+1",IF(OR(R70=14,R70=15),"+2",IF(OR(R70=16,R70=17),"+3",IF(OR(R70=18,R70=19),"+4",IF(OR(R70=20,R70=21),"+5",IF(OR(R70=22,R70=23),"+6",IF(OR(R70=24,R70=25),"+7",IF(OR(R70=26,R70=27),"+8",IF(OR(R70=28,R70=29),"+9",IF(R70=30,"+10"," "))))))))))))))))</f>
        <v>+2</v>
      </c>
      <c r="T70" s="3" t="n">
        <v>12</v>
      </c>
      <c r="U70" s="1" t="str">
        <f aca="false">IF(T70=1,"-5",IF(OR(T70=2,T70=3),"-4",IF(OR(T70=4,T70=5),"-3",IF(OR(T70=6,T70=7),"-2",IF(OR(T70=8,T70=9),"-1",IF(OR(T70=10,T70=11),"0",IF(OR(T70=12,T70=13),"+1",IF(OR(T70=14,T70=15),"+2",IF(OR(T70=16,T70=17),"+3",IF(OR(T70=18,T70=19),"+4",IF(OR(T70=20,T70=21),"+5",IF(OR(T70=22,T70=23),"+6",IF(OR(T70=24,T70=25),"+7",IF(OR(T70=26,T70=27),"+8",IF(OR(T70=28,T70=29),"+9",IF(T70=30,"+10"," "))))))))))))))))</f>
        <v>+1</v>
      </c>
      <c r="V70" s="3" t="s">
        <v>423</v>
      </c>
      <c r="W70" s="3" t="s">
        <v>66</v>
      </c>
      <c r="X70" s="11" t="s">
        <v>424</v>
      </c>
      <c r="Y70" s="11" t="s">
        <v>425</v>
      </c>
      <c r="Z70" s="11" t="s">
        <v>37</v>
      </c>
      <c r="AA70" s="12" t="s">
        <v>37</v>
      </c>
    </row>
    <row r="71" customFormat="false" ht="16.4" hidden="false" customHeight="false" outlineLevel="0" collapsed="false">
      <c r="A71" s="7" t="s">
        <v>421</v>
      </c>
      <c r="B71" s="1" t="s">
        <v>39</v>
      </c>
      <c r="C71" s="1" t="s">
        <v>40</v>
      </c>
      <c r="D71" s="8" t="n">
        <v>9</v>
      </c>
      <c r="E71" s="9" t="n">
        <f aca="false">VLOOKUP(D71,'[1]REF Tables'!$A$2:$B$40,2)</f>
        <v>5000</v>
      </c>
      <c r="F71" s="1" t="s">
        <v>30</v>
      </c>
      <c r="G71" s="10" t="n">
        <v>18</v>
      </c>
      <c r="H71" s="1" t="s">
        <v>422</v>
      </c>
      <c r="I71" s="1" t="s">
        <v>42</v>
      </c>
      <c r="J71" s="10" t="n">
        <v>20</v>
      </c>
      <c r="K71" s="1" t="str">
        <f aca="false">IF(J71=1,"-5",IF(OR(J71=2,J71=3),"-4",IF(OR(J71=4,J71=5),"-3",IF(OR(J71=6,J71=7),"-2",IF(OR(J71=8,J71=9),"-1",IF(OR(J71=10,J71=11),"0",IF(OR(J71=12,J71=13),"+1",IF(OR(J71=14,J71=15),"+2",IF(OR(J71=16,J71=17),"+3",IF(OR(J71=18,J71=19),"+4",IF(OR(J71=20,J71=21),"+5",IF(OR(J71=22,J71=23),"+6",IF(OR(J71=24,J71=25),"+7",IF(OR(J71=26,J71=27),"+8",IF(OR(J71=28,J71=29),"+9",IF(J71=30,"+10"," "))))))))))))))))</f>
        <v>+5</v>
      </c>
      <c r="L71" s="10" t="n">
        <v>15</v>
      </c>
      <c r="M71" s="1" t="str">
        <f aca="false">IF(L71=1,"-5",IF(OR(L71=2,L71=3),"-4",IF(OR(L71=4,L71=5),"-3",IF(OR(L71=6,L71=7),"-2",IF(OR(L71=8,L71=9),"-1",IF(OR(L71=10,L71=11),"0",IF(OR(L71=12,L71=13),"+1",IF(OR(L71=14,L71=15),"+2",IF(OR(L71=16,L71=17),"+3",IF(OR(L71=18,L71=19),"+4",IF(OR(L71=20,L71=21),"+5",IF(OR(L71=22,L71=23),"+6",IF(OR(L71=24,L71=25),"+7",IF(OR(L71=26,L71=27),"+8",IF(OR(L71=28,L71=29),"+9",IF(L71=30,"+10"," "))))))))))))))))</f>
        <v>+2</v>
      </c>
      <c r="N71" s="10" t="n">
        <v>14</v>
      </c>
      <c r="O71" s="1" t="str">
        <f aca="false">IF(N71=1,"-5",IF(OR(N71=2,N71=3),"-4",IF(OR(N71=4,N71=5),"-3",IF(OR(N71=6,N71=7),"-2",IF(OR(N71=8,N71=9),"-1",IF(OR(N71=10,N71=11),"0",IF(OR(N71=12,N71=13),"+1",IF(OR(N71=14,N71=15),"+2",IF(OR(N71=16,N71=17),"+3",IF(OR(N71=18,N71=19),"+4",IF(OR(N71=20,N71=21),"+5",IF(OR(N71=22,N71=23),"+6",IF(OR(N71=24,N71=25),"+7",IF(OR(N71=26,N71=27),"+8",IF(OR(N71=28,N71=29),"+9",IF(N71=30,"+10"," "))))))))))))))))</f>
        <v>+2</v>
      </c>
      <c r="P71" s="10" t="n">
        <v>10</v>
      </c>
      <c r="Q71" s="1" t="str">
        <f aca="false">IF(P71=1,"-5",IF(OR(P71=2,P71=3),"-4",IF(OR(P71=4,P71=5),"-3",IF(OR(P71=6,P71=7),"-2",IF(OR(P71=8,P71=9),"-1",IF(OR(P71=10,P71=11),"0",IF(OR(P71=12,P71=13),"+1",IF(OR(P71=14,P71=15),"+2",IF(OR(P71=16,P71=17),"+3",IF(OR(P71=18,P71=19),"+4",IF(OR(P71=20,P71=21),"+5",IF(OR(P71=22,P71=23),"+6",IF(OR(P71=24,P71=25),"+7",IF(OR(P71=26,P71=27),"+8",IF(OR(P71=28,P71=29),"+9",IF(P71=30,"+10"," "))))))))))))))))</f>
        <v>0</v>
      </c>
      <c r="R71" s="10" t="n">
        <v>14</v>
      </c>
      <c r="S71" s="1" t="str">
        <f aca="false">IF(R71=1,"-5",IF(OR(R71=2,R71=3),"-4",IF(OR(R71=4,R71=5),"-3",IF(OR(R71=6,R71=7),"-2",IF(OR(R71=8,R71=9),"-1",IF(OR(R71=10,R71=11),"0",IF(OR(R71=12,R71=13),"+1",IF(OR(R71=14,R71=15),"+2",IF(OR(R71=16,R71=17),"+3",IF(OR(R71=18,R71=19),"+4",IF(OR(R71=20,R71=21),"+5",IF(OR(R71=22,R71=23),"+6",IF(OR(R71=24,R71=25),"+7",IF(OR(R71=26,R71=27),"+8",IF(OR(R71=28,R71=29),"+9",IF(R71=30,"+10"," "))))))))))))))))</f>
        <v>+2</v>
      </c>
      <c r="T71" s="10" t="n">
        <v>12</v>
      </c>
      <c r="U71" s="1" t="str">
        <f aca="false">IF(T71=1,"-5",IF(OR(T71=2,T71=3),"-4",IF(OR(T71=4,T71=5),"-3",IF(OR(T71=6,T71=7),"-2",IF(OR(T71=8,T71=9),"-1",IF(OR(T71=10,T71=11),"0",IF(OR(T71=12,T71=13),"+1",IF(OR(T71=14,T71=15),"+2",IF(OR(T71=16,T71=17),"+3",IF(OR(T71=18,T71=19),"+4",IF(OR(T71=20,T71=21),"+5",IF(OR(T71=22,T71=23),"+6",IF(OR(T71=24,T71=25),"+7",IF(OR(T71=26,T71=27),"+8",IF(OR(T71=28,T71=29),"+9",IF(T71=30,"+10"," "))))))))))))))))</f>
        <v>+1</v>
      </c>
      <c r="V71" s="1" t="s">
        <v>423</v>
      </c>
      <c r="W71" s="1" t="s">
        <v>66</v>
      </c>
      <c r="X71" s="11" t="s">
        <v>426</v>
      </c>
      <c r="Y71" s="11" t="s">
        <v>427</v>
      </c>
      <c r="Z71" s="11" t="s">
        <v>37</v>
      </c>
      <c r="AA71" s="12" t="s">
        <v>37</v>
      </c>
      <c r="AB71" s="1"/>
      <c r="AC71" s="1"/>
      <c r="AD71" s="1"/>
      <c r="AE71" s="1"/>
      <c r="AF71" s="1"/>
    </row>
    <row r="72" customFormat="false" ht="16.4" hidden="false" customHeight="false" outlineLevel="0" collapsed="false">
      <c r="A72" s="15" t="s">
        <v>428</v>
      </c>
      <c r="B72" s="3" t="s">
        <v>105</v>
      </c>
      <c r="C72" s="3" t="s">
        <v>37</v>
      </c>
      <c r="D72" s="16" t="n">
        <v>2</v>
      </c>
      <c r="E72" s="3" t="n">
        <f aca="false">VLOOKUP(D72,'[1]REF Tables'!$A$2:$B$40,2)</f>
        <v>450</v>
      </c>
      <c r="F72" s="3" t="s">
        <v>50</v>
      </c>
      <c r="G72" s="3" t="n">
        <v>13</v>
      </c>
      <c r="H72" s="3" t="s">
        <v>93</v>
      </c>
      <c r="I72" s="3" t="s">
        <v>131</v>
      </c>
      <c r="J72" s="3" t="n">
        <v>14</v>
      </c>
      <c r="K72" s="1" t="str">
        <f aca="false">IF(J72=1,"-5",IF(OR(J72=2,J72=3),"-4",IF(OR(J72=4,J72=5),"-3",IF(OR(J72=6,J72=7),"-2",IF(OR(J72=8,J72=9),"-1",IF(OR(J72=10,J72=11),"0",IF(OR(J72=12,J72=13),"+1",IF(OR(J72=14,J72=15),"+2",IF(OR(J72=16,J72=17),"+3",IF(OR(J72=18,J72=19),"+4",IF(OR(J72=20,J72=21),"+5",IF(OR(J72=22,J72=23),"+6",IF(OR(J72=24,J72=25),"+7",IF(OR(J72=26,J72=27),"+8",IF(OR(J72=28,J72=29),"+9",IF(J72=30,"+10"," "))))))))))))))))</f>
        <v>+2</v>
      </c>
      <c r="L72" s="3" t="n">
        <v>13</v>
      </c>
      <c r="M72" s="1" t="str">
        <f aca="false">IF(L72=1,"-5",IF(OR(L72=2,L72=3),"-4",IF(OR(L72=4,L72=5),"-3",IF(OR(L72=6,L72=7),"-2",IF(OR(L72=8,L72=9),"-1",IF(OR(L72=10,L72=11),"0",IF(OR(L72=12,L72=13),"+1",IF(OR(L72=14,L72=15),"+2",IF(OR(L72=16,L72=17),"+3",IF(OR(L72=18,L72=19),"+4",IF(OR(L72=20,L72=21),"+5",IF(OR(L72=22,L72=23),"+6",IF(OR(L72=24,L72=25),"+7",IF(OR(L72=26,L72=27),"+8",IF(OR(L72=28,L72=29),"+9",IF(L72=30,"+10"," "))))))))))))))))</f>
        <v>+1</v>
      </c>
      <c r="N72" s="3" t="n">
        <v>16</v>
      </c>
      <c r="O72" s="1" t="str">
        <f aca="false">IF(N72=1,"-5",IF(OR(N72=2,N72=3),"-4",IF(OR(N72=4,N72=5),"-3",IF(OR(N72=6,N72=7),"-2",IF(OR(N72=8,N72=9),"-1",IF(OR(N72=10,N72=11),"0",IF(OR(N72=12,N72=13),"+1",IF(OR(N72=14,N72=15),"+2",IF(OR(N72=16,N72=17),"+3",IF(OR(N72=18,N72=19),"+4",IF(OR(N72=20,N72=21),"+5",IF(OR(N72=22,N72=23),"+6",IF(OR(N72=24,N72=25),"+7",IF(OR(N72=26,N72=27),"+8",IF(OR(N72=28,N72=29),"+9",IF(N72=30,"+10"," "))))))))))))))))</f>
        <v>+3</v>
      </c>
      <c r="P72" s="3" t="n">
        <v>1</v>
      </c>
      <c r="Q72" s="1" t="str">
        <f aca="false">IF(P72=1,"-5",IF(OR(P72=2,P72=3),"-4",IF(OR(P72=4,P72=5),"-3",IF(OR(P72=6,P72=7),"-2",IF(OR(P72=8,P72=9),"-1",IF(OR(P72=10,P72=11),"0",IF(OR(P72=12,P72=13),"+1",IF(OR(P72=14,P72=15),"+2",IF(OR(P72=16,P72=17),"+3",IF(OR(P72=18,P72=19),"+4",IF(OR(P72=20,P72=21),"+5",IF(OR(P72=22,P72=23),"+6",IF(OR(P72=24,P72=25),"+7",IF(OR(P72=26,P72=27),"+8",IF(OR(P72=28,P72=29),"+9",IF(P72=30,"+10"," "))))))))))))))))</f>
        <v>-5</v>
      </c>
      <c r="R72" s="3" t="n">
        <v>12</v>
      </c>
      <c r="S72" s="1" t="str">
        <f aca="false">IF(R72=1,"-5",IF(OR(R72=2,R72=3),"-4",IF(OR(R72=4,R72=5),"-3",IF(OR(R72=6,R72=7),"-2",IF(OR(R72=8,R72=9),"-1",IF(OR(R72=10,R72=11),"0",IF(OR(R72=12,R72=13),"+1",IF(OR(R72=14,R72=15),"+2",IF(OR(R72=16,R72=17),"+3",IF(OR(R72=18,R72=19),"+4",IF(OR(R72=20,R72=21),"+5",IF(OR(R72=22,R72=23),"+6",IF(OR(R72=24,R72=25),"+7",IF(OR(R72=26,R72=27),"+8",IF(OR(R72=28,R72=29),"+9",IF(R72=30,"+10"," "))))))))))))))))</f>
        <v>+1</v>
      </c>
      <c r="T72" s="3" t="n">
        <v>5</v>
      </c>
      <c r="U72" s="1" t="str">
        <f aca="false">IF(T72=1,"-5",IF(OR(T72=2,T72=3),"-4",IF(OR(T72=4,T72=5),"-3",IF(OR(T72=6,T72=7),"-2",IF(OR(T72=8,T72=9),"-1",IF(OR(T72=10,T72=11),"0",IF(OR(T72=12,T72=13),"+1",IF(OR(T72=14,T72=15),"+2",IF(OR(T72=16,T72=17),"+3",IF(OR(T72=18,T72=19),"+4",IF(OR(T72=20,T72=21),"+5",IF(OR(T72=22,T72=23),"+6",IF(OR(T72=24,T72=25),"+7",IF(OR(T72=26,T72=27),"+8",IF(OR(T72=28,T72=29),"+9",IF(T72=30,"+10"," "))))))))))))))))</f>
        <v>-3</v>
      </c>
      <c r="V72" s="3" t="s">
        <v>416</v>
      </c>
      <c r="W72" s="3" t="s">
        <v>37</v>
      </c>
      <c r="X72" s="11" t="s">
        <v>429</v>
      </c>
      <c r="Y72" s="11" t="s">
        <v>430</v>
      </c>
      <c r="Z72" s="11" t="s">
        <v>37</v>
      </c>
      <c r="AA72" s="12" t="s">
        <v>37</v>
      </c>
    </row>
    <row r="73" customFormat="false" ht="16.4" hidden="false" customHeight="false" outlineLevel="0" collapsed="false">
      <c r="A73" s="15" t="s">
        <v>431</v>
      </c>
      <c r="B73" s="3" t="s">
        <v>221</v>
      </c>
      <c r="C73" s="3" t="s">
        <v>222</v>
      </c>
      <c r="D73" s="16" t="n">
        <v>6</v>
      </c>
      <c r="E73" s="6" t="n">
        <f aca="false">VLOOKUP(D73,'[1]REF Tables'!$A$2:$B$40,2)</f>
        <v>2300</v>
      </c>
      <c r="F73" s="3" t="s">
        <v>50</v>
      </c>
      <c r="G73" s="3" t="n">
        <v>15</v>
      </c>
      <c r="H73" s="3" t="s">
        <v>432</v>
      </c>
      <c r="I73" s="3" t="s">
        <v>433</v>
      </c>
      <c r="J73" s="3" t="n">
        <v>15</v>
      </c>
      <c r="K73" s="1" t="str">
        <f aca="false">IF(J73=1,"-5",IF(OR(J73=2,J73=3),"-4",IF(OR(J73=4,J73=5),"-3",IF(OR(J73=6,J73=7),"-2",IF(OR(J73=8,J73=9),"-1",IF(OR(J73=10,J73=11),"0",IF(OR(J73=12,J73=13),"+1",IF(OR(J73=14,J73=15),"+2",IF(OR(J73=16,J73=17),"+3",IF(OR(J73=18,J73=19),"+4",IF(OR(J73=20,J73=21),"+5",IF(OR(J73=22,J73=23),"+6",IF(OR(J73=24,J73=25),"+7",IF(OR(J73=26,J73=27),"+8",IF(OR(J73=28,J73=29),"+9",IF(J73=30,"+10"," "))))))))))))))))</f>
        <v>+2</v>
      </c>
      <c r="L73" s="3" t="n">
        <v>15</v>
      </c>
      <c r="M73" s="1" t="str">
        <f aca="false">IF(L73=1,"-5",IF(OR(L73=2,L73=3),"-4",IF(OR(L73=4,L73=5),"-3",IF(OR(L73=6,L73=7),"-2",IF(OR(L73=8,L73=9),"-1",IF(OR(L73=10,L73=11),"0",IF(OR(L73=12,L73=13),"+1",IF(OR(L73=14,L73=15),"+2",IF(OR(L73=16,L73=17),"+3",IF(OR(L73=18,L73=19),"+4",IF(OR(L73=20,L73=21),"+5",IF(OR(L73=22,L73=23),"+6",IF(OR(L73=24,L73=25),"+7",IF(OR(L73=26,L73=27),"+8",IF(OR(L73=28,L73=29),"+9",IF(L73=30,"+10"," "))))))))))))))))</f>
        <v>+2</v>
      </c>
      <c r="N73" s="3" t="n">
        <v>12</v>
      </c>
      <c r="O73" s="1" t="str">
        <f aca="false">IF(N73=1,"-5",IF(OR(N73=2,N73=3),"-4",IF(OR(N73=4,N73=5),"-3",IF(OR(N73=6,N73=7),"-2",IF(OR(N73=8,N73=9),"-1",IF(OR(N73=10,N73=11),"0",IF(OR(N73=12,N73=13),"+1",IF(OR(N73=14,N73=15),"+2",IF(OR(N73=16,N73=17),"+3",IF(OR(N73=18,N73=19),"+4",IF(OR(N73=20,N73=21),"+5",IF(OR(N73=22,N73=23),"+6",IF(OR(N73=24,N73=25),"+7",IF(OR(N73=26,N73=27),"+8",IF(OR(N73=28,N73=29),"+9",IF(N73=30,"+10"," "))))))))))))))))</f>
        <v>+1</v>
      </c>
      <c r="P73" s="3" t="n">
        <v>11</v>
      </c>
      <c r="Q73" s="1" t="str">
        <f aca="false">IF(P73=1,"-5",IF(OR(P73=2,P73=3),"-4",IF(OR(P73=4,P73=5),"-3",IF(OR(P73=6,P73=7),"-2",IF(OR(P73=8,P73=9),"-1",IF(OR(P73=10,P73=11),"0",IF(OR(P73=12,P73=13),"+1",IF(OR(P73=14,P73=15),"+2",IF(OR(P73=16,P73=17),"+3",IF(OR(P73=18,P73=19),"+4",IF(OR(P73=20,P73=21),"+5",IF(OR(P73=22,P73=23),"+6",IF(OR(P73=24,P73=25),"+7",IF(OR(P73=26,P73=27),"+8",IF(OR(P73=28,P73=29),"+9",IF(P73=30,"+10"," "))))))))))))))))</f>
        <v>0</v>
      </c>
      <c r="R73" s="3" t="n">
        <v>14</v>
      </c>
      <c r="S73" s="1" t="str">
        <f aca="false">IF(R73=1,"-5",IF(OR(R73=2,R73=3),"-4",IF(OR(R73=4,R73=5),"-3",IF(OR(R73=6,R73=7),"-2",IF(OR(R73=8,R73=9),"-1",IF(OR(R73=10,R73=11),"0",IF(OR(R73=12,R73=13),"+1",IF(OR(R73=14,R73=15),"+2",IF(OR(R73=16,R73=17),"+3",IF(OR(R73=18,R73=19),"+4",IF(OR(R73=20,R73=21),"+5",IF(OR(R73=22,R73=23),"+6",IF(OR(R73=24,R73=25),"+7",IF(OR(R73=26,R73=27),"+8",IF(OR(R73=28,R73=29),"+9",IF(R73=30,"+10"," "))))))))))))))))</f>
        <v>+2</v>
      </c>
      <c r="T73" s="3" t="n">
        <v>10</v>
      </c>
      <c r="U73" s="1" t="str">
        <f aca="false">IF(T73=1,"-5",IF(OR(T73=2,T73=3),"-4",IF(OR(T73=4,T73=5),"-3",IF(OR(T73=6,T73=7),"-2",IF(OR(T73=8,T73=9),"-1",IF(OR(T73=10,T73=11),"0",IF(OR(T73=12,T73=13),"+1",IF(OR(T73=14,T73=15),"+2",IF(OR(T73=16,T73=17),"+3",IF(OR(T73=18,T73=19),"+4",IF(OR(T73=20,T73=21),"+5",IF(OR(T73=22,T73=23),"+6",IF(OR(T73=24,T73=25),"+7",IF(OR(T73=26,T73=27),"+8",IF(OR(T73=28,T73=29),"+9",IF(T73=30,"+10"," "))))))))))))))))</f>
        <v>0</v>
      </c>
      <c r="V73" s="3" t="s">
        <v>434</v>
      </c>
      <c r="W73" s="3" t="s">
        <v>249</v>
      </c>
      <c r="X73" s="3" t="s">
        <v>435</v>
      </c>
      <c r="Y73" s="11" t="s">
        <v>436</v>
      </c>
      <c r="Z73" s="11" t="s">
        <v>37</v>
      </c>
      <c r="AA73" s="12" t="s">
        <v>37</v>
      </c>
    </row>
    <row r="74" customFormat="false" ht="16.4" hidden="false" customHeight="false" outlineLevel="0" collapsed="false">
      <c r="A74" s="15" t="s">
        <v>437</v>
      </c>
      <c r="B74" s="3" t="s">
        <v>59</v>
      </c>
      <c r="C74" s="3" t="s">
        <v>37</v>
      </c>
      <c r="D74" s="16" t="n">
        <v>0</v>
      </c>
      <c r="E74" s="3" t="n">
        <f aca="false">VLOOKUP(D74,'[1]REF Tables'!$A$2:$B$40,2)</f>
        <v>10</v>
      </c>
      <c r="F74" s="3" t="s">
        <v>315</v>
      </c>
      <c r="G74" s="3" t="n">
        <v>12</v>
      </c>
      <c r="H74" s="3" t="s">
        <v>438</v>
      </c>
      <c r="I74" s="3" t="s">
        <v>439</v>
      </c>
      <c r="J74" s="3" t="n">
        <v>3</v>
      </c>
      <c r="K74" s="1" t="str">
        <f aca="false">IF(J74=1,"-5",IF(OR(J74=2,J74=3),"-4",IF(OR(J74=4,J74=5),"-3",IF(OR(J74=6,J74=7),"-2",IF(OR(J74=8,J74=9),"-1",IF(OR(J74=10,J74=11),"0",IF(OR(J74=12,J74=13),"+1",IF(OR(J74=14,J74=15),"+2",IF(OR(J74=16,J74=17),"+3",IF(OR(J74=18,J74=19),"+4",IF(OR(J74=20,J74=21),"+5",IF(OR(J74=22,J74=23),"+6",IF(OR(J74=24,J74=25),"+7",IF(OR(J74=26,J74=27),"+8",IF(OR(J74=28,J74=29),"+9",IF(J74=30,"+10"," "))))))))))))))))</f>
        <v>-4</v>
      </c>
      <c r="L74" s="3" t="n">
        <v>15</v>
      </c>
      <c r="M74" s="1" t="str">
        <f aca="false">IF(L74=1,"-5",IF(OR(L74=2,L74=3),"-4",IF(OR(L74=4,L74=5),"-3",IF(OR(L74=6,L74=7),"-2",IF(OR(L74=8,L74=9),"-1",IF(OR(L74=10,L74=11),"0",IF(OR(L74=12,L74=13),"+1",IF(OR(L74=14,L74=15),"+2",IF(OR(L74=16,L74=17),"+3",IF(OR(L74=18,L74=19),"+4",IF(OR(L74=20,L74=21),"+5",IF(OR(L74=22,L74=23),"+6",IF(OR(L74=24,L74=25),"+7",IF(OR(L74=26,L74=27),"+8",IF(OR(L74=28,L74=29),"+9",IF(L74=30,"+10"," "))))))))))))))))</f>
        <v>+2</v>
      </c>
      <c r="N74" s="3" t="n">
        <v>10</v>
      </c>
      <c r="O74" s="1" t="str">
        <f aca="false">IF(N74=1,"-5",IF(OR(N74=2,N74=3),"-4",IF(OR(N74=4,N74=5),"-3",IF(OR(N74=6,N74=7),"-2",IF(OR(N74=8,N74=9),"-1",IF(OR(N74=10,N74=11),"0",IF(OR(N74=12,N74=13),"+1",IF(OR(N74=14,N74=15),"+2",IF(OR(N74=16,N74=17),"+3",IF(OR(N74=18,N74=19),"+4",IF(OR(N74=20,N74=21),"+5",IF(OR(N74=22,N74=23),"+6",IF(OR(N74=24,N74=25),"+7",IF(OR(N74=26,N74=27),"+8",IF(OR(N74=28,N74=29),"+9",IF(N74=30,"+10"," "))))))))))))))))</f>
        <v>0</v>
      </c>
      <c r="P74" s="3" t="n">
        <v>3</v>
      </c>
      <c r="Q74" s="1" t="str">
        <f aca="false">IF(P74=1,"-5",IF(OR(P74=2,P74=3),"-4",IF(OR(P74=4,P74=5),"-3",IF(OR(P74=6,P74=7),"-2",IF(OR(P74=8,P74=9),"-1",IF(OR(P74=10,P74=11),"0",IF(OR(P74=12,P74=13),"+1",IF(OR(P74=14,P74=15),"+2",IF(OR(P74=16,P74=17),"+3",IF(OR(P74=18,P74=19),"+4",IF(OR(P74=20,P74=21),"+5",IF(OR(P74=22,P74=23),"+6",IF(OR(P74=24,P74=25),"+7",IF(OR(P74=26,P74=27),"+8",IF(OR(P74=28,P74=29),"+9",IF(P74=30,"+10"," "))))))))))))))))</f>
        <v>-4</v>
      </c>
      <c r="R74" s="3" t="n">
        <v>12</v>
      </c>
      <c r="S74" s="1" t="str">
        <f aca="false">IF(R74=1,"-5",IF(OR(R74=2,R74=3),"-4",IF(OR(R74=4,R74=5),"-3",IF(OR(R74=6,R74=7),"-2",IF(OR(R74=8,R74=9),"-1",IF(OR(R74=10,R74=11),"0",IF(OR(R74=12,R74=13),"+1",IF(OR(R74=14,R74=15),"+2",IF(OR(R74=16,R74=17),"+3",IF(OR(R74=18,R74=19),"+4",IF(OR(R74=20,R74=21),"+5",IF(OR(R74=22,R74=23),"+6",IF(OR(R74=24,R74=25),"+7",IF(OR(R74=26,R74=27),"+8",IF(OR(R74=28,R74=29),"+9",IF(R74=30,"+10"," "))))))))))))))))</f>
        <v>+1</v>
      </c>
      <c r="T74" s="3" t="n">
        <v>7</v>
      </c>
      <c r="U74" s="1" t="str">
        <f aca="false">IF(T74=1,"-5",IF(OR(T74=2,T74=3),"-4",IF(OR(T74=4,T74=5),"-3",IF(OR(T74=6,T74=7),"-2",IF(OR(T74=8,T74=9),"-1",IF(OR(T74=10,T74=11),"0",IF(OR(T74=12,T74=13),"+1",IF(OR(T74=14,T74=15),"+2",IF(OR(T74=16,T74=17),"+3",IF(OR(T74=18,T74=19),"+4",IF(OR(T74=20,T74=21),"+5",IF(OR(T74=22,T74=23),"+6",IF(OR(T74=24,T74=25),"+7",IF(OR(T74=26,T74=27),"+8",IF(OR(T74=28,T74=29),"+9",IF(T74=30,"+10"," "))))))))))))))))</f>
        <v>-2</v>
      </c>
      <c r="V74" s="3" t="s">
        <v>440</v>
      </c>
      <c r="W74" s="3" t="s">
        <v>37</v>
      </c>
      <c r="X74" s="3" t="s">
        <v>441</v>
      </c>
      <c r="Y74" s="11" t="s">
        <v>442</v>
      </c>
      <c r="Z74" s="11" t="s">
        <v>37</v>
      </c>
      <c r="AA74" s="12" t="s">
        <v>37</v>
      </c>
    </row>
    <row r="75" customFormat="false" ht="16.4" hidden="false" customHeight="false" outlineLevel="0" collapsed="false">
      <c r="A75" s="15" t="s">
        <v>443</v>
      </c>
      <c r="B75" s="3" t="s">
        <v>59</v>
      </c>
      <c r="C75" s="3" t="s">
        <v>37</v>
      </c>
      <c r="D75" s="16" t="n">
        <v>0</v>
      </c>
      <c r="E75" s="3" t="n">
        <f aca="false">VLOOKUP(D75,'[1]REF Tables'!$A$2:$B$40,2)</f>
        <v>10</v>
      </c>
      <c r="F75" s="3" t="s">
        <v>315</v>
      </c>
      <c r="G75" s="3" t="n">
        <v>12</v>
      </c>
      <c r="H75" s="3" t="s">
        <v>316</v>
      </c>
      <c r="I75" s="3" t="s">
        <v>444</v>
      </c>
      <c r="J75" s="3" t="n">
        <v>2</v>
      </c>
      <c r="K75" s="1" t="str">
        <f aca="false">IF(J75=1,"-5",IF(OR(J75=2,J75=3),"-4",IF(OR(J75=4,J75=5),"-3",IF(OR(J75=6,J75=7),"-2",IF(OR(J75=8,J75=9),"-1",IF(OR(J75=10,J75=11),"0",IF(OR(J75=12,J75=13),"+1",IF(OR(J75=14,J75=15),"+2",IF(OR(J75=16,J75=17),"+3",IF(OR(J75=18,J75=19),"+4",IF(OR(J75=20,J75=21),"+5",IF(OR(J75=22,J75=23),"+6",IF(OR(J75=24,J75=25),"+7",IF(OR(J75=26,J75=27),"+8",IF(OR(J75=28,J75=29),"+9",IF(J75=30,"+10"," "))))))))))))))))</f>
        <v>-4</v>
      </c>
      <c r="L75" s="3" t="n">
        <v>15</v>
      </c>
      <c r="M75" s="1" t="str">
        <f aca="false">IF(L75=1,"-5",IF(OR(L75=2,L75=3),"-4",IF(OR(L75=4,L75=5),"-3",IF(OR(L75=6,L75=7),"-2",IF(OR(L75=8,L75=9),"-1",IF(OR(L75=10,L75=11),"0",IF(OR(L75=12,L75=13),"+1",IF(OR(L75=14,L75=15),"+2",IF(OR(L75=16,L75=17),"+3",IF(OR(L75=18,L75=19),"+4",IF(OR(L75=20,L75=21),"+5",IF(OR(L75=22,L75=23),"+6",IF(OR(L75=24,L75=25),"+7",IF(OR(L75=26,L75=27),"+8",IF(OR(L75=28,L75=29),"+9",IF(L75=30,"+10"," "))))))))))))))))</f>
        <v>+2</v>
      </c>
      <c r="N75" s="3" t="n">
        <v>8</v>
      </c>
      <c r="O75" s="1" t="str">
        <f aca="false">IF(N75=1,"-5",IF(OR(N75=2,N75=3),"-4",IF(OR(N75=4,N75=5),"-3",IF(OR(N75=6,N75=7),"-2",IF(OR(N75=8,N75=9),"-1",IF(OR(N75=10,N75=11),"0",IF(OR(N75=12,N75=13),"+1",IF(OR(N75=14,N75=15),"+2",IF(OR(N75=16,N75=17),"+3",IF(OR(N75=18,N75=19),"+4",IF(OR(N75=20,N75=21),"+5",IF(OR(N75=22,N75=23),"+6",IF(OR(N75=24,N75=25),"+7",IF(OR(N75=26,N75=27),"+8",IF(OR(N75=28,N75=29),"+9",IF(N75=30,"+10"," "))))))))))))))))</f>
        <v>-1</v>
      </c>
      <c r="P75" s="3" t="n">
        <v>2</v>
      </c>
      <c r="Q75" s="1" t="str">
        <f aca="false">IF(P75=1,"-5",IF(OR(P75=2,P75=3),"-4",IF(OR(P75=4,P75=5),"-3",IF(OR(P75=6,P75=7),"-2",IF(OR(P75=8,P75=9),"-1",IF(OR(P75=10,P75=11),"0",IF(OR(P75=12,P75=13),"+1",IF(OR(P75=14,P75=15),"+2",IF(OR(P75=16,P75=17),"+3",IF(OR(P75=18,P75=19),"+4",IF(OR(P75=20,P75=21),"+5",IF(OR(P75=22,P75=23),"+6",IF(OR(P75=24,P75=25),"+7",IF(OR(P75=26,P75=27),"+8",IF(OR(P75=28,P75=29),"+9",IF(P75=30,"+10"," "))))))))))))))))</f>
        <v>-4</v>
      </c>
      <c r="R75" s="3" t="n">
        <v>12</v>
      </c>
      <c r="S75" s="1" t="str">
        <f aca="false">IF(R75=1,"-5",IF(OR(R75=2,R75=3),"-4",IF(OR(R75=4,R75=5),"-3",IF(OR(R75=6,R75=7),"-2",IF(OR(R75=8,R75=9),"-1",IF(OR(R75=10,R75=11),"0",IF(OR(R75=12,R75=13),"+1",IF(OR(R75=14,R75=15),"+2",IF(OR(R75=16,R75=17),"+3",IF(OR(R75=18,R75=19),"+4",IF(OR(R75=20,R75=21),"+5",IF(OR(R75=22,R75=23),"+6",IF(OR(R75=24,R75=25),"+7",IF(OR(R75=26,R75=27),"+8",IF(OR(R75=28,R75=29),"+9",IF(R75=30,"+10"," "))))))))))))))))</f>
        <v>+1</v>
      </c>
      <c r="T75" s="3" t="n">
        <v>4</v>
      </c>
      <c r="U75" s="1" t="str">
        <f aca="false">IF(T75=1,"-5",IF(OR(T75=2,T75=3),"-4",IF(OR(T75=4,T75=5),"-3",IF(OR(T75=6,T75=7),"-2",IF(OR(T75=8,T75=9),"-1",IF(OR(T75=10,T75=11),"0",IF(OR(T75=12,T75=13),"+1",IF(OR(T75=14,T75=15),"+2",IF(OR(T75=16,T75=17),"+3",IF(OR(T75=18,T75=19),"+4",IF(OR(T75=20,T75=21),"+5",IF(OR(T75=22,T75=23),"+6",IF(OR(T75=24,T75=25),"+7",IF(OR(T75=26,T75=27),"+8",IF(OR(T75=28,T75=29),"+9",IF(T75=30,"+10"," "))))))))))))))))</f>
        <v>-3</v>
      </c>
      <c r="V75" s="3" t="s">
        <v>37</v>
      </c>
      <c r="W75" s="3" t="s">
        <v>37</v>
      </c>
      <c r="X75" s="11" t="s">
        <v>445</v>
      </c>
      <c r="Y75" s="11" t="s">
        <v>446</v>
      </c>
      <c r="Z75" s="11" t="s">
        <v>37</v>
      </c>
      <c r="AA75" s="12" t="s">
        <v>37</v>
      </c>
    </row>
    <row r="76" customFormat="false" ht="16.4" hidden="false" customHeight="false" outlineLevel="0" collapsed="false">
      <c r="A76" s="15" t="s">
        <v>447</v>
      </c>
      <c r="B76" s="3" t="s">
        <v>59</v>
      </c>
      <c r="C76" s="3" t="s">
        <v>37</v>
      </c>
      <c r="D76" s="16" t="n">
        <v>0.25</v>
      </c>
      <c r="E76" s="3" t="n">
        <f aca="false">VLOOKUP(D76,'[1]REF Tables'!$A$2:$B$40,2)</f>
        <v>50</v>
      </c>
      <c r="F76" s="3" t="s">
        <v>50</v>
      </c>
      <c r="G76" s="3" t="n">
        <v>13</v>
      </c>
      <c r="H76" s="3" t="s">
        <v>448</v>
      </c>
      <c r="I76" s="3" t="s">
        <v>449</v>
      </c>
      <c r="J76" s="3" t="n">
        <v>15</v>
      </c>
      <c r="K76" s="1" t="str">
        <f aca="false">IF(J76=1,"-5",IF(OR(J76=2,J76=3),"-4",IF(OR(J76=4,J76=5),"-3",IF(OR(J76=6,J76=7),"-2",IF(OR(J76=8,J76=9),"-1",IF(OR(J76=10,J76=11),"0",IF(OR(J76=12,J76=13),"+1",IF(OR(J76=14,J76=15),"+2",IF(OR(J76=16,J76=17),"+3",IF(OR(J76=18,J76=19),"+4",IF(OR(J76=20,J76=21),"+5",IF(OR(J76=22,J76=23),"+6",IF(OR(J76=24,J76=25),"+7",IF(OR(J76=26,J76=27),"+8",IF(OR(J76=28,J76=29),"+9",IF(J76=30,"+10"," "))))))))))))))))</f>
        <v>+2</v>
      </c>
      <c r="L76" s="3" t="n">
        <v>16</v>
      </c>
      <c r="M76" s="1" t="str">
        <f aca="false">IF(L76=1,"-5",IF(OR(L76=2,L76=3),"-4",IF(OR(L76=4,L76=5),"-3",IF(OR(L76=6,L76=7),"-2",IF(OR(L76=8,L76=9),"-1",IF(OR(L76=10,L76=11),"0",IF(OR(L76=12,L76=13),"+1",IF(OR(L76=14,L76=15),"+2",IF(OR(L76=16,L76=17),"+3",IF(OR(L76=18,L76=19),"+4",IF(OR(L76=20,L76=21),"+5",IF(OR(L76=22,L76=23),"+6",IF(OR(L76=24,L76=25),"+7",IF(OR(L76=26,L76=27),"+8",IF(OR(L76=28,L76=29),"+9",IF(L76=30,"+10"," "))))))))))))))))</f>
        <v>+3</v>
      </c>
      <c r="N76" s="3" t="n">
        <v>11</v>
      </c>
      <c r="O76" s="1" t="str">
        <f aca="false">IF(N76=1,"-5",IF(OR(N76=2,N76=3),"-4",IF(OR(N76=4,N76=5),"-3",IF(OR(N76=6,N76=7),"-2",IF(OR(N76=8,N76=9),"-1",IF(OR(N76=10,N76=11),"0",IF(OR(N76=12,N76=13),"+1",IF(OR(N76=14,N76=15),"+2",IF(OR(N76=16,N76=17),"+3",IF(OR(N76=18,N76=19),"+4",IF(OR(N76=20,N76=21),"+5",IF(OR(N76=22,N76=23),"+6",IF(OR(N76=24,N76=25),"+7",IF(OR(N76=26,N76=27),"+8",IF(OR(N76=28,N76=29),"+9",IF(N76=30,"+10"," "))))))))))))))))</f>
        <v>0</v>
      </c>
      <c r="P76" s="3" t="n">
        <v>2</v>
      </c>
      <c r="Q76" s="1" t="str">
        <f aca="false">IF(P76=1,"-5",IF(OR(P76=2,P76=3),"-4",IF(OR(P76=4,P76=5),"-3",IF(OR(P76=6,P76=7),"-2",IF(OR(P76=8,P76=9),"-1",IF(OR(P76=10,P76=11),"0",IF(OR(P76=12,P76=13),"+1",IF(OR(P76=14,P76=15),"+2",IF(OR(P76=16,P76=17),"+3",IF(OR(P76=18,P76=19),"+4",IF(OR(P76=20,P76=21),"+5",IF(OR(P76=22,P76=23),"+6",IF(OR(P76=24,P76=25),"+7",IF(OR(P76=26,P76=27),"+8",IF(OR(P76=28,P76=29),"+9",IF(P76=30,"+10"," "))))))))))))))))</f>
        <v>-4</v>
      </c>
      <c r="R76" s="3" t="n">
        <v>12</v>
      </c>
      <c r="S76" s="1" t="str">
        <f aca="false">IF(R76=1,"-5",IF(OR(R76=2,R76=3),"-4",IF(OR(R76=4,R76=5),"-3",IF(OR(R76=6,R76=7),"-2",IF(OR(R76=8,R76=9),"-1",IF(OR(R76=10,R76=11),"0",IF(OR(R76=12,R76=13),"+1",IF(OR(R76=14,R76=15),"+2",IF(OR(R76=16,R76=17),"+3",IF(OR(R76=18,R76=19),"+4",IF(OR(R76=20,R76=21),"+5",IF(OR(R76=22,R76=23),"+6",IF(OR(R76=24,R76=25),"+7",IF(OR(R76=26,R76=27),"+8",IF(OR(R76=28,R76=29),"+9",IF(R76=30,"+10"," "))))))))))))))))</f>
        <v>+1</v>
      </c>
      <c r="T76" s="3" t="n">
        <v>6</v>
      </c>
      <c r="U76" s="1" t="str">
        <f aca="false">IF(T76=1,"-5",IF(OR(T76=2,T76=3),"-4",IF(OR(T76=4,T76=5),"-3",IF(OR(T76=6,T76=7),"-2",IF(OR(T76=8,T76=9),"-1",IF(OR(T76=10,T76=11),"0",IF(OR(T76=12,T76=13),"+1",IF(OR(T76=14,T76=15),"+2",IF(OR(T76=16,T76=17),"+3",IF(OR(T76=18,T76=19),"+4",IF(OR(T76=20,T76=21),"+5",IF(OR(T76=22,T76=23),"+6",IF(OR(T76=24,T76=25),"+7",IF(OR(T76=26,T76=27),"+8",IF(OR(T76=28,T76=29),"+9",IF(T76=30,"+10"," "))))))))))))))))</f>
        <v>-2</v>
      </c>
      <c r="V76" s="3" t="s">
        <v>37</v>
      </c>
      <c r="W76" s="3" t="s">
        <v>37</v>
      </c>
      <c r="X76" s="11" t="s">
        <v>445</v>
      </c>
      <c r="Y76" s="11" t="s">
        <v>450</v>
      </c>
      <c r="Z76" s="11" t="s">
        <v>37</v>
      </c>
      <c r="AA76" s="12" t="s">
        <v>37</v>
      </c>
    </row>
    <row r="77" customFormat="false" ht="16.4" hidden="false" customHeight="false" outlineLevel="0" collapsed="false">
      <c r="A77" s="15" t="s">
        <v>451</v>
      </c>
      <c r="B77" s="3" t="s">
        <v>59</v>
      </c>
      <c r="C77" s="3" t="s">
        <v>37</v>
      </c>
      <c r="D77" s="16" t="n">
        <v>0.5</v>
      </c>
      <c r="E77" s="3" t="n">
        <f aca="false">VLOOKUP(D77,'[1]REF Tables'!$A$2:$B$40,2)</f>
        <v>100</v>
      </c>
      <c r="F77" s="3" t="s">
        <v>50</v>
      </c>
      <c r="G77" s="3" t="n">
        <v>11</v>
      </c>
      <c r="H77" s="3" t="s">
        <v>304</v>
      </c>
      <c r="I77" s="3" t="s">
        <v>94</v>
      </c>
      <c r="J77" s="3" t="n">
        <v>18</v>
      </c>
      <c r="K77" s="1" t="str">
        <f aca="false">IF(J77=1,"-5",IF(OR(J77=2,J77=3),"-4",IF(OR(J77=4,J77=5),"-3",IF(OR(J77=6,J77=7),"-2",IF(OR(J77=8,J77=9),"-1",IF(OR(J77=10,J77=11),"0",IF(OR(J77=12,J77=13),"+1",IF(OR(J77=14,J77=15),"+2",IF(OR(J77=16,J77=17),"+3",IF(OR(J77=18,J77=19),"+4",IF(OR(J77=20,J77=21),"+5",IF(OR(J77=22,J77=23),"+6",IF(OR(J77=24,J77=25),"+7",IF(OR(J77=26,J77=27),"+8",IF(OR(J77=28,J77=29),"+9",IF(J77=30,"+10"," "))))))))))))))))</f>
        <v>+4</v>
      </c>
      <c r="L77" s="3" t="n">
        <v>12</v>
      </c>
      <c r="M77" s="1" t="str">
        <f aca="false">IF(L77=1,"-5",IF(OR(L77=2,L77=3),"-4",IF(OR(L77=4,L77=5),"-3",IF(OR(L77=6,L77=7),"-2",IF(OR(L77=8,L77=9),"-1",IF(OR(L77=10,L77=11),"0",IF(OR(L77=12,L77=13),"+1",IF(OR(L77=14,L77=15),"+2",IF(OR(L77=16,L77=17),"+3",IF(OR(L77=18,L77=19),"+4",IF(OR(L77=20,L77=21),"+5",IF(OR(L77=22,L77=23),"+6",IF(OR(L77=24,L77=25),"+7",IF(OR(L77=26,L77=27),"+8",IF(OR(L77=28,L77=29),"+9",IF(L77=30,"+10"," "))))))))))))))))</f>
        <v>+1</v>
      </c>
      <c r="N77" s="3" t="n">
        <v>13</v>
      </c>
      <c r="O77" s="1" t="str">
        <f aca="false">IF(N77=1,"-5",IF(OR(N77=2,N77=3),"-4",IF(OR(N77=4,N77=5),"-3",IF(OR(N77=6,N77=7),"-2",IF(OR(N77=8,N77=9),"-1",IF(OR(N77=10,N77=11),"0",IF(OR(N77=12,N77=13),"+1",IF(OR(N77=14,N77=15),"+2",IF(OR(N77=16,N77=17),"+3",IF(OR(N77=18,N77=19),"+4",IF(OR(N77=20,N77=21),"+5",IF(OR(N77=22,N77=23),"+6",IF(OR(N77=24,N77=25),"+7",IF(OR(N77=26,N77=27),"+8",IF(OR(N77=28,N77=29),"+9",IF(N77=30,"+10"," "))))))))))))))))</f>
        <v>+1</v>
      </c>
      <c r="P77" s="3" t="n">
        <v>2</v>
      </c>
      <c r="Q77" s="1" t="str">
        <f aca="false">IF(P77=1,"-5",IF(OR(P77=2,P77=3),"-4",IF(OR(P77=4,P77=5),"-3",IF(OR(P77=6,P77=7),"-2",IF(OR(P77=8,P77=9),"-1",IF(OR(P77=10,P77=11),"0",IF(OR(P77=12,P77=13),"+1",IF(OR(P77=14,P77=15),"+2",IF(OR(P77=16,P77=17),"+3",IF(OR(P77=18,P77=19),"+4",IF(OR(P77=20,P77=21),"+5",IF(OR(P77=22,P77=23),"+6",IF(OR(P77=24,P77=25),"+7",IF(OR(P77=26,P77=27),"+8",IF(OR(P77=28,P77=29),"+9",IF(P77=30,"+10"," "))))))))))))))))</f>
        <v>-4</v>
      </c>
      <c r="R77" s="3" t="n">
        <v>12</v>
      </c>
      <c r="S77" s="1" t="str">
        <f aca="false">IF(R77=1,"-5",IF(OR(R77=2,R77=3),"-4",IF(OR(R77=4,R77=5),"-3",IF(OR(R77=6,R77=7),"-2",IF(OR(R77=8,R77=9),"-1",IF(OR(R77=10,R77=11),"0",IF(OR(R77=12,R77=13),"+1",IF(OR(R77=14,R77=15),"+2",IF(OR(R77=16,R77=17),"+3",IF(OR(R77=18,R77=19),"+4",IF(OR(R77=20,R77=21),"+5",IF(OR(R77=22,R77=23),"+6",IF(OR(R77=24,R77=25),"+7",IF(OR(R77=26,R77=27),"+8",IF(OR(R77=28,R77=29),"+9",IF(R77=30,"+10"," "))))))))))))))))</f>
        <v>+1</v>
      </c>
      <c r="T77" s="3" t="n">
        <v>7</v>
      </c>
      <c r="U77" s="1" t="str">
        <f aca="false">IF(T77=1,"-5",IF(OR(T77=2,T77=3),"-4",IF(OR(T77=4,T77=5),"-3",IF(OR(T77=6,T77=7),"-2",IF(OR(T77=8,T77=9),"-1",IF(OR(T77=10,T77=11),"0",IF(OR(T77=12,T77=13),"+1",IF(OR(T77=14,T77=15),"+2",IF(OR(T77=16,T77=17),"+3",IF(OR(T77=18,T77=19),"+4",IF(OR(T77=20,T77=21),"+5",IF(OR(T77=22,T77=23),"+6",IF(OR(T77=24,T77=25),"+7",IF(OR(T77=26,T77=27),"+8",IF(OR(T77=28,T77=29),"+9",IF(T77=30,"+10"," "))))))))))))))))</f>
        <v>-2</v>
      </c>
      <c r="V77" s="3" t="s">
        <v>37</v>
      </c>
      <c r="W77" s="3" t="s">
        <v>37</v>
      </c>
      <c r="X77" s="11" t="s">
        <v>452</v>
      </c>
      <c r="Y77" s="11" t="s">
        <v>453</v>
      </c>
      <c r="Z77" s="11" t="s">
        <v>37</v>
      </c>
      <c r="AA77" s="12" t="s">
        <v>37</v>
      </c>
    </row>
    <row r="78" customFormat="false" ht="16.4" hidden="false" customHeight="false" outlineLevel="0" collapsed="false">
      <c r="A78" s="15" t="s">
        <v>454</v>
      </c>
      <c r="B78" s="3" t="s">
        <v>59</v>
      </c>
      <c r="C78" s="3" t="s">
        <v>37</v>
      </c>
      <c r="D78" s="16" t="n">
        <v>0.25</v>
      </c>
      <c r="E78" s="3" t="n">
        <f aca="false">VLOOKUP(D78,'[1]REF Tables'!$A$2:$B$40,2)</f>
        <v>50</v>
      </c>
      <c r="F78" s="3" t="s">
        <v>50</v>
      </c>
      <c r="G78" s="3" t="n">
        <v>10</v>
      </c>
      <c r="H78" s="3" t="s">
        <v>455</v>
      </c>
      <c r="I78" s="3" t="s">
        <v>94</v>
      </c>
      <c r="J78" s="3" t="n">
        <v>16</v>
      </c>
      <c r="K78" s="1" t="str">
        <f aca="false">IF(J78=1,"-5",IF(OR(J78=2,J78=3),"-4",IF(OR(J78=4,J78=5),"-3",IF(OR(J78=6,J78=7),"-2",IF(OR(J78=8,J78=9),"-1",IF(OR(J78=10,J78=11),"0",IF(OR(J78=12,J78=13),"+1",IF(OR(J78=14,J78=15),"+2",IF(OR(J78=16,J78=17),"+3",IF(OR(J78=18,J78=19),"+4",IF(OR(J78=20,J78=21),"+5",IF(OR(J78=22,J78=23),"+6",IF(OR(J78=24,J78=25),"+7",IF(OR(J78=26,J78=27),"+8",IF(OR(J78=28,J78=29),"+9",IF(J78=30,"+10"," "))))))))))))))))</f>
        <v>+3</v>
      </c>
      <c r="L78" s="3" t="n">
        <v>10</v>
      </c>
      <c r="M78" s="1" t="str">
        <f aca="false">IF(L78=1,"-5",IF(OR(L78=2,L78=3),"-4",IF(OR(L78=4,L78=5),"-3",IF(OR(L78=6,L78=7),"-2",IF(OR(L78=8,L78=9),"-1",IF(OR(L78=10,L78=11),"0",IF(OR(L78=12,L78=13),"+1",IF(OR(L78=14,L78=15),"+2",IF(OR(L78=16,L78=17),"+3",IF(OR(L78=18,L78=19),"+4",IF(OR(L78=20,L78=21),"+5",IF(OR(L78=22,L78=23),"+6",IF(OR(L78=24,L78=25),"+7",IF(OR(L78=26,L78=27),"+8",IF(OR(L78=28,L78=29),"+9",IF(L78=30,"+10"," "))))))))))))))))</f>
        <v>0</v>
      </c>
      <c r="N78" s="3" t="n">
        <v>12</v>
      </c>
      <c r="O78" s="1" t="str">
        <f aca="false">IF(N78=1,"-5",IF(OR(N78=2,N78=3),"-4",IF(OR(N78=4,N78=5),"-3",IF(OR(N78=6,N78=7),"-2",IF(OR(N78=8,N78=9),"-1",IF(OR(N78=10,N78=11),"0",IF(OR(N78=12,N78=13),"+1",IF(OR(N78=14,N78=15),"+2",IF(OR(N78=16,N78=17),"+3",IF(OR(N78=18,N78=19),"+4",IF(OR(N78=20,N78=21),"+5",IF(OR(N78=22,N78=23),"+6",IF(OR(N78=24,N78=25),"+7",IF(OR(N78=26,N78=27),"+8",IF(OR(N78=28,N78=29),"+9",IF(N78=30,"+10"," "))))))))))))))))</f>
        <v>+1</v>
      </c>
      <c r="P78" s="3" t="n">
        <v>2</v>
      </c>
      <c r="Q78" s="1" t="str">
        <f aca="false">IF(P78=1,"-5",IF(OR(P78=2,P78=3),"-4",IF(OR(P78=4,P78=5),"-3",IF(OR(P78=6,P78=7),"-2",IF(OR(P78=8,P78=9),"-1",IF(OR(P78=10,P78=11),"0",IF(OR(P78=12,P78=13),"+1",IF(OR(P78=14,P78=15),"+2",IF(OR(P78=16,P78=17),"+3",IF(OR(P78=18,P78=19),"+4",IF(OR(P78=20,P78=21),"+5",IF(OR(P78=22,P78=23),"+6",IF(OR(P78=24,P78=25),"+7",IF(OR(P78=26,P78=27),"+8",IF(OR(P78=28,P78=29),"+9",IF(P78=30,"+10"," "))))))))))))))))</f>
        <v>-4</v>
      </c>
      <c r="R78" s="3" t="n">
        <v>11</v>
      </c>
      <c r="S78" s="1" t="str">
        <f aca="false">IF(R78=1,"-5",IF(OR(R78=2,R78=3),"-4",IF(OR(R78=4,R78=5),"-3",IF(OR(R78=6,R78=7),"-2",IF(OR(R78=8,R78=9),"-1",IF(OR(R78=10,R78=11),"0",IF(OR(R78=12,R78=13),"+1",IF(OR(R78=14,R78=15),"+2",IF(OR(R78=16,R78=17),"+3",IF(OR(R78=18,R78=19),"+4",IF(OR(R78=20,R78=21),"+5",IF(OR(R78=22,R78=23),"+6",IF(OR(R78=24,R78=25),"+7",IF(OR(R78=26,R78=27),"+8",IF(OR(R78=28,R78=29),"+9",IF(R78=30,"+10"," "))))))))))))))))</f>
        <v>0</v>
      </c>
      <c r="T78" s="3" t="n">
        <v>7</v>
      </c>
      <c r="U78" s="1" t="str">
        <f aca="false">IF(T78=1,"-5",IF(OR(T78=2,T78=3),"-4",IF(OR(T78=4,T78=5),"-3",IF(OR(T78=6,T78=7),"-2",IF(OR(T78=8,T78=9),"-1",IF(OR(T78=10,T78=11),"0",IF(OR(T78=12,T78=13),"+1",IF(OR(T78=14,T78=15),"+2",IF(OR(T78=16,T78=17),"+3",IF(OR(T78=18,T78=19),"+4",IF(OR(T78=20,T78=21),"+5",IF(OR(T78=22,T78=23),"+6",IF(OR(T78=24,T78=25),"+7",IF(OR(T78=26,T78=27),"+8",IF(OR(T78=28,T78=29),"+9",IF(T78=30,"+10"," "))))))))))))))))</f>
        <v>-2</v>
      </c>
      <c r="V78" s="3" t="s">
        <v>37</v>
      </c>
      <c r="W78" s="3" t="s">
        <v>37</v>
      </c>
      <c r="X78" s="11" t="s">
        <v>260</v>
      </c>
      <c r="Y78" s="11" t="s">
        <v>456</v>
      </c>
      <c r="Z78" s="11" t="s">
        <v>37</v>
      </c>
      <c r="AA78" s="12" t="s">
        <v>37</v>
      </c>
    </row>
    <row r="79" customFormat="false" ht="16.4" hidden="false" customHeight="false" outlineLevel="0" collapsed="false">
      <c r="A79" s="15" t="s">
        <v>457</v>
      </c>
      <c r="B79" s="3" t="s">
        <v>59</v>
      </c>
      <c r="C79" s="3" t="s">
        <v>37</v>
      </c>
      <c r="D79" s="16" t="n">
        <v>0.25</v>
      </c>
      <c r="E79" s="3" t="n">
        <f aca="false">VLOOKUP(D79,'[1]REF Tables'!$A$2:$B$40,2)</f>
        <v>50</v>
      </c>
      <c r="F79" s="3" t="s">
        <v>50</v>
      </c>
      <c r="G79" s="3" t="n">
        <v>10</v>
      </c>
      <c r="H79" s="3" t="s">
        <v>304</v>
      </c>
      <c r="I79" s="3" t="s">
        <v>224</v>
      </c>
      <c r="J79" s="3" t="n">
        <v>18</v>
      </c>
      <c r="K79" s="1" t="str">
        <f aca="false">IF(J79=1,"-5",IF(OR(J79=2,J79=3),"-4",IF(OR(J79=4,J79=5),"-3",IF(OR(J79=6,J79=7),"-2",IF(OR(J79=8,J79=9),"-1",IF(OR(J79=10,J79=11),"0",IF(OR(J79=12,J79=13),"+1",IF(OR(J79=14,J79=15),"+2",IF(OR(J79=16,J79=17),"+3",IF(OR(J79=18,J79=19),"+4",IF(OR(J79=20,J79=21),"+5",IF(OR(J79=22,J79=23),"+6",IF(OR(J79=24,J79=25),"+7",IF(OR(J79=26,J79=27),"+8",IF(OR(J79=28,J79=29),"+9",IF(J79=30,"+10"," "))))))))))))))))</f>
        <v>+4</v>
      </c>
      <c r="L79" s="3" t="n">
        <v>10</v>
      </c>
      <c r="M79" s="1" t="str">
        <f aca="false">IF(L79=1,"-5",IF(OR(L79=2,L79=3),"-4",IF(OR(L79=4,L79=5),"-3",IF(OR(L79=6,L79=7),"-2",IF(OR(L79=8,L79=9),"-1",IF(OR(L79=10,L79=11),"0",IF(OR(L79=12,L79=13),"+1",IF(OR(L79=14,L79=15),"+2",IF(OR(L79=16,L79=17),"+3",IF(OR(L79=18,L79=19),"+4",IF(OR(L79=20,L79=21),"+5",IF(OR(L79=22,L79=23),"+6",IF(OR(L79=24,L79=25),"+7",IF(OR(L79=26,L79=27),"+8",IF(OR(L79=28,L79=29),"+9",IF(L79=30,"+10"," "))))))))))))))))</f>
        <v>0</v>
      </c>
      <c r="N79" s="3" t="n">
        <v>12</v>
      </c>
      <c r="O79" s="1" t="str">
        <f aca="false">IF(N79=1,"-5",IF(OR(N79=2,N79=3),"-4",IF(OR(N79=4,N79=5),"-3",IF(OR(N79=6,N79=7),"-2",IF(OR(N79=8,N79=9),"-1",IF(OR(N79=10,N79=11),"0",IF(OR(N79=12,N79=13),"+1",IF(OR(N79=14,N79=15),"+2",IF(OR(N79=16,N79=17),"+3",IF(OR(N79=18,N79=19),"+4",IF(OR(N79=20,N79=21),"+5",IF(OR(N79=22,N79=23),"+6",IF(OR(N79=24,N79=25),"+7",IF(OR(N79=26,N79=27),"+8",IF(OR(N79=28,N79=29),"+9",IF(N79=30,"+10"," "))))))))))))))))</f>
        <v>+1</v>
      </c>
      <c r="P79" s="3" t="n">
        <v>2</v>
      </c>
      <c r="Q79" s="1" t="str">
        <f aca="false">IF(P79=1,"-5",IF(OR(P79=2,P79=3),"-4",IF(OR(P79=4,P79=5),"-3",IF(OR(P79=6,P79=7),"-2",IF(OR(P79=8,P79=9),"-1",IF(OR(P79=10,P79=11),"0",IF(OR(P79=12,P79=13),"+1",IF(OR(P79=14,P79=15),"+2",IF(OR(P79=16,P79=17),"+3",IF(OR(P79=18,P79=19),"+4",IF(OR(P79=20,P79=21),"+5",IF(OR(P79=22,P79=23),"+6",IF(OR(P79=24,P79=25),"+7",IF(OR(P79=26,P79=27),"+8",IF(OR(P79=28,P79=29),"+9",IF(P79=30,"+10"," "))))))))))))))))</f>
        <v>-4</v>
      </c>
      <c r="R79" s="3" t="n">
        <v>11</v>
      </c>
      <c r="S79" s="1" t="str">
        <f aca="false">IF(R79=1,"-5",IF(OR(R79=2,R79=3),"-4",IF(OR(R79=4,R79=5),"-3",IF(OR(R79=6,R79=7),"-2",IF(OR(R79=8,R79=9),"-1",IF(OR(R79=10,R79=11),"0",IF(OR(R79=12,R79=13),"+1",IF(OR(R79=14,R79=15),"+2",IF(OR(R79=16,R79=17),"+3",IF(OR(R79=18,R79=19),"+4",IF(OR(R79=20,R79=21),"+5",IF(OR(R79=22,R79=23),"+6",IF(OR(R79=24,R79=25),"+7",IF(OR(R79=26,R79=27),"+8",IF(OR(R79=28,R79=29),"+9",IF(R79=30,"+10"," "))))))))))))))))</f>
        <v>0</v>
      </c>
      <c r="T79" s="3" t="n">
        <v>7</v>
      </c>
      <c r="U79" s="1" t="str">
        <f aca="false">IF(T79=1,"-5",IF(OR(T79=2,T79=3),"-4",IF(OR(T79=4,T79=5),"-3",IF(OR(T79=6,T79=7),"-2",IF(OR(T79=8,T79=9),"-1",IF(OR(T79=10,T79=11),"0",IF(OR(T79=12,T79=13),"+1",IF(OR(T79=14,T79=15),"+2",IF(OR(T79=16,T79=17),"+3",IF(OR(T79=18,T79=19),"+4",IF(OR(T79=20,T79=21),"+5",IF(OR(T79=22,T79=23),"+6",IF(OR(T79=24,T79=25),"+7",IF(OR(T79=26,T79=27),"+8",IF(OR(T79=28,T79=29),"+9",IF(T79=30,"+10"," "))))))))))))))))</f>
        <v>-2</v>
      </c>
      <c r="V79" s="3" t="s">
        <v>37</v>
      </c>
      <c r="W79" s="3" t="s">
        <v>37</v>
      </c>
      <c r="X79" s="11" t="s">
        <v>260</v>
      </c>
      <c r="Y79" s="11" t="s">
        <v>458</v>
      </c>
      <c r="Z79" s="11" t="s">
        <v>37</v>
      </c>
      <c r="AA79" s="12" t="s">
        <v>37</v>
      </c>
    </row>
    <row r="80" customFormat="false" ht="16.4" hidden="false" customHeight="false" outlineLevel="0" collapsed="false">
      <c r="A80" s="15" t="s">
        <v>459</v>
      </c>
      <c r="B80" s="3" t="s">
        <v>39</v>
      </c>
      <c r="C80" s="3" t="s">
        <v>40</v>
      </c>
      <c r="D80" s="16" t="n">
        <v>3</v>
      </c>
      <c r="E80" s="3" t="n">
        <f aca="false">VLOOKUP(D80,'[1]REF Tables'!$A$2:$B$40,2)</f>
        <v>700</v>
      </c>
      <c r="F80" s="3" t="s">
        <v>30</v>
      </c>
      <c r="G80" s="3" t="n">
        <v>18</v>
      </c>
      <c r="H80" s="3" t="s">
        <v>300</v>
      </c>
      <c r="I80" s="3" t="s">
        <v>42</v>
      </c>
      <c r="J80" s="3" t="n">
        <v>16</v>
      </c>
      <c r="K80" s="1" t="str">
        <f aca="false">IF(J80=1,"-5",IF(OR(J80=2,J80=3),"-4",IF(OR(J80=4,J80=5),"-3",IF(OR(J80=6,J80=7),"-2",IF(OR(J80=8,J80=9),"-1",IF(OR(J80=10,J80=11),"0",IF(OR(J80=12,J80=13),"+1",IF(OR(J80=14,J80=15),"+2",IF(OR(J80=16,J80=17),"+3",IF(OR(J80=18,J80=19),"+4",IF(OR(J80=20,J80=21),"+5",IF(OR(J80=22,J80=23),"+6",IF(OR(J80=24,J80=25),"+7",IF(OR(J80=26,J80=27),"+8",IF(OR(J80=28,J80=29),"+9",IF(J80=30,"+10"," "))))))))))))))))</f>
        <v>+3</v>
      </c>
      <c r="L80" s="3" t="n">
        <v>11</v>
      </c>
      <c r="M80" s="1" t="str">
        <f aca="false">IF(L80=1,"-5",IF(OR(L80=2,L80=3),"-4",IF(OR(L80=4,L80=5),"-3",IF(OR(L80=6,L80=7),"-2",IF(OR(L80=8,L80=9),"-1",IF(OR(L80=10,L80=11),"0",IF(OR(L80=12,L80=13),"+1",IF(OR(L80=14,L80=15),"+2",IF(OR(L80=16,L80=17),"+3",IF(OR(L80=18,L80=19),"+4",IF(OR(L80=20,L80=21),"+5",IF(OR(L80=22,L80=23),"+6",IF(OR(L80=24,L80=25),"+7",IF(OR(L80=26,L80=27),"+8",IF(OR(L80=28,L80=29),"+9",IF(L80=30,"+10"," "))))))))))))))))</f>
        <v>0</v>
      </c>
      <c r="N80" s="3" t="n">
        <v>14</v>
      </c>
      <c r="O80" s="1" t="str">
        <f aca="false">IF(N80=1,"-5",IF(OR(N80=2,N80=3),"-4",IF(OR(N80=4,N80=5),"-3",IF(OR(N80=6,N80=7),"-2",IF(OR(N80=8,N80=9),"-1",IF(OR(N80=10,N80=11),"0",IF(OR(N80=12,N80=13),"+1",IF(OR(N80=14,N80=15),"+2",IF(OR(N80=16,N80=17),"+3",IF(OR(N80=18,N80=19),"+4",IF(OR(N80=20,N80=21),"+5",IF(OR(N80=22,N80=23),"+6",IF(OR(N80=24,N80=25),"+7",IF(OR(N80=26,N80=27),"+8",IF(OR(N80=28,N80=29),"+9",IF(N80=30,"+10"," "))))))))))))))))</f>
        <v>+2</v>
      </c>
      <c r="P80" s="3" t="n">
        <v>11</v>
      </c>
      <c r="Q80" s="1" t="str">
        <f aca="false">IF(P80=1,"-5",IF(OR(P80=2,P80=3),"-4",IF(OR(P80=4,P80=5),"-3",IF(OR(P80=6,P80=7),"-2",IF(OR(P80=8,P80=9),"-1",IF(OR(P80=10,P80=11),"0",IF(OR(P80=12,P80=13),"+1",IF(OR(P80=14,P80=15),"+2",IF(OR(P80=16,P80=17),"+3",IF(OR(P80=18,P80=19),"+4",IF(OR(P80=20,P80=21),"+5",IF(OR(P80=22,P80=23),"+6",IF(OR(P80=24,P80=25),"+7",IF(OR(P80=26,P80=27),"+8",IF(OR(P80=28,P80=29),"+9",IF(P80=30,"+10"," "))))))))))))))))</f>
        <v>0</v>
      </c>
      <c r="R80" s="3" t="n">
        <v>11</v>
      </c>
      <c r="S80" s="1" t="str">
        <f aca="false">IF(R80=1,"-5",IF(OR(R80=2,R80=3),"-4",IF(OR(R80=4,R80=5),"-3",IF(OR(R80=6,R80=7),"-2",IF(OR(R80=8,R80=9),"-1",IF(OR(R80=10,R80=11),"0",IF(OR(R80=12,R80=13),"+1",IF(OR(R80=14,R80=15),"+2",IF(OR(R80=16,R80=17),"+3",IF(OR(R80=18,R80=19),"+4",IF(OR(R80=20,R80=21),"+5",IF(OR(R80=22,R80=23),"+6",IF(OR(R80=24,R80=25),"+7",IF(OR(R80=26,R80=27),"+8",IF(OR(R80=28,R80=29),"+9",IF(R80=30,"+10"," "))))))))))))))))</f>
        <v>0</v>
      </c>
      <c r="T80" s="3" t="n">
        <v>15</v>
      </c>
      <c r="U80" s="1" t="str">
        <f aca="false">IF(T80=1,"-5",IF(OR(T80=2,T80=3),"-4",IF(OR(T80=4,T80=5),"-3",IF(OR(T80=6,T80=7),"-2",IF(OR(T80=8,T80=9),"-1",IF(OR(T80=10,T80=11),"0",IF(OR(T80=12,T80=13),"+1",IF(OR(T80=14,T80=15),"+2",IF(OR(T80=16,T80=17),"+3",IF(OR(T80=18,T80=19),"+4",IF(OR(T80=20,T80=21),"+5",IF(OR(T80=22,T80=23),"+6",IF(OR(T80=24,T80=25),"+7",IF(OR(T80=26,T80=27),"+8",IF(OR(T80=28,T80=29),"+9",IF(T80=30,"+10"," "))))))))))))))))</f>
        <v>+2</v>
      </c>
      <c r="V80" s="3" t="s">
        <v>460</v>
      </c>
      <c r="W80" s="3" t="s">
        <v>66</v>
      </c>
      <c r="X80" s="11" t="s">
        <v>461</v>
      </c>
      <c r="Y80" s="11" t="s">
        <v>462</v>
      </c>
      <c r="Z80" s="11" t="s">
        <v>463</v>
      </c>
      <c r="AA80" s="12" t="s">
        <v>37</v>
      </c>
    </row>
    <row r="81" customFormat="false" ht="16.4" hidden="false" customHeight="false" outlineLevel="0" collapsed="false">
      <c r="A81" s="15" t="s">
        <v>464</v>
      </c>
      <c r="B81" s="3" t="s">
        <v>77</v>
      </c>
      <c r="C81" s="3" t="s">
        <v>222</v>
      </c>
      <c r="D81" s="16" t="n">
        <v>17</v>
      </c>
      <c r="E81" s="6" t="n">
        <f aca="false">VLOOKUP(D81,'[1]REF Tables'!$A$2:$B$40,2)</f>
        <v>18000</v>
      </c>
      <c r="F81" s="3" t="s">
        <v>30</v>
      </c>
      <c r="G81" s="3" t="n">
        <v>20</v>
      </c>
      <c r="H81" s="3" t="s">
        <v>465</v>
      </c>
      <c r="I81" s="3" t="s">
        <v>42</v>
      </c>
      <c r="J81" s="3" t="n">
        <v>20</v>
      </c>
      <c r="K81" s="1" t="str">
        <f aca="false">IF(J81=1,"-5",IF(OR(J81=2,J81=3),"-4",IF(OR(J81=4,J81=5),"-3",IF(OR(J81=6,J81=7),"-2",IF(OR(J81=8,J81=9),"-1",IF(OR(J81=10,J81=11),"0",IF(OR(J81=12,J81=13),"+1",IF(OR(J81=14,J81=15),"+2",IF(OR(J81=16,J81=17),"+3",IF(OR(J81=18,J81=19),"+4",IF(OR(J81=20,J81=21),"+5",IF(OR(J81=22,J81=23),"+6",IF(OR(J81=24,J81=25),"+7",IF(OR(J81=26,J81=27),"+8",IF(OR(J81=28,J81=29),"+9",IF(J81=30,"+10"," "))))))))))))))))</f>
        <v>+5</v>
      </c>
      <c r="L81" s="3" t="n">
        <v>11</v>
      </c>
      <c r="M81" s="1" t="str">
        <f aca="false">IF(L81=1,"-5",IF(OR(L81=2,L81=3),"-4",IF(OR(L81=4,L81=5),"-3",IF(OR(L81=6,L81=7),"-2",IF(OR(L81=8,L81=9),"-1",IF(OR(L81=10,L81=11),"0",IF(OR(L81=12,L81=13),"+1",IF(OR(L81=14,L81=15),"+2",IF(OR(L81=16,L81=17),"+3",IF(OR(L81=18,L81=19),"+4",IF(OR(L81=20,L81=21),"+5",IF(OR(L81=22,L81=23),"+6",IF(OR(L81=24,L81=25),"+7",IF(OR(L81=26,L81=27),"+8",IF(OR(L81=28,L81=29),"+9",IF(L81=30,"+10"," "))))))))))))))))</f>
        <v>0</v>
      </c>
      <c r="N81" s="3" t="n">
        <v>20</v>
      </c>
      <c r="O81" s="1" t="str">
        <f aca="false">IF(N81=1,"-5",IF(OR(N81=2,N81=3),"-4",IF(OR(N81=4,N81=5),"-3",IF(OR(N81=6,N81=7),"-2",IF(OR(N81=8,N81=9),"-1",IF(OR(N81=10,N81=11),"0",IF(OR(N81=12,N81=13),"+1",IF(OR(N81=14,N81=15),"+2",IF(OR(N81=16,N81=17),"+3",IF(OR(N81=18,N81=19),"+4",IF(OR(N81=20,N81=21),"+5",IF(OR(N81=22,N81=23),"+6",IF(OR(N81=24,N81=25),"+7",IF(OR(N81=26,N81=27),"+8",IF(OR(N81=28,N81=29),"+9",IF(N81=30,"+10"," "))))))))))))))))</f>
        <v>+5</v>
      </c>
      <c r="P81" s="3" t="n">
        <v>12</v>
      </c>
      <c r="Q81" s="1" t="str">
        <f aca="false">IF(P81=1,"-5",IF(OR(P81=2,P81=3),"-4",IF(OR(P81=4,P81=5),"-3",IF(OR(P81=6,P81=7),"-2",IF(OR(P81=8,P81=9),"-1",IF(OR(P81=10,P81=11),"0",IF(OR(P81=12,P81=13),"+1",IF(OR(P81=14,P81=15),"+2",IF(OR(P81=16,P81=17),"+3",IF(OR(P81=18,P81=19),"+4",IF(OR(P81=20,P81=21),"+5",IF(OR(P81=22,P81=23),"+6",IF(OR(P81=24,P81=25),"+7",IF(OR(P81=26,P81=27),"+8",IF(OR(P81=28,P81=29),"+9",IF(P81=30,"+10"," "))))))))))))))))</f>
        <v>+1</v>
      </c>
      <c r="R81" s="3" t="n">
        <v>16</v>
      </c>
      <c r="S81" s="1" t="str">
        <f aca="false">IF(R81=1,"-5",IF(OR(R81=2,R81=3),"-4",IF(OR(R81=4,R81=5),"-3",IF(OR(R81=6,R81=7),"-2",IF(OR(R81=8,R81=9),"-1",IF(OR(R81=10,R81=11),"0",IF(OR(R81=12,R81=13),"+1",IF(OR(R81=14,R81=15),"+2",IF(OR(R81=16,R81=17),"+3",IF(OR(R81=18,R81=19),"+4",IF(OR(R81=20,R81=21),"+5",IF(OR(R81=22,R81=23),"+6",IF(OR(R81=24,R81=25),"+7",IF(OR(R81=26,R81=27),"+8",IF(OR(R81=28,R81=29),"+9",IF(R81=30,"+10"," "))))))))))))))))</f>
        <v>+3</v>
      </c>
      <c r="T81" s="3" t="n">
        <v>18</v>
      </c>
      <c r="U81" s="1" t="str">
        <f aca="false">IF(T81=1,"-5",IF(OR(T81=2,T81=3),"-4",IF(OR(T81=4,T81=5),"-3",IF(OR(T81=6,T81=7),"-2",IF(OR(T81=8,T81=9),"-1",IF(OR(T81=10,T81=11),"0",IF(OR(T81=12,T81=13),"+1",IF(OR(T81=14,T81=15),"+2",IF(OR(T81=16,T81=17),"+3",IF(OR(T81=18,T81=19),"+4",IF(OR(T81=20,T81=21),"+5",IF(OR(T81=22,T81=23),"+6",IF(OR(T81=24,T81=25),"+7",IF(OR(T81=26,T81=27),"+8",IF(OR(T81=28,T81=29),"+9",IF(T81=30,"+10"," "))))))))))))))))</f>
        <v>+4</v>
      </c>
      <c r="V81" s="3" t="s">
        <v>466</v>
      </c>
      <c r="W81" s="3" t="s">
        <v>467</v>
      </c>
      <c r="X81" s="11" t="s">
        <v>468</v>
      </c>
      <c r="Y81" s="11" t="s">
        <v>469</v>
      </c>
      <c r="Z81" s="11" t="s">
        <v>470</v>
      </c>
      <c r="AA81" s="12" t="s">
        <v>37</v>
      </c>
    </row>
    <row r="82" customFormat="false" ht="16.4" hidden="false" customHeight="false" outlineLevel="0" collapsed="false">
      <c r="A82" s="7" t="s">
        <v>471</v>
      </c>
      <c r="B82" s="1" t="s">
        <v>472</v>
      </c>
      <c r="C82" s="1" t="s">
        <v>85</v>
      </c>
      <c r="D82" s="8" t="n">
        <v>8</v>
      </c>
      <c r="E82" s="9" t="n">
        <f aca="false">VLOOKUP(D82,'[1]REF Tables'!$A$2:$B$40,2)</f>
        <v>3900</v>
      </c>
      <c r="F82" s="1" t="s">
        <v>30</v>
      </c>
      <c r="G82" s="10" t="n">
        <v>18</v>
      </c>
      <c r="H82" s="1" t="s">
        <v>473</v>
      </c>
      <c r="I82" s="1" t="s">
        <v>42</v>
      </c>
      <c r="J82" s="10" t="n">
        <v>18</v>
      </c>
      <c r="K82" s="1" t="str">
        <f aca="false">IF(J82=1,"-5",IF(OR(J82=2,J82=3),"-4",IF(OR(J82=4,J82=5),"-3",IF(OR(J82=6,J82=7),"-2",IF(OR(J82=8,J82=9),"-1",IF(OR(J82=10,J82=11),"0",IF(OR(J82=12,J82=13),"+1",IF(OR(J82=14,J82=15),"+2",IF(OR(J82=16,J82=17),"+3",IF(OR(J82=18,J82=19),"+4",IF(OR(J82=20,J82=21),"+5",IF(OR(J82=22,J82=23),"+6",IF(OR(J82=24,J82=25),"+7",IF(OR(J82=26,J82=27),"+8",IF(OR(J82=28,J82=29),"+9",IF(J82=30,"+10"," "))))))))))))))))</f>
        <v>+4</v>
      </c>
      <c r="L82" s="10" t="n">
        <v>11</v>
      </c>
      <c r="M82" s="1" t="str">
        <f aca="false">IF(L82=1,"-5",IF(OR(L82=2,L82=3),"-4",IF(OR(L82=4,L82=5),"-3",IF(OR(L82=6,L82=7),"-2",IF(OR(L82=8,L82=9),"-1",IF(OR(L82=10,L82=11),"0",IF(OR(L82=12,L82=13),"+1",IF(OR(L82=14,L82=15),"+2",IF(OR(L82=16,L82=17),"+3",IF(OR(L82=18,L82=19),"+4",IF(OR(L82=20,L82=21),"+5",IF(OR(L82=22,L82=23),"+6",IF(OR(L82=24,L82=25),"+7",IF(OR(L82=26,L82=27),"+8",IF(OR(L82=28,L82=29),"+9",IF(L82=30,"+10"," "))))))))))))))))</f>
        <v>0</v>
      </c>
      <c r="N82" s="10" t="n">
        <v>18</v>
      </c>
      <c r="O82" s="1" t="str">
        <f aca="false">IF(N82=1,"-5",IF(OR(N82=2,N82=3),"-4",IF(OR(N82=4,N82=5),"-3",IF(OR(N82=6,N82=7),"-2",IF(OR(N82=8,N82=9),"-1",IF(OR(N82=10,N82=11),"0",IF(OR(N82=12,N82=13),"+1",IF(OR(N82=14,N82=15),"+2",IF(OR(N82=16,N82=17),"+3",IF(OR(N82=18,N82=19),"+4",IF(OR(N82=20,N82=21),"+5",IF(OR(N82=22,N82=23),"+6",IF(OR(N82=24,N82=25),"+7",IF(OR(N82=26,N82=27),"+8",IF(OR(N82=28,N82=29),"+9",IF(N82=30,"+10"," "))))))))))))))))</f>
        <v>+4</v>
      </c>
      <c r="P82" s="10" t="n">
        <v>11</v>
      </c>
      <c r="Q82" s="1" t="str">
        <f aca="false">IF(P82=1,"-5",IF(OR(P82=2,P82=3),"-4",IF(OR(P82=4,P82=5),"-3",IF(OR(P82=6,P82=7),"-2",IF(OR(P82=8,P82=9),"-1",IF(OR(P82=10,P82=11),"0",IF(OR(P82=12,P82=13),"+1",IF(OR(P82=14,P82=15),"+2",IF(OR(P82=16,P82=17),"+3",IF(OR(P82=18,P82=19),"+4",IF(OR(P82=20,P82=21),"+5",IF(OR(P82=22,P82=23),"+6",IF(OR(P82=24,P82=25),"+7",IF(OR(P82=26,P82=27),"+8",IF(OR(P82=28,P82=29),"+9",IF(P82=30,"+10"," "))))))))))))))))</f>
        <v>0</v>
      </c>
      <c r="R82" s="10" t="n">
        <v>14</v>
      </c>
      <c r="S82" s="1" t="str">
        <f aca="false">IF(R82=1,"-5",IF(OR(R82=2,R82=3),"-4",IF(OR(R82=4,R82=5),"-3",IF(OR(R82=6,R82=7),"-2",IF(OR(R82=8,R82=9),"-1",IF(OR(R82=10,R82=11),"0",IF(OR(R82=12,R82=13),"+1",IF(OR(R82=14,R82=15),"+2",IF(OR(R82=16,R82=17),"+3",IF(OR(R82=18,R82=19),"+4",IF(OR(R82=20,R82=21),"+5",IF(OR(R82=22,R82=23),"+6",IF(OR(R82=24,R82=25),"+7",IF(OR(R82=26,R82=27),"+8",IF(OR(R82=28,R82=29),"+9",IF(R82=30,"+10"," "))))))))))))))))</f>
        <v>+2</v>
      </c>
      <c r="T82" s="10" t="n">
        <v>15</v>
      </c>
      <c r="U82" s="1" t="str">
        <f aca="false">IF(T82=1,"-5",IF(OR(T82=2,T82=3),"-4",IF(OR(T82=4,T82=5),"-3",IF(OR(T82=6,T82=7),"-2",IF(OR(T82=8,T82=9),"-1",IF(OR(T82=10,T82=11),"0",IF(OR(T82=12,T82=13),"+1",IF(OR(T82=14,T82=15),"+2",IF(OR(T82=16,T82=17),"+3",IF(OR(T82=18,T82=19),"+4",IF(OR(T82=20,T82=21),"+5",IF(OR(T82=22,T82=23),"+6",IF(OR(T82=24,T82=25),"+7",IF(OR(T82=26,T82=27),"+8",IF(OR(T82=28,T82=29),"+9",IF(T82=30,"+10"," "))))))))))))))))</f>
        <v>+2</v>
      </c>
      <c r="V82" s="1" t="s">
        <v>474</v>
      </c>
      <c r="W82" s="1" t="s">
        <v>66</v>
      </c>
      <c r="X82" s="11" t="s">
        <v>475</v>
      </c>
      <c r="Y82" s="11" t="s">
        <v>476</v>
      </c>
      <c r="Z82" s="11" t="s">
        <v>37</v>
      </c>
      <c r="AA82" s="12" t="s">
        <v>37</v>
      </c>
    </row>
    <row r="83" customFormat="false" ht="16.4" hidden="false" customHeight="false" outlineLevel="0" collapsed="false">
      <c r="A83" s="15" t="s">
        <v>471</v>
      </c>
      <c r="B83" s="3" t="s">
        <v>39</v>
      </c>
      <c r="C83" s="3" t="s">
        <v>477</v>
      </c>
      <c r="D83" s="16" t="n">
        <v>8</v>
      </c>
      <c r="E83" s="6" t="n">
        <f aca="false">VLOOKUP(D83,'[1]REF Tables'!$A$2:$B$40,2)</f>
        <v>3900</v>
      </c>
      <c r="F83" s="3" t="s">
        <v>30</v>
      </c>
      <c r="G83" s="3" t="n">
        <v>18</v>
      </c>
      <c r="H83" s="3" t="s">
        <v>478</v>
      </c>
      <c r="I83" s="3" t="s">
        <v>42</v>
      </c>
      <c r="J83" s="3" t="n">
        <v>18</v>
      </c>
      <c r="K83" s="1" t="str">
        <f aca="false">IF(J83=1,"-5",IF(OR(J83=2,J83=3),"-4",IF(OR(J83=4,J83=5),"-3",IF(OR(J83=6,J83=7),"-2",IF(OR(J83=8,J83=9),"-1",IF(OR(J83=10,J83=11),"0",IF(OR(J83=12,J83=13),"+1",IF(OR(J83=14,J83=15),"+2",IF(OR(J83=16,J83=17),"+3",IF(OR(J83=18,J83=19),"+4",IF(OR(J83=20,J83=21),"+5",IF(OR(J83=22,J83=23),"+6",IF(OR(J83=24,J83=25),"+7",IF(OR(J83=26,J83=27),"+8",IF(OR(J83=28,J83=29),"+9",IF(J83=30,"+10"," "))))))))))))))))</f>
        <v>+4</v>
      </c>
      <c r="L83" s="3" t="n">
        <v>11</v>
      </c>
      <c r="M83" s="1" t="str">
        <f aca="false">IF(L83=1,"-5",IF(OR(L83=2,L83=3),"-4",IF(OR(L83=4,L83=5),"-3",IF(OR(L83=6,L83=7),"-2",IF(OR(L83=8,L83=9),"-1",IF(OR(L83=10,L83=11),"0",IF(OR(L83=12,L83=13),"+1",IF(OR(L83=14,L83=15),"+2",IF(OR(L83=16,L83=17),"+3",IF(OR(L83=18,L83=19),"+4",IF(OR(L83=20,L83=21),"+5",IF(OR(L83=22,L83=23),"+6",IF(OR(L83=24,L83=25),"+7",IF(OR(L83=26,L83=27),"+8",IF(OR(L83=28,L83=29),"+9",IF(L83=30,"+10"," "))))))))))))))))</f>
        <v>0</v>
      </c>
      <c r="N83" s="3" t="n">
        <v>18</v>
      </c>
      <c r="O83" s="1" t="str">
        <f aca="false">IF(N83=1,"-5",IF(OR(N83=2,N83=3),"-4",IF(OR(N83=4,N83=5),"-3",IF(OR(N83=6,N83=7),"-2",IF(OR(N83=8,N83=9),"-1",IF(OR(N83=10,N83=11),"0",IF(OR(N83=12,N83=13),"+1",IF(OR(N83=14,N83=15),"+2",IF(OR(N83=16,N83=17),"+3",IF(OR(N83=18,N83=19),"+4",IF(OR(N83=20,N83=21),"+5",IF(OR(N83=22,N83=23),"+6",IF(OR(N83=24,N83=25),"+7",IF(OR(N83=26,N83=27),"+8",IF(OR(N83=28,N83=29),"+9",IF(N83=30,"+10"," "))))))))))))))))</f>
        <v>+4</v>
      </c>
      <c r="P83" s="3" t="n">
        <v>11</v>
      </c>
      <c r="Q83" s="1" t="str">
        <f aca="false">IF(P83=1,"-5",IF(OR(P83=2,P83=3),"-4",IF(OR(P83=4,P83=5),"-3",IF(OR(P83=6,P83=7),"-2",IF(OR(P83=8,P83=9),"-1",IF(OR(P83=10,P83=11),"0",IF(OR(P83=12,P83=13),"+1",IF(OR(P83=14,P83=15),"+2",IF(OR(P83=16,P83=17),"+3",IF(OR(P83=18,P83=19),"+4",IF(OR(P83=20,P83=21),"+5",IF(OR(P83=22,P83=23),"+6",IF(OR(P83=24,P83=25),"+7",IF(OR(P83=26,P83=27),"+8",IF(OR(P83=28,P83=29),"+9",IF(P83=30,"+10"," "))))))))))))))))</f>
        <v>0</v>
      </c>
      <c r="R83" s="3" t="n">
        <v>14</v>
      </c>
      <c r="S83" s="1" t="str">
        <f aca="false">IF(R83=1,"-5",IF(OR(R83=2,R83=3),"-4",IF(OR(R83=4,R83=5),"-3",IF(OR(R83=6,R83=7),"-2",IF(OR(R83=8,R83=9),"-1",IF(OR(R83=10,R83=11),"0",IF(OR(R83=12,R83=13),"+1",IF(OR(R83=14,R83=15),"+2",IF(OR(R83=16,R83=17),"+3",IF(OR(R83=18,R83=19),"+4",IF(OR(R83=20,R83=21),"+5",IF(OR(R83=22,R83=23),"+6",IF(OR(R83=24,R83=25),"+7",IF(OR(R83=26,R83=27),"+8",IF(OR(R83=28,R83=29),"+9",IF(R83=30,"+10"," "))))))))))))))))</f>
        <v>+2</v>
      </c>
      <c r="T83" s="3" t="n">
        <v>15</v>
      </c>
      <c r="U83" s="1" t="str">
        <f aca="false">IF(T83=1,"-5",IF(OR(T83=2,T83=3),"-4",IF(OR(T83=4,T83=5),"-3",IF(OR(T83=6,T83=7),"-2",IF(OR(T83=8,T83=9),"-1",IF(OR(T83=10,T83=11),"0",IF(OR(T83=12,T83=13),"+1",IF(OR(T83=14,T83=15),"+2",IF(OR(T83=16,T83=17),"+3",IF(OR(T83=18,T83=19),"+4",IF(OR(T83=20,T83=21),"+5",IF(OR(T83=22,T83=23),"+6",IF(OR(T83=24,T83=25),"+7",IF(OR(T83=26,T83=27),"+8",IF(OR(T83=28,T83=29),"+9",IF(T83=30,"+10"," "))))))))))))))))</f>
        <v>+2</v>
      </c>
      <c r="V83" s="3" t="s">
        <v>474</v>
      </c>
      <c r="W83" s="3" t="s">
        <v>66</v>
      </c>
      <c r="X83" s="11" t="s">
        <v>479</v>
      </c>
      <c r="Y83" s="11" t="s">
        <v>480</v>
      </c>
      <c r="Z83" s="11" t="s">
        <v>37</v>
      </c>
      <c r="AA83" s="12" t="s">
        <v>37</v>
      </c>
      <c r="AB83" s="1"/>
      <c r="AC83" s="1"/>
      <c r="AD83" s="1"/>
      <c r="AE83" s="1"/>
      <c r="AF83" s="1"/>
    </row>
    <row r="84" customFormat="false" ht="16.4" hidden="false" customHeight="false" outlineLevel="0" collapsed="false">
      <c r="A84" s="15" t="s">
        <v>481</v>
      </c>
      <c r="B84" s="3" t="s">
        <v>59</v>
      </c>
      <c r="C84" s="3" t="s">
        <v>37</v>
      </c>
      <c r="D84" s="16" t="n">
        <v>0</v>
      </c>
      <c r="E84" s="3" t="n">
        <f aca="false">VLOOKUP(D84,'[1]REF Tables'!$A$2:$B$40,2)</f>
        <v>10</v>
      </c>
      <c r="F84" s="3" t="s">
        <v>30</v>
      </c>
      <c r="G84" s="3" t="n">
        <v>10</v>
      </c>
      <c r="H84" s="3" t="s">
        <v>404</v>
      </c>
      <c r="I84" s="3" t="s">
        <v>224</v>
      </c>
      <c r="J84" s="3" t="n">
        <v>12</v>
      </c>
      <c r="K84" s="1" t="str">
        <f aca="false">IF(J84=1,"-5",IF(OR(J84=2,J84=3),"-4",IF(OR(J84=4,J84=5),"-3",IF(OR(J84=6,J84=7),"-2",IF(OR(J84=8,J84=9),"-1",IF(OR(J84=10,J84=11),"0",IF(OR(J84=12,J84=13),"+1",IF(OR(J84=14,J84=15),"+2",IF(OR(J84=16,J84=17),"+3",IF(OR(J84=18,J84=19),"+4",IF(OR(J84=20,J84=21),"+5",IF(OR(J84=22,J84=23),"+6",IF(OR(J84=24,J84=25),"+7",IF(OR(J84=26,J84=27),"+8",IF(OR(J84=28,J84=29),"+9",IF(J84=30,"+10"," "))))))))))))))))</f>
        <v>+1</v>
      </c>
      <c r="L84" s="3" t="n">
        <v>10</v>
      </c>
      <c r="M84" s="1" t="str">
        <f aca="false">IF(L84=1,"-5",IF(OR(L84=2,L84=3),"-4",IF(OR(L84=4,L84=5),"-3",IF(OR(L84=6,L84=7),"-2",IF(OR(L84=8,L84=9),"-1",IF(OR(L84=10,L84=11),"0",IF(OR(L84=12,L84=13),"+1",IF(OR(L84=14,L84=15),"+2",IF(OR(L84=16,L84=17),"+3",IF(OR(L84=18,L84=19),"+4",IF(OR(L84=20,L84=21),"+5",IF(OR(L84=22,L84=23),"+6",IF(OR(L84=24,L84=25),"+7",IF(OR(L84=26,L84=27),"+8",IF(OR(L84=28,L84=29),"+9",IF(L84=30,"+10"," "))))))))))))))))</f>
        <v>0</v>
      </c>
      <c r="N84" s="3" t="n">
        <v>11</v>
      </c>
      <c r="O84" s="1" t="str">
        <f aca="false">IF(N84=1,"-5",IF(OR(N84=2,N84=3),"-4",IF(OR(N84=4,N84=5),"-3",IF(OR(N84=6,N84=7),"-2",IF(OR(N84=8,N84=9),"-1",IF(OR(N84=10,N84=11),"0",IF(OR(N84=12,N84=13),"+1",IF(OR(N84=14,N84=15),"+2",IF(OR(N84=16,N84=17),"+3",IF(OR(N84=18,N84=19),"+4",IF(OR(N84=20,N84=21),"+5",IF(OR(N84=22,N84=23),"+6",IF(OR(N84=24,N84=25),"+7",IF(OR(N84=26,N84=27),"+8",IF(OR(N84=28,N84=29),"+9",IF(N84=30,"+10"," "))))))))))))))))</f>
        <v>0</v>
      </c>
      <c r="P84" s="3" t="n">
        <v>2</v>
      </c>
      <c r="Q84" s="1" t="str">
        <f aca="false">IF(P84=1,"-5",IF(OR(P84=2,P84=3),"-4",IF(OR(P84=4,P84=5),"-3",IF(OR(P84=6,P84=7),"-2",IF(OR(P84=8,P84=9),"-1",IF(OR(P84=10,P84=11),"0",IF(OR(P84=12,P84=13),"+1",IF(OR(P84=14,P84=15),"+2",IF(OR(P84=16,P84=17),"+3",IF(OR(P84=18,P84=19),"+4",IF(OR(P84=20,P84=21),"+5",IF(OR(P84=22,P84=23),"+6",IF(OR(P84=24,P84=25),"+7",IF(OR(P84=26,P84=27),"+8",IF(OR(P84=28,P84=29),"+9",IF(P84=30,"+10"," "))))))))))))))))</f>
        <v>-4</v>
      </c>
      <c r="R84" s="3" t="n">
        <v>10</v>
      </c>
      <c r="S84" s="1" t="str">
        <f aca="false">IF(R84=1,"-5",IF(OR(R84=2,R84=3),"-4",IF(OR(R84=4,R84=5),"-3",IF(OR(R84=6,R84=7),"-2",IF(OR(R84=8,R84=9),"-1",IF(OR(R84=10,R84=11),"0",IF(OR(R84=12,R84=13),"+1",IF(OR(R84=14,R84=15),"+2",IF(OR(R84=16,R84=17),"+3",IF(OR(R84=18,R84=19),"+4",IF(OR(R84=20,R84=21),"+5",IF(OR(R84=22,R84=23),"+6",IF(OR(R84=24,R84=25),"+7",IF(OR(R84=26,R84=27),"+8",IF(OR(R84=28,R84=29),"+9",IF(R84=30,"+10"," "))))))))))))))))</f>
        <v>0</v>
      </c>
      <c r="T84" s="3" t="n">
        <v>5</v>
      </c>
      <c r="U84" s="1" t="str">
        <f aca="false">IF(T84=1,"-5",IF(OR(T84=2,T84=3),"-4",IF(OR(T84=4,T84=5),"-3",IF(OR(T84=6,T84=7),"-2",IF(OR(T84=8,T84=9),"-1",IF(OR(T84=10,T84=11),"0",IF(OR(T84=12,T84=13),"+1",IF(OR(T84=14,T84=15),"+2",IF(OR(T84=16,T84=17),"+3",IF(OR(T84=18,T84=19),"+4",IF(OR(T84=20,T84=21),"+5",IF(OR(T84=22,T84=23),"+6",IF(OR(T84=24,T84=25),"+7",IF(OR(T84=26,T84=27),"+8",IF(OR(T84=28,T84=29),"+9",IF(T84=30,"+10"," "))))))))))))))))</f>
        <v>-3</v>
      </c>
      <c r="V84" s="3" t="s">
        <v>37</v>
      </c>
      <c r="W84" s="3" t="s">
        <v>37</v>
      </c>
      <c r="X84" s="11" t="s">
        <v>482</v>
      </c>
      <c r="Y84" s="11" t="s">
        <v>483</v>
      </c>
      <c r="Z84" s="11" t="s">
        <v>37</v>
      </c>
      <c r="AA84" s="12" t="s">
        <v>37</v>
      </c>
    </row>
    <row r="85" customFormat="false" ht="16.4" hidden="false" customHeight="false" outlineLevel="0" collapsed="false">
      <c r="A85" s="15" t="s">
        <v>484</v>
      </c>
      <c r="B85" s="3" t="s">
        <v>59</v>
      </c>
      <c r="C85" s="3" t="s">
        <v>37</v>
      </c>
      <c r="D85" s="16" t="n">
        <v>0.5</v>
      </c>
      <c r="E85" s="3" t="n">
        <f aca="false">VLOOKUP(D85,'[1]REF Tables'!$A$2:$B$40,2)</f>
        <v>100</v>
      </c>
      <c r="F85" s="3" t="s">
        <v>50</v>
      </c>
      <c r="G85" s="3" t="n">
        <v>11</v>
      </c>
      <c r="H85" s="3" t="s">
        <v>304</v>
      </c>
      <c r="I85" s="3" t="s">
        <v>224</v>
      </c>
      <c r="J85" s="3" t="n">
        <v>17</v>
      </c>
      <c r="K85" s="1" t="str">
        <f aca="false">IF(J85=1,"-5",IF(OR(J85=2,J85=3),"-4",IF(OR(J85=4,J85=5),"-3",IF(OR(J85=6,J85=7),"-2",IF(OR(J85=8,J85=9),"-1",IF(OR(J85=10,J85=11),"0",IF(OR(J85=12,J85=13),"+1",IF(OR(J85=14,J85=15),"+2",IF(OR(J85=16,J85=17),"+3",IF(OR(J85=18,J85=19),"+4",IF(OR(J85=20,J85=21),"+5",IF(OR(J85=22,J85=23),"+6",IF(OR(J85=24,J85=25),"+7",IF(OR(J85=26,J85=27),"+8",IF(OR(J85=28,J85=29),"+9",IF(J85=30,"+10"," "))))))))))))))))</f>
        <v>+3</v>
      </c>
      <c r="L85" s="3" t="n">
        <v>11</v>
      </c>
      <c r="M85" s="1" t="str">
        <f aca="false">IF(L85=1,"-5",IF(OR(L85=2,L85=3),"-4",IF(OR(L85=4,L85=5),"-3",IF(OR(L85=6,L85=7),"-2",IF(OR(L85=8,L85=9),"-1",IF(OR(L85=10,L85=11),"0",IF(OR(L85=12,L85=13),"+1",IF(OR(L85=14,L85=15),"+2",IF(OR(L85=16,L85=17),"+3",IF(OR(L85=18,L85=19),"+4",IF(OR(L85=20,L85=21),"+5",IF(OR(L85=22,L85=23),"+6",IF(OR(L85=24,L85=25),"+7",IF(OR(L85=26,L85=27),"+8",IF(OR(L85=28,L85=29),"+9",IF(L85=30,"+10"," "))))))))))))))))</f>
        <v>0</v>
      </c>
      <c r="N85" s="3" t="n">
        <v>12</v>
      </c>
      <c r="O85" s="1" t="str">
        <f aca="false">IF(N85=1,"-5",IF(OR(N85=2,N85=3),"-4",IF(OR(N85=4,N85=5),"-3",IF(OR(N85=6,N85=7),"-2",IF(OR(N85=8,N85=9),"-1",IF(OR(N85=10,N85=11),"0",IF(OR(N85=12,N85=13),"+1",IF(OR(N85=14,N85=15),"+2",IF(OR(N85=16,N85=17),"+3",IF(OR(N85=18,N85=19),"+4",IF(OR(N85=20,N85=21),"+5",IF(OR(N85=22,N85=23),"+6",IF(OR(N85=24,N85=25),"+7",IF(OR(N85=26,N85=27),"+8",IF(OR(N85=28,N85=29),"+9",IF(N85=30,"+10"," "))))))))))))))))</f>
        <v>+1</v>
      </c>
      <c r="P85" s="3" t="n">
        <v>3</v>
      </c>
      <c r="Q85" s="1" t="str">
        <f aca="false">IF(P85=1,"-5",IF(OR(P85=2,P85=3),"-4",IF(OR(P85=4,P85=5),"-3",IF(OR(P85=6,P85=7),"-2",IF(OR(P85=8,P85=9),"-1",IF(OR(P85=10,P85=11),"0",IF(OR(P85=12,P85=13),"+1",IF(OR(P85=14,P85=15),"+2",IF(OR(P85=16,P85=17),"+3",IF(OR(P85=18,P85=19),"+4",IF(OR(P85=20,P85=21),"+5",IF(OR(P85=22,P85=23),"+6",IF(OR(P85=24,P85=25),"+7",IF(OR(P85=26,P85=27),"+8",IF(OR(P85=28,P85=29),"+9",IF(P85=30,"+10"," "))))))))))))))))</f>
        <v>-4</v>
      </c>
      <c r="R85" s="3" t="n">
        <v>12</v>
      </c>
      <c r="S85" s="1" t="str">
        <f aca="false">IF(R85=1,"-5",IF(OR(R85=2,R85=3),"-4",IF(OR(R85=4,R85=5),"-3",IF(OR(R85=6,R85=7),"-2",IF(OR(R85=8,R85=9),"-1",IF(OR(R85=10,R85=11),"0",IF(OR(R85=12,R85=13),"+1",IF(OR(R85=14,R85=15),"+2",IF(OR(R85=16,R85=17),"+3",IF(OR(R85=18,R85=19),"+4",IF(OR(R85=20,R85=21),"+5",IF(OR(R85=22,R85=23),"+6",IF(OR(R85=24,R85=25),"+7",IF(OR(R85=26,R85=27),"+8",IF(OR(R85=28,R85=29),"+9",IF(R85=30,"+10"," "))))))))))))))))</f>
        <v>+1</v>
      </c>
      <c r="T85" s="3" t="n">
        <v>6</v>
      </c>
      <c r="U85" s="1" t="str">
        <f aca="false">IF(T85=1,"-5",IF(OR(T85=2,T85=3),"-4",IF(OR(T85=4,T85=5),"-3",IF(OR(T85=6,T85=7),"-2",IF(OR(T85=8,T85=9),"-1",IF(OR(T85=10,T85=11),"0",IF(OR(T85=12,T85=13),"+1",IF(OR(T85=14,T85=15),"+2",IF(OR(T85=16,T85=17),"+3",IF(OR(T85=18,T85=19),"+4",IF(OR(T85=20,T85=21),"+5",IF(OR(T85=22,T85=23),"+6",IF(OR(T85=24,T85=25),"+7",IF(OR(T85=26,T85=27),"+8",IF(OR(T85=28,T85=29),"+9",IF(T85=30,"+10"," "))))))))))))))))</f>
        <v>-2</v>
      </c>
      <c r="V85" s="3" t="s">
        <v>37</v>
      </c>
      <c r="W85" s="3" t="s">
        <v>37</v>
      </c>
      <c r="X85" s="11" t="s">
        <v>485</v>
      </c>
      <c r="Y85" s="11" t="s">
        <v>486</v>
      </c>
      <c r="Z85" s="11" t="s">
        <v>37</v>
      </c>
      <c r="AA85" s="12" t="s">
        <v>37</v>
      </c>
    </row>
    <row r="86" customFormat="false" ht="16.4" hidden="false" customHeight="false" outlineLevel="0" collapsed="false">
      <c r="A86" s="15" t="s">
        <v>487</v>
      </c>
      <c r="B86" s="3" t="s">
        <v>386</v>
      </c>
      <c r="C86" s="3" t="s">
        <v>49</v>
      </c>
      <c r="D86" s="16" t="n">
        <v>3</v>
      </c>
      <c r="E86" s="3" t="n">
        <f aca="false">VLOOKUP(D86,'[1]REF Tables'!$A$2:$B$40,2)</f>
        <v>700</v>
      </c>
      <c r="F86" s="3" t="s">
        <v>30</v>
      </c>
      <c r="G86" s="3" t="n">
        <v>15</v>
      </c>
      <c r="H86" s="3" t="s">
        <v>488</v>
      </c>
      <c r="I86" s="3" t="s">
        <v>210</v>
      </c>
      <c r="J86" s="3" t="n">
        <v>17</v>
      </c>
      <c r="K86" s="1" t="str">
        <f aca="false">IF(J86=1,"-5",IF(OR(J86=2,J86=3),"-4",IF(OR(J86=4,J86=5),"-3",IF(OR(J86=6,J86=7),"-2",IF(OR(J86=8,J86=9),"-1",IF(OR(J86=10,J86=11),"0",IF(OR(J86=12,J86=13),"+1",IF(OR(J86=14,J86=15),"+2",IF(OR(J86=16,J86=17),"+3",IF(OR(J86=18,J86=19),"+4",IF(OR(J86=20,J86=21),"+5",IF(OR(J86=22,J86=23),"+6",IF(OR(J86=24,J86=25),"+7",IF(OR(J86=26,J86=27),"+8",IF(OR(J86=28,J86=29),"+9",IF(J86=30,"+10"," "))))))))))))))))</f>
        <v>+3</v>
      </c>
      <c r="L86" s="3" t="n">
        <v>12</v>
      </c>
      <c r="M86" s="1" t="str">
        <f aca="false">IF(L86=1,"-5",IF(OR(L86=2,L86=3),"-4",IF(OR(L86=4,L86=5),"-3",IF(OR(L86=6,L86=7),"-2",IF(OR(L86=8,L86=9),"-1",IF(OR(L86=10,L86=11),"0",IF(OR(L86=12,L86=13),"+1",IF(OR(L86=14,L86=15),"+2",IF(OR(L86=16,L86=17),"+3",IF(OR(L86=18,L86=19),"+4",IF(OR(L86=20,L86=21),"+5",IF(OR(L86=22,L86=23),"+6",IF(OR(L86=24,L86=25),"+7",IF(OR(L86=26,L86=27),"+8",IF(OR(L86=28,L86=29),"+9",IF(L86=30,"+10"," "))))))))))))))))</f>
        <v>+1</v>
      </c>
      <c r="N86" s="3" t="n">
        <v>14</v>
      </c>
      <c r="O86" s="1" t="str">
        <f aca="false">IF(N86=1,"-5",IF(OR(N86=2,N86=3),"-4",IF(OR(N86=4,N86=5),"-3",IF(OR(N86=6,N86=7),"-2",IF(OR(N86=8,N86=9),"-1",IF(OR(N86=10,N86=11),"0",IF(OR(N86=12,N86=13),"+1",IF(OR(N86=14,N86=15),"+2",IF(OR(N86=16,N86=17),"+3",IF(OR(N86=18,N86=19),"+4",IF(OR(N86=20,N86=21),"+5",IF(OR(N86=22,N86=23),"+6",IF(OR(N86=24,N86=25),"+7",IF(OR(N86=26,N86=27),"+8",IF(OR(N86=28,N86=29),"+9",IF(N86=30,"+10"," "))))))))))))))))</f>
        <v>+2</v>
      </c>
      <c r="P86" s="3" t="n">
        <v>6</v>
      </c>
      <c r="Q86" s="1" t="str">
        <f aca="false">IF(P86=1,"-5",IF(OR(P86=2,P86=3),"-4",IF(OR(P86=4,P86=5),"-3",IF(OR(P86=6,P86=7),"-2",IF(OR(P86=8,P86=9),"-1",IF(OR(P86=10,P86=11),"0",IF(OR(P86=12,P86=13),"+1",IF(OR(P86=14,P86=15),"+2",IF(OR(P86=16,P86=17),"+3",IF(OR(P86=18,P86=19),"+4",IF(OR(P86=20,P86=21),"+5",IF(OR(P86=22,P86=23),"+6",IF(OR(P86=24,P86=25),"+7",IF(OR(P86=26,P86=27),"+8",IF(OR(P86=28,P86=29),"+9",IF(P86=30,"+10"," "))))))))))))))))</f>
        <v>-2</v>
      </c>
      <c r="R86" s="3" t="n">
        <v>13</v>
      </c>
      <c r="S86" s="1" t="str">
        <f aca="false">IF(R86=1,"-5",IF(OR(R86=2,R86=3),"-4",IF(OR(R86=4,R86=5),"-3",IF(OR(R86=6,R86=7),"-2",IF(OR(R86=8,R86=9),"-1",IF(OR(R86=10,R86=11),"0",IF(OR(R86=12,R86=13),"+1",IF(OR(R86=14,R86=15),"+2",IF(OR(R86=16,R86=17),"+3",IF(OR(R86=18,R86=19),"+4",IF(OR(R86=20,R86=21),"+5",IF(OR(R86=22,R86=23),"+6",IF(OR(R86=24,R86=25),"+7",IF(OR(R86=26,R86=27),"+8",IF(OR(R86=28,R86=29),"+9",IF(R86=30,"+10"," "))))))))))))))))</f>
        <v>+1</v>
      </c>
      <c r="T86" s="3" t="n">
        <v>6</v>
      </c>
      <c r="U86" s="1" t="str">
        <f aca="false">IF(T86=1,"-5",IF(OR(T86=2,T86=3),"-4",IF(OR(T86=4,T86=5),"-3",IF(OR(T86=6,T86=7),"-2",IF(OR(T86=8,T86=9),"-1",IF(OR(T86=10,T86=11),"0",IF(OR(T86=12,T86=13),"+1",IF(OR(T86=14,T86=15),"+2",IF(OR(T86=16,T86=17),"+3",IF(OR(T86=18,T86=19),"+4",IF(OR(T86=20,T86=21),"+5",IF(OR(T86=22,T86=23),"+6",IF(OR(T86=24,T86=25),"+7",IF(OR(T86=26,T86=27),"+8",IF(OR(T86=28,T86=29),"+9",IF(T86=30,"+10"," "))))))))))))))))</f>
        <v>-2</v>
      </c>
      <c r="V86" s="3" t="s">
        <v>33</v>
      </c>
      <c r="W86" s="3" t="s">
        <v>489</v>
      </c>
      <c r="X86" s="11" t="s">
        <v>490</v>
      </c>
      <c r="Y86" s="11" t="s">
        <v>491</v>
      </c>
      <c r="Z86" s="11" t="s">
        <v>37</v>
      </c>
      <c r="AA86" s="12" t="s">
        <v>37</v>
      </c>
    </row>
    <row r="87" customFormat="false" ht="16.4" hidden="false" customHeight="false" outlineLevel="0" collapsed="false">
      <c r="A87" s="15" t="s">
        <v>492</v>
      </c>
      <c r="B87" s="3" t="s">
        <v>356</v>
      </c>
      <c r="C87" s="3" t="s">
        <v>85</v>
      </c>
      <c r="D87" s="16" t="n">
        <v>4</v>
      </c>
      <c r="E87" s="6" t="n">
        <f aca="false">VLOOKUP(D87,'[1]REF Tables'!$A$2:$B$40,2)</f>
        <v>1100</v>
      </c>
      <c r="F87" s="3" t="s">
        <v>50</v>
      </c>
      <c r="G87" s="3" t="n">
        <v>14</v>
      </c>
      <c r="H87" s="3" t="s">
        <v>93</v>
      </c>
      <c r="I87" s="3" t="s">
        <v>493</v>
      </c>
      <c r="J87" s="3" t="n">
        <v>18</v>
      </c>
      <c r="K87" s="1" t="str">
        <f aca="false">IF(J87=1,"-5",IF(OR(J87=2,J87=3),"-4",IF(OR(J87=4,J87=5),"-3",IF(OR(J87=6,J87=7),"-2",IF(OR(J87=8,J87=9),"-1",IF(OR(J87=10,J87=11),"0",IF(OR(J87=12,J87=13),"+1",IF(OR(J87=14,J87=15),"+2",IF(OR(J87=16,J87=17),"+3",IF(OR(J87=18,J87=19),"+4",IF(OR(J87=20,J87=21),"+5",IF(OR(J87=22,J87=23),"+6",IF(OR(J87=24,J87=25),"+7",IF(OR(J87=26,J87=27),"+8",IF(OR(J87=28,J87=29),"+9",IF(J87=30,"+10"," "))))))))))))))))</f>
        <v>+4</v>
      </c>
      <c r="L87" s="3" t="n">
        <v>17</v>
      </c>
      <c r="M87" s="1" t="str">
        <f aca="false">IF(L87=1,"-5",IF(OR(L87=2,L87=3),"-4",IF(OR(L87=4,L87=5),"-3",IF(OR(L87=6,L87=7),"-2",IF(OR(L87=8,L87=9),"-1",IF(OR(L87=10,L87=11),"0",IF(OR(L87=12,L87=13),"+1",IF(OR(L87=14,L87=15),"+2",IF(OR(L87=16,L87=17),"+3",IF(OR(L87=18,L87=19),"+4",IF(OR(L87=20,L87=21),"+5",IF(OR(L87=22,L87=23),"+6",IF(OR(L87=24,L87=25),"+7",IF(OR(L87=26,L87=27),"+8",IF(OR(L87=28,L87=29),"+9",IF(L87=30,"+10"," "))))))))))))))))</f>
        <v>+3</v>
      </c>
      <c r="N87" s="3" t="n">
        <v>16</v>
      </c>
      <c r="O87" s="1" t="str">
        <f aca="false">IF(N87=1,"-5",IF(OR(N87=2,N87=3),"-4",IF(OR(N87=4,N87=5),"-3",IF(OR(N87=6,N87=7),"-2",IF(OR(N87=8,N87=9),"-1",IF(OR(N87=10,N87=11),"0",IF(OR(N87=12,N87=13),"+1",IF(OR(N87=14,N87=15),"+2",IF(OR(N87=16,N87=17),"+3",IF(OR(N87=18,N87=19),"+4",IF(OR(N87=20,N87=21),"+5",IF(OR(N87=22,N87=23),"+6",IF(OR(N87=24,N87=25),"+7",IF(OR(N87=26,N87=27),"+8",IF(OR(N87=28,N87=29),"+9",IF(N87=30,"+10"," "))))))))))))))))</f>
        <v>+3</v>
      </c>
      <c r="P87" s="3" t="n">
        <v>5</v>
      </c>
      <c r="Q87" s="1" t="str">
        <f aca="false">IF(P87=1,"-5",IF(OR(P87=2,P87=3),"-4",IF(OR(P87=4,P87=5),"-3",IF(OR(P87=6,P87=7),"-2",IF(OR(P87=8,P87=9),"-1",IF(OR(P87=10,P87=11),"0",IF(OR(P87=12,P87=13),"+1",IF(OR(P87=14,P87=15),"+2",IF(OR(P87=16,P87=17),"+3",IF(OR(P87=18,P87=19),"+4",IF(OR(P87=20,P87=21),"+5",IF(OR(P87=22,P87=23),"+6",IF(OR(P87=24,P87=25),"+7",IF(OR(P87=26,P87=27),"+8",IF(OR(P87=28,P87=29),"+9",IF(P87=30,"+10"," "))))))))))))))))</f>
        <v>-3</v>
      </c>
      <c r="R87" s="3" t="n">
        <v>12</v>
      </c>
      <c r="S87" s="1" t="str">
        <f aca="false">IF(R87=1,"-5",IF(OR(R87=2,R87=3),"-4",IF(OR(R87=4,R87=5),"-3",IF(OR(R87=6,R87=7),"-2",IF(OR(R87=8,R87=9),"-1",IF(OR(R87=10,R87=11),"0",IF(OR(R87=12,R87=13),"+1",IF(OR(R87=14,R87=15),"+2",IF(OR(R87=16,R87=17),"+3",IF(OR(R87=18,R87=19),"+4",IF(OR(R87=20,R87=21),"+5",IF(OR(R87=22,R87=23),"+6",IF(OR(R87=24,R87=25),"+7",IF(OR(R87=26,R87=27),"+8",IF(OR(R87=28,R87=29),"+9",IF(R87=30,"+10"," "))))))))))))))))</f>
        <v>+1</v>
      </c>
      <c r="T87" s="3" t="n">
        <v>7</v>
      </c>
      <c r="U87" s="1" t="str">
        <f aca="false">IF(T87=1,"-5",IF(OR(T87=2,T87=3),"-4",IF(OR(T87=4,T87=5),"-3",IF(OR(T87=6,T87=7),"-2",IF(OR(T87=8,T87=9),"-1",IF(OR(T87=10,T87=11),"0",IF(OR(T87=12,T87=13),"+1",IF(OR(T87=14,T87=15),"+2",IF(OR(T87=16,T87=17),"+3",IF(OR(T87=18,T87=19),"+4",IF(OR(T87=20,T87=21),"+5",IF(OR(T87=22,T87=23),"+6",IF(OR(T87=24,T87=25),"+7",IF(OR(T87=26,T87=27),"+8",IF(OR(T87=28,T87=29),"+9",IF(T87=30,"+10"," "))))))))))))))))</f>
        <v>-2</v>
      </c>
      <c r="V87" s="3" t="s">
        <v>37</v>
      </c>
      <c r="W87" s="3" t="s">
        <v>494</v>
      </c>
      <c r="X87" s="11" t="s">
        <v>495</v>
      </c>
      <c r="Y87" s="11" t="s">
        <v>496</v>
      </c>
      <c r="Z87" s="11" t="s">
        <v>37</v>
      </c>
      <c r="AA87" s="12" t="s">
        <v>37</v>
      </c>
    </row>
    <row r="88" customFormat="false" ht="16.4" hidden="false" customHeight="false" outlineLevel="0" collapsed="false">
      <c r="A88" s="15" t="s">
        <v>497</v>
      </c>
      <c r="B88" s="3" t="s">
        <v>105</v>
      </c>
      <c r="C88" s="3" t="s">
        <v>85</v>
      </c>
      <c r="D88" s="16" t="n">
        <v>1</v>
      </c>
      <c r="E88" s="3" t="n">
        <f aca="false">VLOOKUP(D88,'[1]REF Tables'!$A$2:$B$40,2)</f>
        <v>200</v>
      </c>
      <c r="F88" s="3" t="s">
        <v>30</v>
      </c>
      <c r="G88" s="3" t="n">
        <v>12</v>
      </c>
      <c r="H88" s="3" t="s">
        <v>215</v>
      </c>
      <c r="I88" s="3" t="s">
        <v>224</v>
      </c>
      <c r="J88" s="3" t="n">
        <v>15</v>
      </c>
      <c r="K88" s="1" t="str">
        <f aca="false">IF(J88=1,"-5",IF(OR(J88=2,J88=3),"-4",IF(OR(J88=4,J88=5),"-3",IF(OR(J88=6,J88=7),"-2",IF(OR(J88=8,J88=9),"-1",IF(OR(J88=10,J88=11),"0",IF(OR(J88=12,J88=13),"+1",IF(OR(J88=14,J88=15),"+2",IF(OR(J88=16,J88=17),"+3",IF(OR(J88=18,J88=19),"+4",IF(OR(J88=20,J88=21),"+5",IF(OR(J88=22,J88=23),"+6",IF(OR(J88=24,J88=25),"+7",IF(OR(J88=26,J88=27),"+8",IF(OR(J88=28,J88=29),"+9",IF(J88=30,"+10"," "))))))))))))))))</f>
        <v>+2</v>
      </c>
      <c r="L88" s="3" t="n">
        <v>14</v>
      </c>
      <c r="M88" s="1" t="str">
        <f aca="false">IF(L88=1,"-5",IF(OR(L88=2,L88=3),"-4",IF(OR(L88=4,L88=5),"-3",IF(OR(L88=6,L88=7),"-2",IF(OR(L88=8,L88=9),"-1",IF(OR(L88=10,L88=11),"0",IF(OR(L88=12,L88=13),"+1",IF(OR(L88=14,L88=15),"+2",IF(OR(L88=16,L88=17),"+3",IF(OR(L88=18,L88=19),"+4",IF(OR(L88=20,L88=21),"+5",IF(OR(L88=22,L88=23),"+6",IF(OR(L88=24,L88=25),"+7",IF(OR(L88=26,L88=27),"+8",IF(OR(L88=28,L88=29),"+9",IF(L88=30,"+10"," "))))))))))))))))</f>
        <v>+2</v>
      </c>
      <c r="N88" s="3" t="n">
        <v>14</v>
      </c>
      <c r="O88" s="1" t="str">
        <f aca="false">IF(N88=1,"-5",IF(OR(N88=2,N88=3),"-4",IF(OR(N88=4,N88=5),"-3",IF(OR(N88=6,N88=7),"-2",IF(OR(N88=8,N88=9),"-1",IF(OR(N88=10,N88=11),"0",IF(OR(N88=12,N88=13),"+1",IF(OR(N88=14,N88=15),"+2",IF(OR(N88=16,N88=17),"+3",IF(OR(N88=18,N88=19),"+4",IF(OR(N88=20,N88=21),"+5",IF(OR(N88=22,N88=23),"+6",IF(OR(N88=24,N88=25),"+7",IF(OR(N88=26,N88=27),"+8",IF(OR(N88=28,N88=29),"+9",IF(N88=30,"+10"," "))))))))))))))))</f>
        <v>+2</v>
      </c>
      <c r="P88" s="3" t="n">
        <v>3</v>
      </c>
      <c r="Q88" s="1" t="str">
        <f aca="false">IF(P88=1,"-5",IF(OR(P88=2,P88=3),"-4",IF(OR(P88=4,P88=5),"-3",IF(OR(P88=6,P88=7),"-2",IF(OR(P88=8,P88=9),"-1",IF(OR(P88=10,P88=11),"0",IF(OR(P88=12,P88=13),"+1",IF(OR(P88=14,P88=15),"+2",IF(OR(P88=16,P88=17),"+3",IF(OR(P88=18,P88=19),"+4",IF(OR(P88=20,P88=21),"+5",IF(OR(P88=22,P88=23),"+6",IF(OR(P88=24,P88=25),"+7",IF(OR(P88=26,P88=27),"+8",IF(OR(P88=28,P88=29),"+9",IF(P88=30,"+10"," "))))))))))))))))</f>
        <v>-4</v>
      </c>
      <c r="R88" s="3" t="n">
        <v>13</v>
      </c>
      <c r="S88" s="1" t="str">
        <f aca="false">IF(R88=1,"-5",IF(OR(R88=2,R88=3),"-4",IF(OR(R88=4,R88=5),"-3",IF(OR(R88=6,R88=7),"-2",IF(OR(R88=8,R88=9),"-1",IF(OR(R88=10,R88=11),"0",IF(OR(R88=12,R88=13),"+1",IF(OR(R88=14,R88=15),"+2",IF(OR(R88=16,R88=17),"+3",IF(OR(R88=18,R88=19),"+4",IF(OR(R88=20,R88=21),"+5",IF(OR(R88=22,R88=23),"+6",IF(OR(R88=24,R88=25),"+7",IF(OR(R88=26,R88=27),"+8",IF(OR(R88=28,R88=29),"+9",IF(R88=30,"+10"," "))))))))))))))))</f>
        <v>+1</v>
      </c>
      <c r="T88" s="3" t="n">
        <v>6</v>
      </c>
      <c r="U88" s="1" t="str">
        <f aca="false">IF(T88=1,"-5",IF(OR(T88=2,T88=3),"-4",IF(OR(T88=4,T88=5),"-3",IF(OR(T88=6,T88=7),"-2",IF(OR(T88=8,T88=9),"-1",IF(OR(T88=10,T88=11),"0",IF(OR(T88=12,T88=13),"+1",IF(OR(T88=14,T88=15),"+2",IF(OR(T88=16,T88=17),"+3",IF(OR(T88=18,T88=19),"+4",IF(OR(T88=20,T88=21),"+5",IF(OR(T88=22,T88=23),"+6",IF(OR(T88=24,T88=25),"+7",IF(OR(T88=26,T88=27),"+8",IF(OR(T88=28,T88=29),"+9",IF(T88=30,"+10"," "))))))))))))))))</f>
        <v>-2</v>
      </c>
      <c r="V88" s="3" t="s">
        <v>498</v>
      </c>
      <c r="W88" s="3" t="s">
        <v>37</v>
      </c>
      <c r="X88" s="11" t="s">
        <v>499</v>
      </c>
      <c r="Y88" s="11" t="s">
        <v>500</v>
      </c>
      <c r="Z88" s="11" t="s">
        <v>37</v>
      </c>
      <c r="AA88" s="12" t="s">
        <v>37</v>
      </c>
    </row>
    <row r="89" customFormat="false" ht="16.4" hidden="false" customHeight="false" outlineLevel="0" collapsed="false">
      <c r="A89" s="15" t="s">
        <v>501</v>
      </c>
      <c r="B89" s="3" t="s">
        <v>356</v>
      </c>
      <c r="C89" s="3" t="s">
        <v>502</v>
      </c>
      <c r="D89" s="16" t="n">
        <v>0.25</v>
      </c>
      <c r="E89" s="3" t="n">
        <f aca="false">VLOOKUP(D89,'[1]REF Tables'!$A$2:$B$40,2)</f>
        <v>50</v>
      </c>
      <c r="F89" s="3" t="s">
        <v>30</v>
      </c>
      <c r="G89" s="3" t="n">
        <v>13</v>
      </c>
      <c r="H89" s="3" t="s">
        <v>503</v>
      </c>
      <c r="I89" s="3" t="s">
        <v>224</v>
      </c>
      <c r="J89" s="3" t="n">
        <v>12</v>
      </c>
      <c r="K89" s="1" t="str">
        <f aca="false">IF(J89=1,"-5",IF(OR(J89=2,J89=3),"-4",IF(OR(J89=4,J89=5),"-3",IF(OR(J89=6,J89=7),"-2",IF(OR(J89=8,J89=9),"-1",IF(OR(J89=10,J89=11),"0",IF(OR(J89=12,J89=13),"+1",IF(OR(J89=14,J89=15),"+2",IF(OR(J89=16,J89=17),"+3",IF(OR(J89=18,J89=19),"+4",IF(OR(J89=20,J89=21),"+5",IF(OR(J89=22,J89=23),"+6",IF(OR(J89=24,J89=25),"+7",IF(OR(J89=26,J89=27),"+8",IF(OR(J89=28,J89=29),"+9",IF(J89=30,"+10"," "))))))))))))))))</f>
        <v>+1</v>
      </c>
      <c r="L89" s="3" t="n">
        <v>17</v>
      </c>
      <c r="M89" s="1" t="str">
        <f aca="false">IF(L89=1,"-5",IF(OR(L89=2,L89=3),"-4",IF(OR(L89=4,L89=5),"-3",IF(OR(L89=6,L89=7),"-2",IF(OR(L89=8,L89=9),"-1",IF(OR(L89=10,L89=11),"0",IF(OR(L89=12,L89=13),"+1",IF(OR(L89=14,L89=15),"+2",IF(OR(L89=16,L89=17),"+3",IF(OR(L89=18,L89=19),"+4",IF(OR(L89=20,L89=21),"+5",IF(OR(L89=22,L89=23),"+6",IF(OR(L89=24,L89=25),"+7",IF(OR(L89=26,L89=27),"+8",IF(OR(L89=28,L89=29),"+9",IF(L89=30,"+10"," "))))))))))))))))</f>
        <v>+3</v>
      </c>
      <c r="N89" s="3" t="n">
        <v>12</v>
      </c>
      <c r="O89" s="1" t="str">
        <f aca="false">IF(N89=1,"-5",IF(OR(N89=2,N89=3),"-4",IF(OR(N89=4,N89=5),"-3",IF(OR(N89=6,N89=7),"-2",IF(OR(N89=8,N89=9),"-1",IF(OR(N89=10,N89=11),"0",IF(OR(N89=12,N89=13),"+1",IF(OR(N89=14,N89=15),"+2",IF(OR(N89=16,N89=17),"+3",IF(OR(N89=18,N89=19),"+4",IF(OR(N89=20,N89=21),"+5",IF(OR(N89=22,N89=23),"+6",IF(OR(N89=24,N89=25),"+7",IF(OR(N89=26,N89=27),"+8",IF(OR(N89=28,N89=29),"+9",IF(N89=30,"+10"," "))))))))))))))))</f>
        <v>+1</v>
      </c>
      <c r="P89" s="3" t="n">
        <v>10</v>
      </c>
      <c r="Q89" s="1" t="str">
        <f aca="false">IF(P89=1,"-5",IF(OR(P89=2,P89=3),"-4",IF(OR(P89=4,P89=5),"-3",IF(OR(P89=6,P89=7),"-2",IF(OR(P89=8,P89=9),"-1",IF(OR(P89=10,P89=11),"0",IF(OR(P89=12,P89=13),"+1",IF(OR(P89=14,P89=15),"+2",IF(OR(P89=16,P89=17),"+3",IF(OR(P89=18,P89=19),"+4",IF(OR(P89=20,P89=21),"+5",IF(OR(P89=22,P89=23),"+6",IF(OR(P89=24,P89=25),"+7",IF(OR(P89=26,P89=27),"+8",IF(OR(P89=28,P89=29),"+9",IF(P89=30,"+10"," "))))))))))))))))</f>
        <v>0</v>
      </c>
      <c r="R89" s="3" t="n">
        <v>13</v>
      </c>
      <c r="S89" s="1" t="str">
        <f aca="false">IF(R89=1,"-5",IF(OR(R89=2,R89=3),"-4",IF(OR(R89=4,R89=5),"-3",IF(OR(R89=6,R89=7),"-2",IF(OR(R89=8,R89=9),"-1",IF(OR(R89=10,R89=11),"0",IF(OR(R89=12,R89=13),"+1",IF(OR(R89=14,R89=15),"+2",IF(OR(R89=16,R89=17),"+3",IF(OR(R89=18,R89=19),"+4",IF(OR(R89=20,R89=21),"+5",IF(OR(R89=22,R89=23),"+6",IF(OR(R89=24,R89=25),"+7",IF(OR(R89=26,R89=27),"+8",IF(OR(R89=28,R89=29),"+9",IF(R89=30,"+10"," "))))))))))))))))</f>
        <v>+1</v>
      </c>
      <c r="T89" s="3" t="n">
        <v>11</v>
      </c>
      <c r="U89" s="1" t="str">
        <f aca="false">IF(T89=1,"-5",IF(OR(T89=2,T89=3),"-4",IF(OR(T89=4,T89=5),"-3",IF(OR(T89=6,T89=7),"-2",IF(OR(T89=8,T89=9),"-1",IF(OR(T89=10,T89=11),"0",IF(OR(T89=12,T89=13),"+1",IF(OR(T89=14,T89=15),"+2",IF(OR(T89=16,T89=17),"+3",IF(OR(T89=18,T89=19),"+4",IF(OR(T89=20,T89=21),"+5",IF(OR(T89=22,T89=23),"+6",IF(OR(T89=24,T89=25),"+7",IF(OR(T89=26,T89=27),"+8",IF(OR(T89=28,T89=29),"+9",IF(T89=30,"+10"," "))))))))))))))))</f>
        <v>0</v>
      </c>
      <c r="V89" s="3" t="s">
        <v>317</v>
      </c>
      <c r="W89" s="3" t="s">
        <v>504</v>
      </c>
      <c r="X89" s="11" t="s">
        <v>505</v>
      </c>
      <c r="Y89" s="11" t="s">
        <v>506</v>
      </c>
      <c r="Z89" s="11" t="s">
        <v>37</v>
      </c>
      <c r="AA89" s="12" t="s">
        <v>37</v>
      </c>
    </row>
    <row r="90" customFormat="false" ht="16.4" hidden="false" customHeight="false" outlineLevel="0" collapsed="false">
      <c r="A90" s="15" t="s">
        <v>507</v>
      </c>
      <c r="B90" s="3" t="s">
        <v>105</v>
      </c>
      <c r="C90" s="3" t="s">
        <v>222</v>
      </c>
      <c r="D90" s="16" t="n">
        <v>6</v>
      </c>
      <c r="E90" s="6" t="n">
        <f aca="false">VLOOKUP(D90,'[1]REF Tables'!$A$2:$B$40,2)</f>
        <v>2300</v>
      </c>
      <c r="F90" s="3" t="s">
        <v>50</v>
      </c>
      <c r="G90" s="3" t="n">
        <v>14</v>
      </c>
      <c r="H90" s="3" t="s">
        <v>508</v>
      </c>
      <c r="I90" s="3" t="s">
        <v>388</v>
      </c>
      <c r="J90" s="3" t="n">
        <v>19</v>
      </c>
      <c r="K90" s="1" t="str">
        <f aca="false">IF(J90=1,"-5",IF(OR(J90=2,J90=3),"-4",IF(OR(J90=4,J90=5),"-3",IF(OR(J90=6,J90=7),"-2",IF(OR(J90=8,J90=9),"-1",IF(OR(J90=10,J90=11),"0",IF(OR(J90=12,J90=13),"+1",IF(OR(J90=14,J90=15),"+2",IF(OR(J90=16,J90=17),"+3",IF(OR(J90=18,J90=19),"+4",IF(OR(J90=20,J90=21),"+5",IF(OR(J90=22,J90=23),"+6",IF(OR(J90=24,J90=25),"+7",IF(OR(J90=26,J90=27),"+8",IF(OR(J90=28,J90=29),"+9",IF(J90=30,"+10"," "))))))))))))))))</f>
        <v>+4</v>
      </c>
      <c r="L90" s="3" t="n">
        <v>11</v>
      </c>
      <c r="M90" s="1" t="str">
        <f aca="false">IF(L90=1,"-5",IF(OR(L90=2,L90=3),"-4",IF(OR(L90=4,L90=5),"-3",IF(OR(L90=6,L90=7),"-2",IF(OR(L90=8,L90=9),"-1",IF(OR(L90=10,L90=11),"0",IF(OR(L90=12,L90=13),"+1",IF(OR(L90=14,L90=15),"+2",IF(OR(L90=16,L90=17),"+3",IF(OR(L90=18,L90=19),"+4",IF(OR(L90=20,L90=21),"+5",IF(OR(L90=22,L90=23),"+6",IF(OR(L90=24,L90=25),"+7",IF(OR(L90=26,L90=27),"+8",IF(OR(L90=28,L90=29),"+9",IF(L90=30,"+10"," "))))))))))))))))</f>
        <v>0</v>
      </c>
      <c r="N90" s="3" t="n">
        <v>19</v>
      </c>
      <c r="O90" s="1" t="str">
        <f aca="false">IF(N90=1,"-5",IF(OR(N90=2,N90=3),"-4",IF(OR(N90=4,N90=5),"-3",IF(OR(N90=6,N90=7),"-2",IF(OR(N90=8,N90=9),"-1",IF(OR(N90=10,N90=11),"0",IF(OR(N90=12,N90=13),"+1",IF(OR(N90=14,N90=15),"+2",IF(OR(N90=16,N90=17),"+3",IF(OR(N90=18,N90=19),"+4",IF(OR(N90=20,N90=21),"+5",IF(OR(N90=22,N90=23),"+6",IF(OR(N90=24,N90=25),"+7",IF(OR(N90=26,N90=27),"+8",IF(OR(N90=28,N90=29),"+9",IF(N90=30,"+10"," "))))))))))))))))</f>
        <v>+4</v>
      </c>
      <c r="P90" s="3" t="n">
        <v>3</v>
      </c>
      <c r="Q90" s="1" t="str">
        <f aca="false">IF(P90=1,"-5",IF(OR(P90=2,P90=3),"-4",IF(OR(P90=4,P90=5),"-3",IF(OR(P90=6,P90=7),"-2",IF(OR(P90=8,P90=9),"-1",IF(OR(P90=10,P90=11),"0",IF(OR(P90=12,P90=13),"+1",IF(OR(P90=14,P90=15),"+2",IF(OR(P90=16,P90=17),"+3",IF(OR(P90=18,P90=19),"+4",IF(OR(P90=20,P90=21),"+5",IF(OR(P90=22,P90=23),"+6",IF(OR(P90=24,P90=25),"+7",IF(OR(P90=26,P90=27),"+8",IF(OR(P90=28,P90=29),"+9",IF(P90=30,"+10"," "))))))))))))))))</f>
        <v>-4</v>
      </c>
      <c r="R90" s="3" t="n">
        <v>14</v>
      </c>
      <c r="S90" s="1" t="str">
        <f aca="false">IF(R90=1,"-5",IF(OR(R90=2,R90=3),"-4",IF(OR(R90=4,R90=5),"-3",IF(OR(R90=6,R90=7),"-2",IF(OR(R90=8,R90=9),"-1",IF(OR(R90=10,R90=11),"0",IF(OR(R90=12,R90=13),"+1",IF(OR(R90=14,R90=15),"+2",IF(OR(R90=16,R90=17),"+3",IF(OR(R90=18,R90=19),"+4",IF(OR(R90=20,R90=21),"+5",IF(OR(R90=22,R90=23),"+6",IF(OR(R90=24,R90=25),"+7",IF(OR(R90=26,R90=27),"+8",IF(OR(R90=28,R90=29),"+9",IF(R90=30,"+10"," "))))))))))))))))</f>
        <v>+2</v>
      </c>
      <c r="T90" s="3" t="n">
        <v>10</v>
      </c>
      <c r="U90" s="1" t="str">
        <f aca="false">IF(T90=1,"-5",IF(OR(T90=2,T90=3),"-4",IF(OR(T90=4,T90=5),"-3",IF(OR(T90=6,T90=7),"-2",IF(OR(T90=8,T90=9),"-1",IF(OR(T90=10,T90=11),"0",IF(OR(T90=12,T90=13),"+1",IF(OR(T90=14,T90=15),"+2",IF(OR(T90=16,T90=17),"+3",IF(OR(T90=18,T90=19),"+4",IF(OR(T90=20,T90=21),"+5",IF(OR(T90=22,T90=23),"+6",IF(OR(T90=24,T90=25),"+7",IF(OR(T90=26,T90=27),"+8",IF(OR(T90=28,T90=29),"+9",IF(T90=30,"+10"," "))))))))))))))))</f>
        <v>0</v>
      </c>
      <c r="V90" s="3" t="s">
        <v>509</v>
      </c>
      <c r="W90" s="3" t="s">
        <v>510</v>
      </c>
      <c r="X90" s="11" t="s">
        <v>511</v>
      </c>
      <c r="Y90" s="11" t="s">
        <v>512</v>
      </c>
      <c r="Z90" s="11" t="s">
        <v>37</v>
      </c>
      <c r="AA90" s="12" t="s">
        <v>37</v>
      </c>
    </row>
    <row r="91" customFormat="false" ht="16.4" hidden="false" customHeight="false" outlineLevel="0" collapsed="false">
      <c r="A91" s="15" t="s">
        <v>513</v>
      </c>
      <c r="B91" s="3" t="s">
        <v>105</v>
      </c>
      <c r="C91" s="3" t="s">
        <v>222</v>
      </c>
      <c r="D91" s="16" t="n">
        <v>0.5</v>
      </c>
      <c r="E91" s="3" t="n">
        <f aca="false">VLOOKUP(D91,'[1]REF Tables'!$A$2:$B$40,2)</f>
        <v>100</v>
      </c>
      <c r="F91" s="3" t="s">
        <v>165</v>
      </c>
      <c r="G91" s="3" t="n">
        <v>14</v>
      </c>
      <c r="H91" s="3" t="s">
        <v>514</v>
      </c>
      <c r="I91" s="3" t="s">
        <v>131</v>
      </c>
      <c r="J91" s="3" t="n">
        <v>10</v>
      </c>
      <c r="K91" s="1" t="str">
        <f aca="false">IF(J91=1,"-5",IF(OR(J91=2,J91=3),"-4",IF(OR(J91=4,J91=5),"-3",IF(OR(J91=6,J91=7),"-2",IF(OR(J91=8,J91=9),"-1",IF(OR(J91=10,J91=11),"0",IF(OR(J91=12,J91=13),"+1",IF(OR(J91=14,J91=15),"+2",IF(OR(J91=16,J91=17),"+3",IF(OR(J91=18,J91=19),"+4",IF(OR(J91=20,J91=21),"+5",IF(OR(J91=22,J91=23),"+6",IF(OR(J91=24,J91=25),"+7",IF(OR(J91=26,J91=27),"+8",IF(OR(J91=28,J91=29),"+9",IF(J91=30,"+10"," "))))))))))))))))</f>
        <v>0</v>
      </c>
      <c r="L91" s="3" t="n">
        <v>14</v>
      </c>
      <c r="M91" s="1" t="str">
        <f aca="false">IF(L91=1,"-5",IF(OR(L91=2,L91=3),"-4",IF(OR(L91=4,L91=5),"-3",IF(OR(L91=6,L91=7),"-2",IF(OR(L91=8,L91=9),"-1",IF(OR(L91=10,L91=11),"0",IF(OR(L91=12,L91=13),"+1",IF(OR(L91=14,L91=15),"+2",IF(OR(L91=16,L91=17),"+3",IF(OR(L91=18,L91=19),"+4",IF(OR(L91=20,L91=21),"+5",IF(OR(L91=22,L91=23),"+6",IF(OR(L91=24,L91=25),"+7",IF(OR(L91=26,L91=27),"+8",IF(OR(L91=28,L91=29),"+9",IF(L91=30,"+10"," "))))))))))))))))</f>
        <v>+2</v>
      </c>
      <c r="N91" s="3" t="n">
        <v>12</v>
      </c>
      <c r="O91" s="1" t="str">
        <f aca="false">IF(N91=1,"-5",IF(OR(N91=2,N91=3),"-4",IF(OR(N91=4,N91=5),"-3",IF(OR(N91=6,N91=7),"-2",IF(OR(N91=8,N91=9),"-1",IF(OR(N91=10,N91=11),"0",IF(OR(N91=12,N91=13),"+1",IF(OR(N91=14,N91=15),"+2",IF(OR(N91=16,N91=17),"+3",IF(OR(N91=18,N91=19),"+4",IF(OR(N91=20,N91=21),"+5",IF(OR(N91=22,N91=23),"+6",IF(OR(N91=24,N91=25),"+7",IF(OR(N91=26,N91=27),"+8",IF(OR(N91=28,N91=29),"+9",IF(N91=30,"+10"," "))))))))))))))))</f>
        <v>+1</v>
      </c>
      <c r="P91" s="3" t="n">
        <v>10</v>
      </c>
      <c r="Q91" s="1" t="str">
        <f aca="false">IF(P91=1,"-5",IF(OR(P91=2,P91=3),"-4",IF(OR(P91=4,P91=5),"-3",IF(OR(P91=6,P91=7),"-2",IF(OR(P91=8,P91=9),"-1",IF(OR(P91=10,P91=11),"0",IF(OR(P91=12,P91=13),"+1",IF(OR(P91=14,P91=15),"+2",IF(OR(P91=16,P91=17),"+3",IF(OR(P91=18,P91=19),"+4",IF(OR(P91=20,P91=21),"+5",IF(OR(P91=22,P91=23),"+6",IF(OR(P91=24,P91=25),"+7",IF(OR(P91=26,P91=27),"+8",IF(OR(P91=28,P91=29),"+9",IF(P91=30,"+10"," "))))))))))))))))</f>
        <v>0</v>
      </c>
      <c r="R91" s="3" t="n">
        <v>10</v>
      </c>
      <c r="S91" s="1" t="str">
        <f aca="false">IF(R91=1,"-5",IF(OR(R91=2,R91=3),"-4",IF(OR(R91=4,R91=5),"-3",IF(OR(R91=6,R91=7),"-2",IF(OR(R91=8,R91=9),"-1",IF(OR(R91=10,R91=11),"0",IF(OR(R91=12,R91=13),"+1",IF(OR(R91=14,R91=15),"+2",IF(OR(R91=16,R91=17),"+3",IF(OR(R91=18,R91=19),"+4",IF(OR(R91=20,R91=21),"+5",IF(OR(R91=22,R91=23),"+6",IF(OR(R91=24,R91=25),"+7",IF(OR(R91=26,R91=27),"+8",IF(OR(R91=28,R91=29),"+9",IF(R91=30,"+10"," "))))))))))))))))</f>
        <v>0</v>
      </c>
      <c r="T91" s="3" t="n">
        <v>7</v>
      </c>
      <c r="U91" s="1" t="str">
        <f aca="false">IF(T91=1,"-5",IF(OR(T91=2,T91=3),"-4",IF(OR(T91=4,T91=5),"-3",IF(OR(T91=6,T91=7),"-2",IF(OR(T91=8,T91=9),"-1",IF(OR(T91=10,T91=11),"0",IF(OR(T91=12,T91=13),"+1",IF(OR(T91=14,T91=15),"+2",IF(OR(T91=16,T91=17),"+3",IF(OR(T91=18,T91=19),"+4",IF(OR(T91=20,T91=21),"+5",IF(OR(T91=22,T91=23),"+6",IF(OR(T91=24,T91=25),"+7",IF(OR(T91=26,T91=27),"+8",IF(OR(T91=28,T91=29),"+9",IF(T91=30,"+10"," "))))))))))))))))</f>
        <v>-2</v>
      </c>
      <c r="V91" s="3" t="s">
        <v>515</v>
      </c>
      <c r="W91" s="3" t="s">
        <v>516</v>
      </c>
      <c r="X91" s="11" t="s">
        <v>517</v>
      </c>
      <c r="Y91" s="11" t="s">
        <v>518</v>
      </c>
      <c r="Z91" s="11" t="s">
        <v>37</v>
      </c>
      <c r="AA91" s="12" t="s">
        <v>37</v>
      </c>
    </row>
    <row r="92" customFormat="false" ht="16.4" hidden="false" customHeight="false" outlineLevel="0" collapsed="false">
      <c r="A92" s="15" t="s">
        <v>519</v>
      </c>
      <c r="B92" s="3" t="s">
        <v>105</v>
      </c>
      <c r="C92" s="3" t="s">
        <v>222</v>
      </c>
      <c r="D92" s="16" t="n">
        <v>3</v>
      </c>
      <c r="E92" s="3" t="n">
        <f aca="false">VLOOKUP(D92,'[1]REF Tables'!$A$2:$B$40,2)</f>
        <v>700</v>
      </c>
      <c r="F92" s="3" t="s">
        <v>30</v>
      </c>
      <c r="G92" s="3" t="n">
        <v>15</v>
      </c>
      <c r="H92" s="3" t="s">
        <v>365</v>
      </c>
      <c r="I92" s="3" t="s">
        <v>131</v>
      </c>
      <c r="J92" s="3" t="n">
        <v>12</v>
      </c>
      <c r="K92" s="1" t="str">
        <f aca="false">IF(J92=1,"-5",IF(OR(J92=2,J92=3),"-4",IF(OR(J92=4,J92=5),"-3",IF(OR(J92=6,J92=7),"-2",IF(OR(J92=8,J92=9),"-1",IF(OR(J92=10,J92=11),"0",IF(OR(J92=12,J92=13),"+1",IF(OR(J92=14,J92=15),"+2",IF(OR(J92=16,J92=17),"+3",IF(OR(J92=18,J92=19),"+4",IF(OR(J92=20,J92=21),"+5",IF(OR(J92=22,J92=23),"+6",IF(OR(J92=24,J92=25),"+7",IF(OR(J92=26,J92=27),"+8",IF(OR(J92=28,J92=29),"+9",IF(J92=30,"+10"," "))))))))))))))))</f>
        <v>+1</v>
      </c>
      <c r="L92" s="3" t="n">
        <v>16</v>
      </c>
      <c r="M92" s="1" t="str">
        <f aca="false">IF(L92=1,"-5",IF(OR(L92=2,L92=3),"-4",IF(OR(L92=4,L92=5),"-3",IF(OR(L92=6,L92=7),"-2",IF(OR(L92=8,L92=9),"-1",IF(OR(L92=10,L92=11),"0",IF(OR(L92=12,L92=13),"+1",IF(OR(L92=14,L92=15),"+2",IF(OR(L92=16,L92=17),"+3",IF(OR(L92=18,L92=19),"+4",IF(OR(L92=20,L92=21),"+5",IF(OR(L92=22,L92=23),"+6",IF(OR(L92=24,L92=25),"+7",IF(OR(L92=26,L92=27),"+8",IF(OR(L92=28,L92=29),"+9",IF(L92=30,"+10"," "))))))))))))))))</f>
        <v>+3</v>
      </c>
      <c r="N92" s="3" t="n">
        <v>12</v>
      </c>
      <c r="O92" s="1" t="str">
        <f aca="false">IF(N92=1,"-5",IF(OR(N92=2,N92=3),"-4",IF(OR(N92=4,N92=5),"-3",IF(OR(N92=6,N92=7),"-2",IF(OR(N92=8,N92=9),"-1",IF(OR(N92=10,N92=11),"0",IF(OR(N92=12,N92=13),"+1",IF(OR(N92=14,N92=15),"+2",IF(OR(N92=16,N92=17),"+3",IF(OR(N92=18,N92=19),"+4",IF(OR(N92=20,N92=21),"+5",IF(OR(N92=22,N92=23),"+6",IF(OR(N92=24,N92=25),"+7",IF(OR(N92=26,N92=27),"+8",IF(OR(N92=28,N92=29),"+9",IF(N92=30,"+10"," "))))))))))))))))</f>
        <v>+1</v>
      </c>
      <c r="P92" s="3" t="n">
        <v>11</v>
      </c>
      <c r="Q92" s="1" t="str">
        <f aca="false">IF(P92=1,"-5",IF(OR(P92=2,P92=3),"-4",IF(OR(P92=4,P92=5),"-3",IF(OR(P92=6,P92=7),"-2",IF(OR(P92=8,P92=9),"-1",IF(OR(P92=10,P92=11),"0",IF(OR(P92=12,P92=13),"+1",IF(OR(P92=14,P92=15),"+2",IF(OR(P92=16,P92=17),"+3",IF(OR(P92=18,P92=19),"+4",IF(OR(P92=20,P92=21),"+5",IF(OR(P92=22,P92=23),"+6",IF(OR(P92=24,P92=25),"+7",IF(OR(P92=26,P92=27),"+8",IF(OR(P92=28,P92=29),"+9",IF(P92=30,"+10"," "))))))))))))))))</f>
        <v>0</v>
      </c>
      <c r="R92" s="3" t="n">
        <v>14</v>
      </c>
      <c r="S92" s="1" t="str">
        <f aca="false">IF(R92=1,"-5",IF(OR(R92=2,R92=3),"-4",IF(OR(R92=4,R92=5),"-3",IF(OR(R92=6,R92=7),"-2",IF(OR(R92=8,R92=9),"-1",IF(OR(R92=10,R92=11),"0",IF(OR(R92=12,R92=13),"+1",IF(OR(R92=14,R92=15),"+2",IF(OR(R92=16,R92=17),"+3",IF(OR(R92=18,R92=19),"+4",IF(OR(R92=20,R92=21),"+5",IF(OR(R92=22,R92=23),"+6",IF(OR(R92=24,R92=25),"+7",IF(OR(R92=26,R92=27),"+8",IF(OR(R92=28,R92=29),"+9",IF(R92=30,"+10"," "))))))))))))))))</f>
        <v>+2</v>
      </c>
      <c r="T92" s="3" t="n">
        <v>10</v>
      </c>
      <c r="U92" s="1" t="str">
        <f aca="false">IF(T92=1,"-5",IF(OR(T92=2,T92=3),"-4",IF(OR(T92=4,T92=5),"-3",IF(OR(T92=6,T92=7),"-2",IF(OR(T92=8,T92=9),"-1",IF(OR(T92=10,T92=11),"0",IF(OR(T92=12,T92=13),"+1",IF(OR(T92=14,T92=15),"+2",IF(OR(T92=16,T92=17),"+3",IF(OR(T92=18,T92=19),"+4",IF(OR(T92=20,T92=21),"+5",IF(OR(T92=22,T92=23),"+6",IF(OR(T92=24,T92=25),"+7",IF(OR(T92=26,T92=27),"+8",IF(OR(T92=28,T92=29),"+9",IF(T92=30,"+10"," "))))))))))))))))</f>
        <v>0</v>
      </c>
      <c r="V92" s="3" t="s">
        <v>520</v>
      </c>
      <c r="W92" s="3" t="s">
        <v>516</v>
      </c>
      <c r="X92" s="11" t="s">
        <v>521</v>
      </c>
      <c r="Y92" s="11" t="s">
        <v>522</v>
      </c>
      <c r="Z92" s="11" t="s">
        <v>37</v>
      </c>
      <c r="AA92" s="12" t="s">
        <v>37</v>
      </c>
    </row>
    <row r="93" customFormat="false" ht="16.4" hidden="false" customHeight="false" outlineLevel="0" collapsed="false">
      <c r="A93" s="15" t="s">
        <v>523</v>
      </c>
      <c r="B93" s="3" t="s">
        <v>59</v>
      </c>
      <c r="C93" s="3" t="s">
        <v>37</v>
      </c>
      <c r="D93" s="16" t="n">
        <v>0</v>
      </c>
      <c r="E93" s="3" t="n">
        <f aca="false">VLOOKUP(D93,'[1]REF Tables'!$A$2:$B$40,2)</f>
        <v>10</v>
      </c>
      <c r="F93" s="3" t="s">
        <v>315</v>
      </c>
      <c r="G93" s="3" t="n">
        <v>11</v>
      </c>
      <c r="H93" s="3" t="s">
        <v>316</v>
      </c>
      <c r="I93" s="3" t="s">
        <v>524</v>
      </c>
      <c r="J93" s="3" t="n">
        <v>3</v>
      </c>
      <c r="K93" s="1" t="str">
        <f aca="false">IF(J93=1,"-5",IF(OR(J93=2,J93=3),"-4",IF(OR(J93=4,J93=5),"-3",IF(OR(J93=6,J93=7),"-2",IF(OR(J93=8,J93=9),"-1",IF(OR(J93=10,J93=11),"0",IF(OR(J93=12,J93=13),"+1",IF(OR(J93=14,J93=15),"+2",IF(OR(J93=16,J93=17),"+3",IF(OR(J93=18,J93=19),"+4",IF(OR(J93=20,J93=21),"+5",IF(OR(J93=22,J93=23),"+6",IF(OR(J93=24,J93=25),"+7",IF(OR(J93=26,J93=27),"+8",IF(OR(J93=28,J93=29),"+9",IF(J93=30,"+10"," "))))))))))))))))</f>
        <v>-4</v>
      </c>
      <c r="L93" s="3" t="n">
        <v>13</v>
      </c>
      <c r="M93" s="1" t="str">
        <f aca="false">IF(L93=1,"-5",IF(OR(L93=2,L93=3),"-4",IF(OR(L93=4,L93=5),"-3",IF(OR(L93=6,L93=7),"-2",IF(OR(L93=8,L93=9),"-1",IF(OR(L93=10,L93=11),"0",IF(OR(L93=12,L93=13),"+1",IF(OR(L93=14,L93=15),"+2",IF(OR(L93=16,L93=17),"+3",IF(OR(L93=18,L93=19),"+4",IF(OR(L93=20,L93=21),"+5",IF(OR(L93=22,L93=23),"+6",IF(OR(L93=24,L93=25),"+7",IF(OR(L93=26,L93=27),"+8",IF(OR(L93=28,L93=29),"+9",IF(L93=30,"+10"," "))))))))))))))))</f>
        <v>+1</v>
      </c>
      <c r="N93" s="3" t="n">
        <v>8</v>
      </c>
      <c r="O93" s="1" t="str">
        <f aca="false">IF(N93=1,"-5",IF(OR(N93=2,N93=3),"-4",IF(OR(N93=4,N93=5),"-3",IF(OR(N93=6,N93=7),"-2",IF(OR(N93=8,N93=9),"-1",IF(OR(N93=10,N93=11),"0",IF(OR(N93=12,N93=13),"+1",IF(OR(N93=14,N93=15),"+2",IF(OR(N93=16,N93=17),"+3",IF(OR(N93=18,N93=19),"+4",IF(OR(N93=20,N93=21),"+5",IF(OR(N93=22,N93=23),"+6",IF(OR(N93=24,N93=25),"+7",IF(OR(N93=26,N93=27),"+8",IF(OR(N93=28,N93=29),"+9",IF(N93=30,"+10"," "))))))))))))))))</f>
        <v>-1</v>
      </c>
      <c r="P93" s="3" t="n">
        <v>2</v>
      </c>
      <c r="Q93" s="1" t="str">
        <f aca="false">IF(P93=1,"-5",IF(OR(P93=2,P93=3),"-4",IF(OR(P93=4,P93=5),"-3",IF(OR(P93=6,P93=7),"-2",IF(OR(P93=8,P93=9),"-1",IF(OR(P93=10,P93=11),"0",IF(OR(P93=12,P93=13),"+1",IF(OR(P93=14,P93=15),"+2",IF(OR(P93=16,P93=17),"+3",IF(OR(P93=18,P93=19),"+4",IF(OR(P93=20,P93=21),"+5",IF(OR(P93=22,P93=23),"+6",IF(OR(P93=24,P93=25),"+7",IF(OR(P93=26,P93=27),"+8",IF(OR(P93=28,P93=29),"+9",IF(P93=30,"+10"," "))))))))))))))))</f>
        <v>-4</v>
      </c>
      <c r="R93" s="3" t="n">
        <v>12</v>
      </c>
      <c r="S93" s="1" t="str">
        <f aca="false">IF(R93=1,"-5",IF(OR(R93=2,R93=3),"-4",IF(OR(R93=4,R93=5),"-3",IF(OR(R93=6,R93=7),"-2",IF(OR(R93=8,R93=9),"-1",IF(OR(R93=10,R93=11),"0",IF(OR(R93=12,R93=13),"+1",IF(OR(R93=14,R93=15),"+2",IF(OR(R93=16,R93=17),"+3",IF(OR(R93=18,R93=19),"+4",IF(OR(R93=20,R93=21),"+5",IF(OR(R93=22,R93=23),"+6",IF(OR(R93=24,R93=25),"+7",IF(OR(R93=26,R93=27),"+8",IF(OR(R93=28,R93=29),"+9",IF(R93=30,"+10"," "))))))))))))))))</f>
        <v>+1</v>
      </c>
      <c r="T93" s="3" t="n">
        <v>7</v>
      </c>
      <c r="U93" s="1" t="str">
        <f aca="false">IF(T93=1,"-5",IF(OR(T93=2,T93=3),"-4",IF(OR(T93=4,T93=5),"-3",IF(OR(T93=6,T93=7),"-2",IF(OR(T93=8,T93=9),"-1",IF(OR(T93=10,T93=11),"0",IF(OR(T93=12,T93=13),"+1",IF(OR(T93=14,T93=15),"+2",IF(OR(T93=16,T93=17),"+3",IF(OR(T93=18,T93=19),"+4",IF(OR(T93=20,T93=21),"+5",IF(OR(T93=22,T93=23),"+6",IF(OR(T93=24,T93=25),"+7",IF(OR(T93=26,T93=27),"+8",IF(OR(T93=28,T93=29),"+9",IF(T93=30,"+10"," "))))))))))))))))</f>
        <v>-2</v>
      </c>
      <c r="V93" s="3" t="s">
        <v>525</v>
      </c>
      <c r="W93" s="3" t="s">
        <v>37</v>
      </c>
      <c r="X93" s="11" t="s">
        <v>526</v>
      </c>
      <c r="Y93" s="11" t="s">
        <v>527</v>
      </c>
      <c r="Z93" s="11" t="s">
        <v>37</v>
      </c>
      <c r="AA93" s="12" t="s">
        <v>37</v>
      </c>
    </row>
    <row r="94" customFormat="false" ht="16.4" hidden="false" customHeight="false" outlineLevel="0" collapsed="false">
      <c r="A94" s="15" t="s">
        <v>528</v>
      </c>
      <c r="B94" s="3" t="s">
        <v>59</v>
      </c>
      <c r="C94" s="3" t="s">
        <v>230</v>
      </c>
      <c r="D94" s="16" t="n">
        <v>0.25</v>
      </c>
      <c r="E94" s="3" t="n">
        <f aca="false">VLOOKUP(D94,'[1]REF Tables'!$A$2:$B$40,2)</f>
        <v>50</v>
      </c>
      <c r="F94" s="3" t="s">
        <v>50</v>
      </c>
      <c r="G94" s="3" t="n">
        <v>12</v>
      </c>
      <c r="H94" s="3" t="s">
        <v>304</v>
      </c>
      <c r="I94" s="3" t="s">
        <v>524</v>
      </c>
      <c r="J94" s="3" t="n">
        <v>13</v>
      </c>
      <c r="K94" s="1" t="str">
        <f aca="false">IF(J94=1,"-5",IF(OR(J94=2,J94=3),"-4",IF(OR(J94=4,J94=5),"-3",IF(OR(J94=6,J94=7),"-2",IF(OR(J94=8,J94=9),"-1",IF(OR(J94=10,J94=11),"0",IF(OR(J94=12,J94=13),"+1",IF(OR(J94=14,J94=15),"+2",IF(OR(J94=16,J94=17),"+3",IF(OR(J94=18,J94=19),"+4",IF(OR(J94=20,J94=21),"+5",IF(OR(J94=22,J94=23),"+6",IF(OR(J94=24,J94=25),"+7",IF(OR(J94=26,J94=27),"+8",IF(OR(J94=28,J94=29),"+9",IF(J94=30,"+10"," "))))))))))))))))</f>
        <v>+1</v>
      </c>
      <c r="L94" s="3" t="n">
        <v>15</v>
      </c>
      <c r="M94" s="1" t="str">
        <f aca="false">IF(L94=1,"-5",IF(OR(L94=2,L94=3),"-4",IF(OR(L94=4,L94=5),"-3",IF(OR(L94=6,L94=7),"-2",IF(OR(L94=8,L94=9),"-1",IF(OR(L94=10,L94=11),"0",IF(OR(L94=12,L94=13),"+1",IF(OR(L94=14,L94=15),"+2",IF(OR(L94=16,L94=17),"+3",IF(OR(L94=18,L94=19),"+4",IF(OR(L94=20,L94=21),"+5",IF(OR(L94=22,L94=23),"+6",IF(OR(L94=24,L94=25),"+7",IF(OR(L94=26,L94=27),"+8",IF(OR(L94=28,L94=29),"+9",IF(L94=30,"+10"," "))))))))))))))))</f>
        <v>+2</v>
      </c>
      <c r="N94" s="3" t="n">
        <v>12</v>
      </c>
      <c r="O94" s="1" t="str">
        <f aca="false">IF(N94=1,"-5",IF(OR(N94=2,N94=3),"-4",IF(OR(N94=4,N94=5),"-3",IF(OR(N94=6,N94=7),"-2",IF(OR(N94=8,N94=9),"-1",IF(OR(N94=10,N94=11),"0",IF(OR(N94=12,N94=13),"+1",IF(OR(N94=14,N94=15),"+2",IF(OR(N94=16,N94=17),"+3",IF(OR(N94=18,N94=19),"+4",IF(OR(N94=20,N94=21),"+5",IF(OR(N94=22,N94=23),"+6",IF(OR(N94=24,N94=25),"+7",IF(OR(N94=26,N94=27),"+8",IF(OR(N94=28,N94=29),"+9",IF(N94=30,"+10"," "))))))))))))))))</f>
        <v>+1</v>
      </c>
      <c r="P94" s="3" t="n">
        <v>8</v>
      </c>
      <c r="Q94" s="1" t="str">
        <f aca="false">IF(P94=1,"-5",IF(OR(P94=2,P94=3),"-4",IF(OR(P94=4,P94=5),"-3",IF(OR(P94=6,P94=7),"-2",IF(OR(P94=8,P94=9),"-1",IF(OR(P94=10,P94=11),"0",IF(OR(P94=12,P94=13),"+1",IF(OR(P94=14,P94=15),"+2",IF(OR(P94=16,P94=17),"+3",IF(OR(P94=18,P94=19),"+4",IF(OR(P94=20,P94=21),"+5",IF(OR(P94=22,P94=23),"+6",IF(OR(P94=24,P94=25),"+7",IF(OR(P94=26,P94=27),"+8",IF(OR(P94=28,P94=29),"+9",IF(P94=30,"+10"," "))))))))))))))))</f>
        <v>-1</v>
      </c>
      <c r="R94" s="3" t="n">
        <v>13</v>
      </c>
      <c r="S94" s="1" t="str">
        <f aca="false">IF(R94=1,"-5",IF(OR(R94=2,R94=3),"-4",IF(OR(R94=4,R94=5),"-3",IF(OR(R94=6,R94=7),"-2",IF(OR(R94=8,R94=9),"-1",IF(OR(R94=10,R94=11),"0",IF(OR(R94=12,R94=13),"+1",IF(OR(R94=14,R94=15),"+2",IF(OR(R94=16,R94=17),"+3",IF(OR(R94=18,R94=19),"+4",IF(OR(R94=20,R94=21),"+5",IF(OR(R94=22,R94=23),"+6",IF(OR(R94=24,R94=25),"+7",IF(OR(R94=26,R94=27),"+8",IF(OR(R94=28,R94=29),"+9",IF(R94=30,"+10"," "))))))))))))))))</f>
        <v>+1</v>
      </c>
      <c r="T94" s="3" t="n">
        <v>10</v>
      </c>
      <c r="U94" s="1" t="str">
        <f aca="false">IF(T94=1,"-5",IF(OR(T94=2,T94=3),"-4",IF(OR(T94=4,T94=5),"-3",IF(OR(T94=6,T94=7),"-2",IF(OR(T94=8,T94=9),"-1",IF(OR(T94=10,T94=11),"0",IF(OR(T94=12,T94=13),"+1",IF(OR(T94=14,T94=15),"+2",IF(OR(T94=16,T94=17),"+3",IF(OR(T94=18,T94=19),"+4",IF(OR(T94=20,T94=21),"+5",IF(OR(T94=22,T94=23),"+6",IF(OR(T94=24,T94=25),"+7",IF(OR(T94=26,T94=27),"+8",IF(OR(T94=28,T94=29),"+9",IF(T94=30,"+10"," "))))))))))))))))</f>
        <v>0</v>
      </c>
      <c r="V94" s="3" t="s">
        <v>498</v>
      </c>
      <c r="W94" s="3" t="s">
        <v>529</v>
      </c>
      <c r="X94" s="11" t="s">
        <v>530</v>
      </c>
      <c r="Y94" s="11" t="s">
        <v>531</v>
      </c>
      <c r="Z94" s="11" t="s">
        <v>37</v>
      </c>
      <c r="AA94" s="12" t="s">
        <v>37</v>
      </c>
    </row>
    <row r="95" customFormat="false" ht="16.4" hidden="false" customHeight="false" outlineLevel="0" collapsed="false">
      <c r="A95" s="15" t="s">
        <v>532</v>
      </c>
      <c r="B95" s="3" t="s">
        <v>48</v>
      </c>
      <c r="C95" s="3" t="s">
        <v>222</v>
      </c>
      <c r="D95" s="16" t="n">
        <v>4</v>
      </c>
      <c r="E95" s="6" t="n">
        <f aca="false">VLOOKUP(D95,'[1]REF Tables'!$A$2:$B$40,2)</f>
        <v>1100</v>
      </c>
      <c r="F95" s="3" t="s">
        <v>50</v>
      </c>
      <c r="G95" s="3" t="n">
        <v>16</v>
      </c>
      <c r="H95" s="3" t="s">
        <v>533</v>
      </c>
      <c r="I95" s="3" t="s">
        <v>534</v>
      </c>
      <c r="J95" s="3" t="n">
        <v>19</v>
      </c>
      <c r="K95" s="1" t="str">
        <f aca="false">IF(J95=1,"-5",IF(OR(J95=2,J95=3),"-4",IF(OR(J95=4,J95=5),"-3",IF(OR(J95=6,J95=7),"-2",IF(OR(J95=8,J95=9),"-1",IF(OR(J95=10,J95=11),"0",IF(OR(J95=12,J95=13),"+1",IF(OR(J95=14,J95=15),"+2",IF(OR(J95=16,J95=17),"+3",IF(OR(J95=18,J95=19),"+4",IF(OR(J95=20,J95=21),"+5",IF(OR(J95=22,J95=23),"+6",IF(OR(J95=24,J95=25),"+7",IF(OR(J95=26,J95=27),"+8",IF(OR(J95=28,J95=29),"+9",IF(J95=30,"+10"," "))))))))))))))))</f>
        <v>+4</v>
      </c>
      <c r="L95" s="3" t="n">
        <v>10</v>
      </c>
      <c r="M95" s="1" t="str">
        <f aca="false">IF(L95=1,"-5",IF(OR(L95=2,L95=3),"-4",IF(OR(L95=4,L95=5),"-3",IF(OR(L95=6,L95=7),"-2",IF(OR(L95=8,L95=9),"-1",IF(OR(L95=10,L95=11),"0",IF(OR(L95=12,L95=13),"+1",IF(OR(L95=14,L95=15),"+2",IF(OR(L95=16,L95=17),"+3",IF(OR(L95=18,L95=19),"+4",IF(OR(L95=20,L95=21),"+5",IF(OR(L95=22,L95=23),"+6",IF(OR(L95=24,L95=25),"+7",IF(OR(L95=26,L95=27),"+8",IF(OR(L95=28,L95=29),"+9",IF(L95=30,"+10"," "))))))))))))))))</f>
        <v>0</v>
      </c>
      <c r="N95" s="3" t="n">
        <v>16</v>
      </c>
      <c r="O95" s="1" t="str">
        <f aca="false">IF(N95=1,"-5",IF(OR(N95=2,N95=3),"-4",IF(OR(N95=4,N95=5),"-3",IF(OR(N95=6,N95=7),"-2",IF(OR(N95=8,N95=9),"-1",IF(OR(N95=10,N95=11),"0",IF(OR(N95=12,N95=13),"+1",IF(OR(N95=14,N95=15),"+2",IF(OR(N95=16,N95=17),"+3",IF(OR(N95=18,N95=19),"+4",IF(OR(N95=20,N95=21),"+5",IF(OR(N95=22,N95=23),"+6",IF(OR(N95=24,N95=25),"+7",IF(OR(N95=26,N95=27),"+8",IF(OR(N95=28,N95=29),"+9",IF(N95=30,"+10"," "))))))))))))))))</f>
        <v>+3</v>
      </c>
      <c r="P95" s="3" t="n">
        <v>5</v>
      </c>
      <c r="Q95" s="1" t="str">
        <f aca="false">IF(P95=1,"-5",IF(OR(P95=2,P95=3),"-4",IF(OR(P95=4,P95=5),"-3",IF(OR(P95=6,P95=7),"-2",IF(OR(P95=8,P95=9),"-1",IF(OR(P95=10,P95=11),"0",IF(OR(P95=12,P95=13),"+1",IF(OR(P95=14,P95=15),"+2",IF(OR(P95=16,P95=17),"+3",IF(OR(P95=18,P95=19),"+4",IF(OR(P95=20,P95=21),"+5",IF(OR(P95=22,P95=23),"+6",IF(OR(P95=24,P95=25),"+7",IF(OR(P95=26,P95=27),"+8",IF(OR(P95=28,P95=29),"+9",IF(P95=30,"+10"," "))))))))))))))))</f>
        <v>-3</v>
      </c>
      <c r="R95" s="3" t="n">
        <v>11</v>
      </c>
      <c r="S95" s="1" t="str">
        <f aca="false">IF(R95=1,"-5",IF(OR(R95=2,R95=3),"-4",IF(OR(R95=4,R95=5),"-3",IF(OR(R95=6,R95=7),"-2",IF(OR(R95=8,R95=9),"-1",IF(OR(R95=10,R95=11),"0",IF(OR(R95=12,R95=13),"+1",IF(OR(R95=14,R95=15),"+2",IF(OR(R95=16,R95=17),"+3",IF(OR(R95=18,R95=19),"+4",IF(OR(R95=20,R95=21),"+5",IF(OR(R95=22,R95=23),"+6",IF(OR(R95=24,R95=25),"+7",IF(OR(R95=26,R95=27),"+8",IF(OR(R95=28,R95=29),"+9",IF(R95=30,"+10"," "))))))))))))))))</f>
        <v>0</v>
      </c>
      <c r="T95" s="3" t="n">
        <v>5</v>
      </c>
      <c r="U95" s="1" t="str">
        <f aca="false">IF(T95=1,"-5",IF(OR(T95=2,T95=3),"-4",IF(OR(T95=4,T95=5),"-3",IF(OR(T95=6,T95=7),"-2",IF(OR(T95=8,T95=9),"-1",IF(OR(T95=10,T95=11),"0",IF(OR(T95=12,T95=13),"+1",IF(OR(T95=14,T95=15),"+2",IF(OR(T95=16,T95=17),"+3",IF(OR(T95=18,T95=19),"+4",IF(OR(T95=20,T95=21),"+5",IF(OR(T95=22,T95=23),"+6",IF(OR(T95=24,T95=25),"+7",IF(OR(T95=26,T95=27),"+8",IF(OR(T95=28,T95=29),"+9",IF(T95=30,"+10"," "))))))))))))))))</f>
        <v>-3</v>
      </c>
      <c r="V95" s="3" t="s">
        <v>72</v>
      </c>
      <c r="W95" s="3" t="s">
        <v>535</v>
      </c>
      <c r="X95" s="11" t="s">
        <v>536</v>
      </c>
      <c r="Y95" s="11" t="s">
        <v>537</v>
      </c>
      <c r="Z95" s="11" t="s">
        <v>37</v>
      </c>
      <c r="AA95" s="12" t="s">
        <v>37</v>
      </c>
    </row>
    <row r="96" customFormat="false" ht="16.4" hidden="false" customHeight="false" outlineLevel="0" collapsed="false">
      <c r="A96" s="14" t="s">
        <v>538</v>
      </c>
      <c r="B96" s="1" t="s">
        <v>105</v>
      </c>
      <c r="C96" s="1" t="s">
        <v>37</v>
      </c>
      <c r="D96" s="5" t="n">
        <v>0.5</v>
      </c>
      <c r="E96" s="3" t="n">
        <f aca="false">VLOOKUP(D96,'[1]REF Tables'!$A$2:$B$40,2)</f>
        <v>100</v>
      </c>
      <c r="F96" s="1" t="s">
        <v>165</v>
      </c>
      <c r="G96" s="1" t="n">
        <v>11</v>
      </c>
      <c r="H96" s="1" t="s">
        <v>539</v>
      </c>
      <c r="I96" s="3" t="s">
        <v>540</v>
      </c>
      <c r="J96" s="1" t="n">
        <v>6</v>
      </c>
      <c r="K96" s="1" t="str">
        <f aca="false">IF(J96=1,"-5",IF(OR(J96=2,J96=3),"-4",IF(OR(J96=4,J96=5),"-3",IF(OR(J96=6,J96=7),"-2",IF(OR(J96=8,J96=9),"-1",IF(OR(J96=10,J96=11),"0",IF(OR(J96=12,J96=13),"+1",IF(OR(J96=14,J96=15),"+2",IF(OR(J96=16,J96=17),"+3",IF(OR(J96=18,J96=19),"+4",IF(OR(J96=20,J96=21),"+5",IF(OR(J96=22,J96=23),"+6",IF(OR(J96=24,J96=25),"+7",IF(OR(J96=26,J96=27),"+8",IF(OR(J96=28,J96=29),"+9",IF(J96=30,"+10"," "))))))))))))))))</f>
        <v>-2</v>
      </c>
      <c r="L96" s="1" t="n">
        <v>12</v>
      </c>
      <c r="M96" s="1" t="str">
        <f aca="false">IF(L96=1,"-5",IF(OR(L96=2,L96=3),"-4",IF(OR(L96=4,L96=5),"-3",IF(OR(L96=6,L96=7),"-2",IF(OR(L96=8,L96=9),"-1",IF(OR(L96=10,L96=11),"0",IF(OR(L96=12,L96=13),"+1",IF(OR(L96=14,L96=15),"+2",IF(OR(L96=16,L96=17),"+3",IF(OR(L96=18,L96=19),"+4",IF(OR(L96=20,L96=21),"+5",IF(OR(L96=22,L96=23),"+6",IF(OR(L96=24,L96=25),"+7",IF(OR(L96=26,L96=27),"+8",IF(OR(L96=28,L96=29),"+9",IF(L96=30,"+10"," "))))))))))))))))</f>
        <v>+1</v>
      </c>
      <c r="N96" s="1" t="n">
        <v>12</v>
      </c>
      <c r="O96" s="1" t="str">
        <f aca="false">IF(N96=1,"-5",IF(OR(N96=2,N96=3),"-4",IF(OR(N96=4,N96=5),"-3",IF(OR(N96=6,N96=7),"-2",IF(OR(N96=8,N96=9),"-1",IF(OR(N96=10,N96=11),"0",IF(OR(N96=12,N96=13),"+1",IF(OR(N96=14,N96=15),"+2",IF(OR(N96=16,N96=17),"+3",IF(OR(N96=18,N96=19),"+4",IF(OR(N96=20,N96=21),"+5",IF(OR(N96=22,N96=23),"+6",IF(OR(N96=24,N96=25),"+7",IF(OR(N96=26,N96=27),"+8",IF(OR(N96=28,N96=29),"+9",IF(N96=30,"+10"," "))))))))))))))))</f>
        <v>+1</v>
      </c>
      <c r="P96" s="1" t="n">
        <v>2</v>
      </c>
      <c r="Q96" s="1" t="str">
        <f aca="false">IF(P96=1,"-5",IF(OR(P96=2,P96=3),"-4",IF(OR(P96=4,P96=5),"-3",IF(OR(P96=6,P96=7),"-2",IF(OR(P96=8,P96=9),"-1",IF(OR(P96=10,P96=11),"0",IF(OR(P96=12,P96=13),"+1",IF(OR(P96=14,P96=15),"+2",IF(OR(P96=16,P96=17),"+3",IF(OR(P96=18,P96=19),"+4",IF(OR(P96=20,P96=21),"+5",IF(OR(P96=22,P96=23),"+6",IF(OR(P96=24,P96=25),"+7",IF(OR(P96=26,P96=27),"+8",IF(OR(P96=28,P96=29),"+9",IF(P96=30,"+10"," "))))))))))))))))</f>
        <v>-4</v>
      </c>
      <c r="R96" s="1" t="n">
        <v>13</v>
      </c>
      <c r="S96" s="1" t="str">
        <f aca="false">IF(R96=1,"-5",IF(OR(R96=2,R96=3),"-4",IF(OR(R96=4,R96=5),"-3",IF(OR(R96=6,R96=7),"-2",IF(OR(R96=8,R96=9),"-1",IF(OR(R96=10,R96=11),"0",IF(OR(R96=12,R96=13),"+1",IF(OR(R96=14,R96=15),"+2",IF(OR(R96=16,R96=17),"+3",IF(OR(R96=18,R96=19),"+4",IF(OR(R96=20,R96=21),"+5",IF(OR(R96=22,R96=23),"+6",IF(OR(R96=24,R96=25),"+7",IF(OR(R96=26,R96=27),"+8",IF(OR(R96=28,R96=29),"+9",IF(R96=30,"+10"," "))))))))))))))))</f>
        <v>+1</v>
      </c>
      <c r="T96" s="1" t="n">
        <v>5</v>
      </c>
      <c r="U96" s="1" t="str">
        <f aca="false">IF(T96=1,"-5",IF(OR(T96=2,T96=3),"-4",IF(OR(T96=4,T96=5),"-3",IF(OR(T96=6,T96=7),"-2",IF(OR(T96=8,T96=9),"-1",IF(OR(T96=10,T96=11),"0",IF(OR(T96=12,T96=13),"+1",IF(OR(T96=14,T96=15),"+2",IF(OR(T96=16,T96=17),"+3",IF(OR(T96=18,T96=19),"+4",IF(OR(T96=20,T96=21),"+5",IF(OR(T96=22,T96=23),"+6",IF(OR(T96=24,T96=25),"+7",IF(OR(T96=26,T96=27),"+8",IF(OR(T96=28,T96=29),"+9",IF(T96=30,"+10"," "))))))))))))))))</f>
        <v>-3</v>
      </c>
      <c r="V96" s="1" t="s">
        <v>37</v>
      </c>
      <c r="W96" s="1" t="s">
        <v>37</v>
      </c>
      <c r="X96" s="2" t="s">
        <v>541</v>
      </c>
      <c r="Y96" s="2" t="s">
        <v>542</v>
      </c>
      <c r="Z96" s="2" t="s">
        <v>37</v>
      </c>
      <c r="AA96" s="1" t="s">
        <v>37</v>
      </c>
    </row>
    <row r="97" customFormat="false" ht="16.4" hidden="false" customHeight="false" outlineLevel="0" collapsed="false">
      <c r="A97" s="15" t="s">
        <v>543</v>
      </c>
      <c r="B97" s="3" t="s">
        <v>59</v>
      </c>
      <c r="C97" s="3" t="s">
        <v>37</v>
      </c>
      <c r="D97" s="16" t="n">
        <v>0</v>
      </c>
      <c r="E97" s="3" t="n">
        <f aca="false">VLOOKUP(D97,'[1]REF Tables'!$A$2:$B$40,2)</f>
        <v>10</v>
      </c>
      <c r="F97" s="3" t="s">
        <v>315</v>
      </c>
      <c r="G97" s="3" t="n">
        <v>12</v>
      </c>
      <c r="H97" s="3" t="s">
        <v>316</v>
      </c>
      <c r="I97" s="3" t="s">
        <v>544</v>
      </c>
      <c r="J97" s="3" t="n">
        <v>2</v>
      </c>
      <c r="K97" s="1" t="str">
        <f aca="false">IF(J97=1,"-5",IF(OR(J97=2,J97=3),"-4",IF(OR(J97=4,J97=5),"-3",IF(OR(J97=6,J97=7),"-2",IF(OR(J97=8,J97=9),"-1",IF(OR(J97=10,J97=11),"0",IF(OR(J97=12,J97=13),"+1",IF(OR(J97=14,J97=15),"+2",IF(OR(J97=16,J97=17),"+3",IF(OR(J97=18,J97=19),"+4",IF(OR(J97=20,J97=21),"+5",IF(OR(J97=22,J97=23),"+6",IF(OR(J97=24,J97=25),"+7",IF(OR(J97=26,J97=27),"+8",IF(OR(J97=28,J97=29),"+9",IF(J97=30,"+10"," "))))))))))))))))</f>
        <v>-4</v>
      </c>
      <c r="L97" s="3" t="n">
        <v>14</v>
      </c>
      <c r="M97" s="1" t="str">
        <f aca="false">IF(L97=1,"-5",IF(OR(L97=2,L97=3),"-4",IF(OR(L97=4,L97=5),"-3",IF(OR(L97=6,L97=7),"-2",IF(OR(L97=8,L97=9),"-1",IF(OR(L97=10,L97=11),"0",IF(OR(L97=12,L97=13),"+1",IF(OR(L97=14,L97=15),"+2",IF(OR(L97=16,L97=17),"+3",IF(OR(L97=18,L97=19),"+4",IF(OR(L97=20,L97=21),"+5",IF(OR(L97=22,L97=23),"+6",IF(OR(L97=24,L97=25),"+7",IF(OR(L97=26,L97=27),"+8",IF(OR(L97=28,L97=29),"+9",IF(L97=30,"+10"," "))))))))))))))))</f>
        <v>+2</v>
      </c>
      <c r="N97" s="3" t="n">
        <v>8</v>
      </c>
      <c r="O97" s="1" t="str">
        <f aca="false">IF(N97=1,"-5",IF(OR(N97=2,N97=3),"-4",IF(OR(N97=4,N97=5),"-3",IF(OR(N97=6,N97=7),"-2",IF(OR(N97=8,N97=9),"-1",IF(OR(N97=10,N97=11),"0",IF(OR(N97=12,N97=13),"+1",IF(OR(N97=14,N97=15),"+2",IF(OR(N97=16,N97=17),"+3",IF(OR(N97=18,N97=19),"+4",IF(OR(N97=20,N97=21),"+5",IF(OR(N97=22,N97=23),"+6",IF(OR(N97=24,N97=25),"+7",IF(OR(N97=26,N97=27),"+8",IF(OR(N97=28,N97=29),"+9",IF(N97=30,"+10"," "))))))))))))))))</f>
        <v>-1</v>
      </c>
      <c r="P97" s="3" t="n">
        <v>2</v>
      </c>
      <c r="Q97" s="1" t="str">
        <f aca="false">IF(P97=1,"-5",IF(OR(P97=2,P97=3),"-4",IF(OR(P97=4,P97=5),"-3",IF(OR(P97=6,P97=7),"-2",IF(OR(P97=8,P97=9),"-1",IF(OR(P97=10,P97=11),"0",IF(OR(P97=12,P97=13),"+1",IF(OR(P97=14,P97=15),"+2",IF(OR(P97=16,P97=17),"+3",IF(OR(P97=18,P97=19),"+4",IF(OR(P97=20,P97=21),"+5",IF(OR(P97=22,P97=23),"+6",IF(OR(P97=24,P97=25),"+7",IF(OR(P97=26,P97=27),"+8",IF(OR(P97=28,P97=29),"+9",IF(P97=30,"+10"," "))))))))))))))))</f>
        <v>-4</v>
      </c>
      <c r="R97" s="3" t="n">
        <v>12</v>
      </c>
      <c r="S97" s="1" t="str">
        <f aca="false">IF(R97=1,"-5",IF(OR(R97=2,R97=3),"-4",IF(OR(R97=4,R97=5),"-3",IF(OR(R97=6,R97=7),"-2",IF(OR(R97=8,R97=9),"-1",IF(OR(R97=10,R97=11),"0",IF(OR(R97=12,R97=13),"+1",IF(OR(R97=14,R97=15),"+2",IF(OR(R97=16,R97=17),"+3",IF(OR(R97=18,R97=19),"+4",IF(OR(R97=20,R97=21),"+5",IF(OR(R97=22,R97=23),"+6",IF(OR(R97=24,R97=25),"+7",IF(OR(R97=26,R97=27),"+8",IF(OR(R97=28,R97=29),"+9",IF(R97=30,"+10"," "))))))))))))))))</f>
        <v>+1</v>
      </c>
      <c r="T97" s="3" t="n">
        <v>6</v>
      </c>
      <c r="U97" s="1" t="str">
        <f aca="false">IF(T97=1,"-5",IF(OR(T97=2,T97=3),"-4",IF(OR(T97=4,T97=5),"-3",IF(OR(T97=6,T97=7),"-2",IF(OR(T97=8,T97=9),"-1",IF(OR(T97=10,T97=11),"0",IF(OR(T97=12,T97=13),"+1",IF(OR(T97=14,T97=15),"+2",IF(OR(T97=16,T97=17),"+3",IF(OR(T97=18,T97=19),"+4",IF(OR(T97=20,T97=21),"+5",IF(OR(T97=22,T97=23),"+6",IF(OR(T97=24,T97=25),"+7",IF(OR(T97=26,T97=27),"+8",IF(OR(T97=28,T97=29),"+9",IF(T97=30,"+10"," "))))))))))))))))</f>
        <v>-2</v>
      </c>
      <c r="V97" s="3" t="s">
        <v>416</v>
      </c>
      <c r="W97" s="3" t="s">
        <v>37</v>
      </c>
      <c r="X97" s="3" t="s">
        <v>545</v>
      </c>
      <c r="Y97" s="11" t="s">
        <v>546</v>
      </c>
      <c r="Z97" s="11" t="s">
        <v>37</v>
      </c>
      <c r="AA97" s="12" t="s">
        <v>37</v>
      </c>
    </row>
    <row r="98" customFormat="false" ht="16.4" hidden="false" customHeight="false" outlineLevel="0" collapsed="false">
      <c r="A98" s="15" t="s">
        <v>547</v>
      </c>
      <c r="B98" s="3" t="s">
        <v>548</v>
      </c>
      <c r="C98" s="3" t="s">
        <v>502</v>
      </c>
      <c r="D98" s="16" t="n">
        <v>4</v>
      </c>
      <c r="E98" s="6" t="n">
        <f aca="false">VLOOKUP(D98,'[1]REF Tables'!$A$2:$B$40,2)</f>
        <v>1100</v>
      </c>
      <c r="F98" s="3" t="s">
        <v>30</v>
      </c>
      <c r="G98" s="3" t="n">
        <v>19</v>
      </c>
      <c r="H98" s="3" t="s">
        <v>549</v>
      </c>
      <c r="I98" s="3" t="s">
        <v>550</v>
      </c>
      <c r="J98" s="3" t="n">
        <v>16</v>
      </c>
      <c r="K98" s="1" t="str">
        <f aca="false">IF(J98=1,"-5",IF(OR(J98=2,J98=3),"-4",IF(OR(J98=4,J98=5),"-3",IF(OR(J98=6,J98=7),"-2",IF(OR(J98=8,J98=9),"-1",IF(OR(J98=10,J98=11),"0",IF(OR(J98=12,J98=13),"+1",IF(OR(J98=14,J98=15),"+2",IF(OR(J98=16,J98=17),"+3",IF(OR(J98=18,J98=19),"+4",IF(OR(J98=20,J98=21),"+5",IF(OR(J98=22,J98=23),"+6",IF(OR(J98=24,J98=25),"+7",IF(OR(J98=26,J98=27),"+8",IF(OR(J98=28,J98=29),"+9",IF(J98=30,"+10"," "))))))))))))))))</f>
        <v>+3</v>
      </c>
      <c r="L98" s="3" t="n">
        <v>20</v>
      </c>
      <c r="M98" s="1" t="str">
        <f aca="false">IF(L98=1,"-5",IF(OR(L98=2,L98=3),"-4",IF(OR(L98=4,L98=5),"-3",IF(OR(L98=6,L98=7),"-2",IF(OR(L98=8,L98=9),"-1",IF(OR(L98=10,L98=11),"0",IF(OR(L98=12,L98=13),"+1",IF(OR(L98=14,L98=15),"+2",IF(OR(L98=16,L98=17),"+3",IF(OR(L98=18,L98=19),"+4",IF(OR(L98=20,L98=21),"+5",IF(OR(L98=22,L98=23),"+6",IF(OR(L98=24,L98=25),"+7",IF(OR(L98=26,L98=27),"+8",IF(OR(L98=28,L98=29),"+9",IF(L98=30,"+10"," "))))))))))))))))</f>
        <v>+5</v>
      </c>
      <c r="N98" s="3" t="n">
        <v>17</v>
      </c>
      <c r="O98" s="1" t="str">
        <f aca="false">IF(N98=1,"-5",IF(OR(N98=2,N98=3),"-4",IF(OR(N98=4,N98=5),"-3",IF(OR(N98=6,N98=7),"-2",IF(OR(N98=8,N98=9),"-1",IF(OR(N98=10,N98=11),"0",IF(OR(N98=12,N98=13),"+1",IF(OR(N98=14,N98=15),"+2",IF(OR(N98=16,N98=17),"+3",IF(OR(N98=18,N98=19),"+4",IF(OR(N98=20,N98=21),"+5",IF(OR(N98=22,N98=23),"+6",IF(OR(N98=24,N98=25),"+7",IF(OR(N98=26,N98=27),"+8",IF(OR(N98=28,N98=29),"+9",IF(N98=30,"+10"," "))))))))))))))))</f>
        <v>+3</v>
      </c>
      <c r="P98" s="3" t="n">
        <v>18</v>
      </c>
      <c r="Q98" s="1" t="str">
        <f aca="false">IF(P98=1,"-5",IF(OR(P98=2,P98=3),"-4",IF(OR(P98=4,P98=5),"-3",IF(OR(P98=6,P98=7),"-2",IF(OR(P98=8,P98=9),"-1",IF(OR(P98=10,P98=11),"0",IF(OR(P98=12,P98=13),"+1",IF(OR(P98=14,P98=15),"+2",IF(OR(P98=16,P98=17),"+3",IF(OR(P98=18,P98=19),"+4",IF(OR(P98=20,P98=21),"+5",IF(OR(P98=22,P98=23),"+6",IF(OR(P98=24,P98=25),"+7",IF(OR(P98=26,P98=27),"+8",IF(OR(P98=28,P98=29),"+9",IF(P98=30,"+10"," "))))))))))))))))</f>
        <v>+4</v>
      </c>
      <c r="R98" s="3" t="n">
        <v>20</v>
      </c>
      <c r="S98" s="1" t="str">
        <f aca="false">IF(R98=1,"-5",IF(OR(R98=2,R98=3),"-4",IF(OR(R98=4,R98=5),"-3",IF(OR(R98=6,R98=7),"-2",IF(OR(R98=8,R98=9),"-1",IF(OR(R98=10,R98=11),"0",IF(OR(R98=12,R98=13),"+1",IF(OR(R98=14,R98=15),"+2",IF(OR(R98=16,R98=17),"+3",IF(OR(R98=18,R98=19),"+4",IF(OR(R98=20,R98=21),"+5",IF(OR(R98=22,R98=23),"+6",IF(OR(R98=24,R98=25),"+7",IF(OR(R98=26,R98=27),"+8",IF(OR(R98=28,R98=29),"+9",IF(R98=30,"+10"," "))))))))))))))))</f>
        <v>+5</v>
      </c>
      <c r="T98" s="3" t="n">
        <v>18</v>
      </c>
      <c r="U98" s="1" t="str">
        <f aca="false">IF(T98=1,"-5",IF(OR(T98=2,T98=3),"-4",IF(OR(T98=4,T98=5),"-3",IF(OR(T98=6,T98=7),"-2",IF(OR(T98=8,T98=9),"-1",IF(OR(T98=10,T98=11),"0",IF(OR(T98=12,T98=13),"+1",IF(OR(T98=14,T98=15),"+2",IF(OR(T98=16,T98=17),"+3",IF(OR(T98=18,T98=19),"+4",IF(OR(T98=20,T98=21),"+5",IF(OR(T98=22,T98=23),"+6",IF(OR(T98=24,T98=25),"+7",IF(OR(T98=26,T98=27),"+8",IF(OR(T98=28,T98=29),"+9",IF(T98=30,"+10"," "))))))))))))))))</f>
        <v>+4</v>
      </c>
      <c r="V98" s="3" t="s">
        <v>551</v>
      </c>
      <c r="W98" s="3" t="s">
        <v>174</v>
      </c>
      <c r="X98" s="11" t="s">
        <v>552</v>
      </c>
      <c r="Y98" s="11" t="s">
        <v>553</v>
      </c>
      <c r="Z98" s="11" t="s">
        <v>37</v>
      </c>
      <c r="AA98" s="12" t="s">
        <v>37</v>
      </c>
    </row>
    <row r="99" customFormat="false" ht="16.4" hidden="false" customHeight="false" outlineLevel="0" collapsed="false">
      <c r="A99" s="15" t="s">
        <v>554</v>
      </c>
      <c r="B99" s="3" t="s">
        <v>59</v>
      </c>
      <c r="C99" s="3" t="s">
        <v>37</v>
      </c>
      <c r="D99" s="16" t="n">
        <v>0</v>
      </c>
      <c r="E99" s="3" t="n">
        <f aca="false">VLOOKUP(D99,'[1]REF Tables'!$A$2:$B$40,2)</f>
        <v>10</v>
      </c>
      <c r="F99" s="3" t="s">
        <v>315</v>
      </c>
      <c r="G99" s="3" t="n">
        <v>11</v>
      </c>
      <c r="H99" s="3" t="s">
        <v>438</v>
      </c>
      <c r="I99" s="3" t="s">
        <v>555</v>
      </c>
      <c r="J99" s="3" t="n">
        <v>2</v>
      </c>
      <c r="K99" s="1" t="str">
        <f aca="false">IF(J99=1,"-5",IF(OR(J99=2,J99=3),"-4",IF(OR(J99=4,J99=5),"-3",IF(OR(J99=6,J99=7),"-2",IF(OR(J99=8,J99=9),"-1",IF(OR(J99=10,J99=11),"0",IF(OR(J99=12,J99=13),"+1",IF(OR(J99=14,J99=15),"+2",IF(OR(J99=16,J99=17),"+3",IF(OR(J99=18,J99=19),"+4",IF(OR(J99=20,J99=21),"+5",IF(OR(J99=22,J99=23),"+6",IF(OR(J99=24,J99=25),"+7",IF(OR(J99=26,J99=27),"+8",IF(OR(J99=28,J99=29),"+9",IF(J99=30,"+10"," "))))))))))))))))</f>
        <v>-4</v>
      </c>
      <c r="L99" s="3" t="n">
        <v>11</v>
      </c>
      <c r="M99" s="1" t="str">
        <f aca="false">IF(L99=1,"-5",IF(OR(L99=2,L99=3),"-4",IF(OR(L99=4,L99=5),"-3",IF(OR(L99=6,L99=7),"-2",IF(OR(L99=8,L99=9),"-1",IF(OR(L99=10,L99=11),"0",IF(OR(L99=12,L99=13),"+1",IF(OR(L99=14,L99=15),"+2",IF(OR(L99=16,L99=17),"+3",IF(OR(L99=18,L99=19),"+4",IF(OR(L99=20,L99=21),"+5",IF(OR(L99=22,L99=23),"+6",IF(OR(L99=24,L99=25),"+7",IF(OR(L99=26,L99=27),"+8",IF(OR(L99=28,L99=29),"+9",IF(L99=30,"+10"," "))))))))))))))))</f>
        <v>0</v>
      </c>
      <c r="N99" s="3" t="n">
        <v>10</v>
      </c>
      <c r="O99" s="1" t="str">
        <f aca="false">IF(N99=1,"-5",IF(OR(N99=2,N99=3),"-4",IF(OR(N99=4,N99=5),"-3",IF(OR(N99=6,N99=7),"-2",IF(OR(N99=8,N99=9),"-1",IF(OR(N99=10,N99=11),"0",IF(OR(N99=12,N99=13),"+1",IF(OR(N99=14,N99=15),"+2",IF(OR(N99=16,N99=17),"+3",IF(OR(N99=18,N99=19),"+4",IF(OR(N99=20,N99=21),"+5",IF(OR(N99=22,N99=23),"+6",IF(OR(N99=24,N99=25),"+7",IF(OR(N99=26,N99=27),"+8",IF(OR(N99=28,N99=29),"+9",IF(N99=30,"+10"," "))))))))))))))))</f>
        <v>0</v>
      </c>
      <c r="P99" s="3" t="n">
        <v>1</v>
      </c>
      <c r="Q99" s="1" t="str">
        <f aca="false">IF(P99=1,"-5",IF(OR(P99=2,P99=3),"-4",IF(OR(P99=4,P99=5),"-3",IF(OR(P99=6,P99=7),"-2",IF(OR(P99=8,P99=9),"-1",IF(OR(P99=10,P99=11),"0",IF(OR(P99=12,P99=13),"+1",IF(OR(P99=14,P99=15),"+2",IF(OR(P99=16,P99=17),"+3",IF(OR(P99=18,P99=19),"+4",IF(OR(P99=20,P99=21),"+5",IF(OR(P99=22,P99=23),"+6",IF(OR(P99=24,P99=25),"+7",IF(OR(P99=26,P99=27),"+8",IF(OR(P99=28,P99=29),"+9",IF(P99=30,"+10"," "))))))))))))))))</f>
        <v>-5</v>
      </c>
      <c r="R99" s="3" t="n">
        <v>8</v>
      </c>
      <c r="S99" s="1" t="str">
        <f aca="false">IF(R99=1,"-5",IF(OR(R99=2,R99=3),"-4",IF(OR(R99=4,R99=5),"-3",IF(OR(R99=6,R99=7),"-2",IF(OR(R99=8,R99=9),"-1",IF(OR(R99=10,R99=11),"0",IF(OR(R99=12,R99=13),"+1",IF(OR(R99=14,R99=15),"+2",IF(OR(R99=16,R99=17),"+3",IF(OR(R99=18,R99=19),"+4",IF(OR(R99=20,R99=21),"+5",IF(OR(R99=22,R99=23),"+6",IF(OR(R99=24,R99=25),"+7",IF(OR(R99=26,R99=27),"+8",IF(OR(R99=28,R99=29),"+9",IF(R99=30,"+10"," "))))))))))))))))</f>
        <v>-1</v>
      </c>
      <c r="T99" s="3" t="n">
        <v>2</v>
      </c>
      <c r="U99" s="1" t="str">
        <f aca="false">IF(T99=1,"-5",IF(OR(T99=2,T99=3),"-4",IF(OR(T99=4,T99=5),"-3",IF(OR(T99=6,T99=7),"-2",IF(OR(T99=8,T99=9),"-1",IF(OR(T99=10,T99=11),"0",IF(OR(T99=12,T99=13),"+1",IF(OR(T99=14,T99=15),"+2",IF(OR(T99=16,T99=17),"+3",IF(OR(T99=18,T99=19),"+4",IF(OR(T99=20,T99=21),"+5",IF(OR(T99=22,T99=23),"+6",IF(OR(T99=24,T99=25),"+7",IF(OR(T99=26,T99=27),"+8",IF(OR(T99=28,T99=29),"+9",IF(T99=30,"+10"," "))))))))))))))))</f>
        <v>-4</v>
      </c>
      <c r="V99" s="3" t="s">
        <v>556</v>
      </c>
      <c r="W99" s="3" t="s">
        <v>37</v>
      </c>
      <c r="X99" s="11" t="s">
        <v>557</v>
      </c>
      <c r="Y99" s="11" t="s">
        <v>558</v>
      </c>
      <c r="Z99" s="11" t="s">
        <v>37</v>
      </c>
      <c r="AA99" s="12" t="s">
        <v>37</v>
      </c>
    </row>
    <row r="100" customFormat="false" ht="16.4" hidden="false" customHeight="false" outlineLevel="0" collapsed="false">
      <c r="A100" s="15" t="s">
        <v>559</v>
      </c>
      <c r="B100" s="3" t="s">
        <v>59</v>
      </c>
      <c r="C100" s="3" t="s">
        <v>37</v>
      </c>
      <c r="D100" s="16" t="n">
        <v>0.125</v>
      </c>
      <c r="E100" s="3" t="n">
        <f aca="false">VLOOKUP(D100,'[1]REF Tables'!$A$2:$B$40,2)</f>
        <v>25</v>
      </c>
      <c r="F100" s="3" t="s">
        <v>30</v>
      </c>
      <c r="G100" s="3" t="n">
        <v>15</v>
      </c>
      <c r="H100" s="3" t="s">
        <v>31</v>
      </c>
      <c r="I100" s="3" t="s">
        <v>534</v>
      </c>
      <c r="J100" s="3" t="n">
        <v>13</v>
      </c>
      <c r="K100" s="1" t="str">
        <f aca="false">IF(J100=1,"-5",IF(OR(J100=2,J100=3),"-4",IF(OR(J100=4,J100=5),"-3",IF(OR(J100=6,J100=7),"-2",IF(OR(J100=8,J100=9),"-1",IF(OR(J100=10,J100=11),"0",IF(OR(J100=12,J100=13),"+1",IF(OR(J100=14,J100=15),"+2",IF(OR(J100=16,J100=17),"+3",IF(OR(J100=18,J100=19),"+4",IF(OR(J100=20,J100=21),"+5",IF(OR(J100=22,J100=23),"+6",IF(OR(J100=24,J100=25),"+7",IF(OR(J100=26,J100=27),"+8",IF(OR(J100=28,J100=29),"+9",IF(J100=30,"+10"," "))))))))))))))))</f>
        <v>+1</v>
      </c>
      <c r="L100" s="3" t="n">
        <v>15</v>
      </c>
      <c r="M100" s="1" t="str">
        <f aca="false">IF(L100=1,"-5",IF(OR(L100=2,L100=3),"-4",IF(OR(L100=4,L100=5),"-3",IF(OR(L100=6,L100=7),"-2",IF(OR(L100=8,L100=9),"-1",IF(OR(L100=10,L100=11),"0",IF(OR(L100=12,L100=13),"+1",IF(OR(L100=14,L100=15),"+2",IF(OR(L100=16,L100=17),"+3",IF(OR(L100=18,L100=19),"+4",IF(OR(L100=20,L100=21),"+5",IF(OR(L100=22,L100=23),"+6",IF(OR(L100=24,L100=25),"+7",IF(OR(L100=26,L100=27),"+8",IF(OR(L100=28,L100=29),"+9",IF(L100=30,"+10"," "))))))))))))))))</f>
        <v>+2</v>
      </c>
      <c r="N100" s="3" t="n">
        <v>11</v>
      </c>
      <c r="O100" s="1" t="str">
        <f aca="false">IF(N100=1,"-5",IF(OR(N100=2,N100=3),"-4",IF(OR(N100=4,N100=5),"-3",IF(OR(N100=6,N100=7),"-2",IF(OR(N100=8,N100=9),"-1",IF(OR(N100=10,N100=11),"0",IF(OR(N100=12,N100=13),"+1",IF(OR(N100=14,N100=15),"+2",IF(OR(N100=16,N100=17),"+3",IF(OR(N100=18,N100=19),"+4",IF(OR(N100=20,N100=21),"+5",IF(OR(N100=22,N100=23),"+6",IF(OR(N100=24,N100=25),"+7",IF(OR(N100=26,N100=27),"+8",IF(OR(N100=28,N100=29),"+9",IF(N100=30,"+10"," "))))))))))))))))</f>
        <v>0</v>
      </c>
      <c r="P100" s="3" t="n">
        <v>1</v>
      </c>
      <c r="Q100" s="1" t="str">
        <f aca="false">IF(P100=1,"-5",IF(OR(P100=2,P100=3),"-4",IF(OR(P100=4,P100=5),"-3",IF(OR(P100=6,P100=7),"-2",IF(OR(P100=8,P100=9),"-1",IF(OR(P100=10,P100=11),"0",IF(OR(P100=12,P100=13),"+1",IF(OR(P100=14,P100=15),"+2",IF(OR(P100=16,P100=17),"+3",IF(OR(P100=18,P100=19),"+4",IF(OR(P100=20,P100=21),"+5",IF(OR(P100=22,P100=23),"+6",IF(OR(P100=24,P100=25),"+7",IF(OR(P100=26,P100=27),"+8",IF(OR(P100=28,P100=29),"+9",IF(P100=30,"+10"," "))))))))))))))))</f>
        <v>-5</v>
      </c>
      <c r="R100" s="3" t="n">
        <v>9</v>
      </c>
      <c r="S100" s="1" t="str">
        <f aca="false">IF(R100=1,"-5",IF(OR(R100=2,R100=3),"-4",IF(OR(R100=4,R100=5),"-3",IF(OR(R100=6,R100=7),"-2",IF(OR(R100=8,R100=9),"-1",IF(OR(R100=10,R100=11),"0",IF(OR(R100=12,R100=13),"+1",IF(OR(R100=14,R100=15),"+2",IF(OR(R100=16,R100=17),"+3",IF(OR(R100=18,R100=19),"+4",IF(OR(R100=20,R100=21),"+5",IF(OR(R100=22,R100=23),"+6",IF(OR(R100=24,R100=25),"+7",IF(OR(R100=26,R100=27),"+8",IF(OR(R100=28,R100=29),"+9",IF(R100=30,"+10"," "))))))))))))))))</f>
        <v>-1</v>
      </c>
      <c r="T100" s="3" t="n">
        <v>3</v>
      </c>
      <c r="U100" s="1" t="str">
        <f aca="false">IF(T100=1,"-5",IF(OR(T100=2,T100=3),"-4",IF(OR(T100=4,T100=5),"-3",IF(OR(T100=6,T100=7),"-2",IF(OR(T100=8,T100=9),"-1",IF(OR(T100=10,T100=11),"0",IF(OR(T100=12,T100=13),"+1",IF(OR(T100=14,T100=15),"+2",IF(OR(T100=16,T100=17),"+3",IF(OR(T100=18,T100=19),"+4",IF(OR(T100=20,T100=21),"+5",IF(OR(T100=22,T100=23),"+6",IF(OR(T100=24,T100=25),"+7",IF(OR(T100=26,T100=27),"+8",IF(OR(T100=28,T100=29),"+9",IF(T100=30,"+10"," "))))))))))))))))</f>
        <v>-4</v>
      </c>
      <c r="V100" s="3" t="s">
        <v>560</v>
      </c>
      <c r="W100" s="3" t="s">
        <v>37</v>
      </c>
      <c r="X100" s="11" t="s">
        <v>557</v>
      </c>
      <c r="Y100" s="11" t="s">
        <v>561</v>
      </c>
      <c r="Z100" s="11"/>
      <c r="AA100" s="12" t="s">
        <v>37</v>
      </c>
    </row>
    <row r="101" customFormat="false" ht="16.4" hidden="false" customHeight="false" outlineLevel="0" collapsed="false">
      <c r="A101" s="15" t="s">
        <v>562</v>
      </c>
      <c r="B101" s="3" t="s">
        <v>105</v>
      </c>
      <c r="C101" s="3" t="s">
        <v>37</v>
      </c>
      <c r="D101" s="16" t="n">
        <v>3</v>
      </c>
      <c r="E101" s="3" t="n">
        <f aca="false">VLOOKUP(D101,'[1]REF Tables'!$A$2:$B$40,2)</f>
        <v>700</v>
      </c>
      <c r="F101" s="3" t="s">
        <v>30</v>
      </c>
      <c r="G101" s="3" t="n">
        <v>16</v>
      </c>
      <c r="H101" s="3" t="s">
        <v>343</v>
      </c>
      <c r="I101" s="3" t="s">
        <v>563</v>
      </c>
      <c r="J101" s="3" t="n">
        <v>16</v>
      </c>
      <c r="K101" s="1" t="str">
        <f aca="false">IF(J101=1,"-5",IF(OR(J101=2,J101=3),"-4",IF(OR(J101=4,J101=5),"-3",IF(OR(J101=6,J101=7),"-2",IF(OR(J101=8,J101=9),"-1",IF(OR(J101=10,J101=11),"0",IF(OR(J101=12,J101=13),"+1",IF(OR(J101=14,J101=15),"+2",IF(OR(J101=16,J101=17),"+3",IF(OR(J101=18,J101=19),"+4",IF(OR(J101=20,J101=21),"+5",IF(OR(J101=22,J101=23),"+6",IF(OR(J101=24,J101=25),"+7",IF(OR(J101=26,J101=27),"+8",IF(OR(J101=28,J101=29),"+9",IF(J101=30,"+10"," "))))))))))))))))</f>
        <v>+3</v>
      </c>
      <c r="L101" s="3" t="n">
        <v>13</v>
      </c>
      <c r="M101" s="1" t="str">
        <f aca="false">IF(L101=1,"-5",IF(OR(L101=2,L101=3),"-4",IF(OR(L101=4,L101=5),"-3",IF(OR(L101=6,L101=7),"-2",IF(OR(L101=8,L101=9),"-1",IF(OR(L101=10,L101=11),"0",IF(OR(L101=12,L101=13),"+1",IF(OR(L101=14,L101=15),"+2",IF(OR(L101=16,L101=17),"+3",IF(OR(L101=18,L101=19),"+4",IF(OR(L101=20,L101=21),"+5",IF(OR(L101=22,L101=23),"+6",IF(OR(L101=24,L101=25),"+7",IF(OR(L101=26,L101=27),"+8",IF(OR(L101=28,L101=29),"+9",IF(L101=30,"+10"," "))))))))))))))))</f>
        <v>+1</v>
      </c>
      <c r="N101" s="3" t="n">
        <v>14</v>
      </c>
      <c r="O101" s="1" t="str">
        <f aca="false">IF(N101=1,"-5",IF(OR(N101=2,N101=3),"-4",IF(OR(N101=4,N101=5),"-3",IF(OR(N101=6,N101=7),"-2",IF(OR(N101=8,N101=9),"-1",IF(OR(N101=10,N101=11),"0",IF(OR(N101=12,N101=13),"+1",IF(OR(N101=14,N101=15),"+2",IF(OR(N101=16,N101=17),"+3",IF(OR(N101=18,N101=19),"+4",IF(OR(N101=20,N101=21),"+5",IF(OR(N101=22,N101=23),"+6",IF(OR(N101=24,N101=25),"+7",IF(OR(N101=26,N101=27),"+8",IF(OR(N101=28,N101=29),"+9",IF(N101=30,"+10"," "))))))))))))))))</f>
        <v>+2</v>
      </c>
      <c r="P101" s="3" t="n">
        <v>3</v>
      </c>
      <c r="Q101" s="1" t="str">
        <f aca="false">IF(P101=1,"-5",IF(OR(P101=2,P101=3),"-4",IF(OR(P101=4,P101=5),"-3",IF(OR(P101=6,P101=7),"-2",IF(OR(P101=8,P101=9),"-1",IF(OR(P101=10,P101=11),"0",IF(OR(P101=12,P101=13),"+1",IF(OR(P101=14,P101=15),"+2",IF(OR(P101=16,P101=17),"+3",IF(OR(P101=18,P101=19),"+4",IF(OR(P101=20,P101=21),"+5",IF(OR(P101=22,P101=23),"+6",IF(OR(P101=24,P101=25),"+7",IF(OR(P101=26,P101=27),"+8",IF(OR(P101=28,P101=29),"+9",IF(P101=30,"+10"," "))))))))))))))))</f>
        <v>-4</v>
      </c>
      <c r="R101" s="3" t="n">
        <v>10</v>
      </c>
      <c r="S101" s="1" t="str">
        <f aca="false">IF(R101=1,"-5",IF(OR(R101=2,R101=3),"-4",IF(OR(R101=4,R101=5),"-3",IF(OR(R101=6,R101=7),"-2",IF(OR(R101=8,R101=9),"-1",IF(OR(R101=10,R101=11),"0",IF(OR(R101=12,R101=13),"+1",IF(OR(R101=14,R101=15),"+2",IF(OR(R101=16,R101=17),"+3",IF(OR(R101=18,R101=19),"+4",IF(OR(R101=20,R101=21),"+5",IF(OR(R101=22,R101=23),"+6",IF(OR(R101=24,R101=25),"+7",IF(OR(R101=26,R101=27),"+8",IF(OR(R101=28,R101=29),"+9",IF(R101=30,"+10"," "))))))))))))))))</f>
        <v>0</v>
      </c>
      <c r="T101" s="3" t="n">
        <v>3</v>
      </c>
      <c r="U101" s="1" t="str">
        <f aca="false">IF(T101=1,"-5",IF(OR(T101=2,T101=3),"-4",IF(OR(T101=4,T101=5),"-3",IF(OR(T101=6,T101=7),"-2",IF(OR(T101=8,T101=9),"-1",IF(OR(T101=10,T101=11),"0",IF(OR(T101=12,T101=13),"+1",IF(OR(T101=14,T101=15),"+2",IF(OR(T101=16,T101=17),"+3",IF(OR(T101=18,T101=19),"+4",IF(OR(T101=20,T101=21),"+5",IF(OR(T101=22,T101=23),"+6",IF(OR(T101=24,T101=25),"+7",IF(OR(T101=26,T101=27),"+8",IF(OR(T101=28,T101=29),"+9",IF(T101=30,"+10"," "))))))))))))))))</f>
        <v>-4</v>
      </c>
      <c r="V101" s="3" t="s">
        <v>564</v>
      </c>
      <c r="W101" s="3" t="s">
        <v>37</v>
      </c>
      <c r="X101" s="11" t="s">
        <v>565</v>
      </c>
      <c r="Y101" s="11" t="s">
        <v>566</v>
      </c>
      <c r="Z101" s="11" t="s">
        <v>37</v>
      </c>
      <c r="AA101" s="12" t="s">
        <v>37</v>
      </c>
    </row>
    <row r="102" customFormat="false" ht="16.4" hidden="false" customHeight="false" outlineLevel="0" collapsed="false">
      <c r="A102" s="14" t="s">
        <v>567</v>
      </c>
      <c r="B102" s="1" t="s">
        <v>77</v>
      </c>
      <c r="C102" s="1" t="s">
        <v>85</v>
      </c>
      <c r="D102" s="5" t="n">
        <v>4</v>
      </c>
      <c r="E102" s="6" t="n">
        <f aca="false">VLOOKUP(D102,'[1]REF Tables'!$A$2:$B$40,2)</f>
        <v>1100</v>
      </c>
      <c r="F102" s="1" t="s">
        <v>315</v>
      </c>
      <c r="G102" s="1" t="n">
        <v>13</v>
      </c>
      <c r="H102" s="1" t="s">
        <v>568</v>
      </c>
      <c r="I102" s="3" t="s">
        <v>87</v>
      </c>
      <c r="J102" s="1" t="n">
        <v>1</v>
      </c>
      <c r="K102" s="1" t="str">
        <f aca="false">IF(J102=1,"-5",IF(OR(J102=2,J102=3),"-4",IF(OR(J102=4,J102=5),"-3",IF(OR(J102=6,J102=7),"-2",IF(OR(J102=8,J102=9),"-1",IF(OR(J102=10,J102=11),"0",IF(OR(J102=12,J102=13),"+1",IF(OR(J102=14,J102=15),"+2",IF(OR(J102=16,J102=17),"+3",IF(OR(J102=18,J102=19),"+4",IF(OR(J102=20,J102=21),"+5",IF(OR(J102=22,J102=23),"+6",IF(OR(J102=24,J102=25),"+7",IF(OR(J102=26,J102=27),"+8",IF(OR(J102=28,J102=29),"+9",IF(J102=30,"+10"," "))))))))))))))))</f>
        <v>-5</v>
      </c>
      <c r="L102" s="1" t="n">
        <v>17</v>
      </c>
      <c r="M102" s="1" t="str">
        <f aca="false">IF(L102=1,"-5",IF(OR(L102=2,L102=3),"-4",IF(OR(L102=4,L102=5),"-3",IF(OR(L102=6,L102=7),"-2",IF(OR(L102=8,L102=9),"-1",IF(OR(L102=10,L102=11),"0",IF(OR(L102=12,L102=13),"+1",IF(OR(L102=14,L102=15),"+2",IF(OR(L102=16,L102=17),"+3",IF(OR(L102=18,L102=19),"+4",IF(OR(L102=20,L102=21),"+5",IF(OR(L102=22,L102=23),"+6",IF(OR(L102=24,L102=25),"+7",IF(OR(L102=26,L102=27),"+8",IF(OR(L102=28,L102=29),"+9",IF(L102=30,"+10"," "))))))))))))))))</f>
        <v>+3</v>
      </c>
      <c r="N102" s="1" t="n">
        <v>14</v>
      </c>
      <c r="O102" s="1" t="str">
        <f aca="false">IF(N102=1,"-5",IF(OR(N102=2,N102=3),"-4",IF(OR(N102=4,N102=5),"-3",IF(OR(N102=6,N102=7),"-2",IF(OR(N102=8,N102=9),"-1",IF(OR(N102=10,N102=11),"0",IF(OR(N102=12,N102=13),"+1",IF(OR(N102=14,N102=15),"+2",IF(OR(N102=16,N102=17),"+3",IF(OR(N102=18,N102=19),"+4",IF(OR(N102=20,N102=21),"+5",IF(OR(N102=22,N102=23),"+6",IF(OR(N102=24,N102=25),"+7",IF(OR(N102=26,N102=27),"+8",IF(OR(N102=28,N102=29),"+9",IF(N102=30,"+10"," "))))))))))))))))</f>
        <v>+2</v>
      </c>
      <c r="P102" s="1" t="n">
        <v>16</v>
      </c>
      <c r="Q102" s="1" t="str">
        <f aca="false">IF(P102=1,"-5",IF(OR(P102=2,P102=3),"-4",IF(OR(P102=4,P102=5),"-3",IF(OR(P102=6,P102=7),"-2",IF(OR(P102=8,P102=9),"-1",IF(OR(P102=10,P102=11),"0",IF(OR(P102=12,P102=13),"+1",IF(OR(P102=14,P102=15),"+2",IF(OR(P102=16,P102=17),"+3",IF(OR(P102=18,P102=19),"+4",IF(OR(P102=20,P102=21),"+5",IF(OR(P102=22,P102=23),"+6",IF(OR(P102=24,P102=25),"+7",IF(OR(P102=26,P102=27),"+8",IF(OR(P102=28,P102=29),"+9",IF(P102=30,"+10"," "))))))))))))))))</f>
        <v>+3</v>
      </c>
      <c r="R102" s="1" t="n">
        <v>10</v>
      </c>
      <c r="S102" s="1" t="str">
        <f aca="false">IF(R102=1,"-5",IF(OR(R102=2,R102=3),"-4",IF(OR(R102=4,R102=5),"-3",IF(OR(R102=6,R102=7),"-2",IF(OR(R102=8,R102=9),"-1",IF(OR(R102=10,R102=11),"0",IF(OR(R102=12,R102=13),"+1",IF(OR(R102=14,R102=15),"+2",IF(OR(R102=16,R102=17),"+3",IF(OR(R102=18,R102=19),"+4",IF(OR(R102=20,R102=21),"+5",IF(OR(R102=22,R102=23),"+6",IF(OR(R102=24,R102=25),"+7",IF(OR(R102=26,R102=27),"+8",IF(OR(R102=28,R102=29),"+9",IF(R102=30,"+10"," "))))))))))))))))</f>
        <v>0</v>
      </c>
      <c r="T102" s="1" t="n">
        <v>11</v>
      </c>
      <c r="U102" s="1" t="str">
        <f aca="false">IF(T102=1,"-5",IF(OR(T102=2,T102=3),"-4",IF(OR(T102=4,T102=5),"-3",IF(OR(T102=6,T102=7),"-2",IF(OR(T102=8,T102=9),"-1",IF(OR(T102=10,T102=11),"0",IF(OR(T102=12,T102=13),"+1",IF(OR(T102=14,T102=15),"+2",IF(OR(T102=16,T102=17),"+3",IF(OR(T102=18,T102=19),"+4",IF(OR(T102=20,T102=21),"+5",IF(OR(T102=22,T102=23),"+6",IF(OR(T102=24,T102=25),"+7",IF(OR(T102=26,T102=27),"+8",IF(OR(T102=28,T102=29),"+9",IF(T102=30,"+10"," "))))))))))))))))</f>
        <v>0</v>
      </c>
      <c r="V102" s="1" t="s">
        <v>569</v>
      </c>
      <c r="W102" s="1" t="s">
        <v>570</v>
      </c>
      <c r="X102" s="2" t="s">
        <v>571</v>
      </c>
      <c r="Y102" s="2" t="s">
        <v>572</v>
      </c>
      <c r="Z102" s="2" t="s">
        <v>37</v>
      </c>
      <c r="AA102" s="1" t="s">
        <v>37</v>
      </c>
    </row>
    <row r="103" customFormat="false" ht="16.4" hidden="false" customHeight="false" outlineLevel="0" collapsed="false">
      <c r="A103" s="15" t="s">
        <v>573</v>
      </c>
      <c r="B103" s="3" t="s">
        <v>59</v>
      </c>
      <c r="C103" s="3" t="s">
        <v>37</v>
      </c>
      <c r="D103" s="16" t="n">
        <v>1</v>
      </c>
      <c r="E103" s="3" t="n">
        <f aca="false">VLOOKUP(D103,'[1]REF Tables'!$A$2:$B$40,2)</f>
        <v>200</v>
      </c>
      <c r="F103" s="3" t="s">
        <v>50</v>
      </c>
      <c r="G103" s="3" t="n">
        <v>11</v>
      </c>
      <c r="H103" s="3" t="s">
        <v>116</v>
      </c>
      <c r="I103" s="3" t="s">
        <v>374</v>
      </c>
      <c r="J103" s="3" t="n">
        <v>15</v>
      </c>
      <c r="K103" s="1" t="str">
        <f aca="false">IF(J103=1,"-5",IF(OR(J103=2,J103=3),"-4",IF(OR(J103=4,J103=5),"-3",IF(OR(J103=6,J103=7),"-2",IF(OR(J103=8,J103=9),"-1",IF(OR(J103=10,J103=11),"0",IF(OR(J103=12,J103=13),"+1",IF(OR(J103=14,J103=15),"+2",IF(OR(J103=16,J103=17),"+3",IF(OR(J103=18,J103=19),"+4",IF(OR(J103=20,J103=21),"+5",IF(OR(J103=22,J103=23),"+6",IF(OR(J103=24,J103=25),"+7",IF(OR(J103=26,J103=27),"+8",IF(OR(J103=28,J103=29),"+9",IF(J103=30,"+10"," "))))))))))))))))</f>
        <v>+2</v>
      </c>
      <c r="L103" s="3" t="n">
        <v>13</v>
      </c>
      <c r="M103" s="1" t="str">
        <f aca="false">IF(L103=1,"-5",IF(OR(L103=2,L103=3),"-4",IF(OR(L103=4,L103=5),"-3",IF(OR(L103=6,L103=7),"-2",IF(OR(L103=8,L103=9),"-1",IF(OR(L103=10,L103=11),"0",IF(OR(L103=12,L103=13),"+1",IF(OR(L103=14,L103=15),"+2",IF(OR(L103=16,L103=17),"+3",IF(OR(L103=18,L103=19),"+4",IF(OR(L103=20,L103=21),"+5",IF(OR(L103=22,L103=23),"+6",IF(OR(L103=24,L103=25),"+7",IF(OR(L103=26,L103=27),"+8",IF(OR(L103=28,L103=29),"+9",IF(L103=30,"+10"," "))))))))))))))))</f>
        <v>+1</v>
      </c>
      <c r="N103" s="3" t="n">
        <v>13</v>
      </c>
      <c r="O103" s="1" t="str">
        <f aca="false">IF(N103=1,"-5",IF(OR(N103=2,N103=3),"-4",IF(OR(N103=4,N103=5),"-3",IF(OR(N103=6,N103=7),"-2",IF(OR(N103=8,N103=9),"-1",IF(OR(N103=10,N103=11),"0",IF(OR(N103=12,N103=13),"+1",IF(OR(N103=14,N103=15),"+2",IF(OR(N103=16,N103=17),"+3",IF(OR(N103=18,N103=19),"+4",IF(OR(N103=20,N103=21),"+5",IF(OR(N103=22,N103=23),"+6",IF(OR(N103=24,N103=25),"+7",IF(OR(N103=26,N103=27),"+8",IF(OR(N103=28,N103=29),"+9",IF(N103=30,"+10"," "))))))))))))))))</f>
        <v>+1</v>
      </c>
      <c r="P103" s="3" t="n">
        <v>2</v>
      </c>
      <c r="Q103" s="1" t="str">
        <f aca="false">IF(P103=1,"-5",IF(OR(P103=2,P103=3),"-4",IF(OR(P103=4,P103=5),"-3",IF(OR(P103=6,P103=7),"-2",IF(OR(P103=8,P103=9),"-1",IF(OR(P103=10,P103=11),"0",IF(OR(P103=12,P103=13),"+1",IF(OR(P103=14,P103=15),"+2",IF(OR(P103=16,P103=17),"+3",IF(OR(P103=18,P103=19),"+4",IF(OR(P103=20,P103=21),"+5",IF(OR(P103=22,P103=23),"+6",IF(OR(P103=24,P103=25),"+7",IF(OR(P103=26,P103=27),"+8",IF(OR(P103=28,P103=29),"+9",IF(P103=30,"+10"," "))))))))))))))))</f>
        <v>-4</v>
      </c>
      <c r="R103" s="3" t="n">
        <v>10</v>
      </c>
      <c r="S103" s="1" t="str">
        <f aca="false">IF(R103=1,"-5",IF(OR(R103=2,R103=3),"-4",IF(OR(R103=4,R103=5),"-3",IF(OR(R103=6,R103=7),"-2",IF(OR(R103=8,R103=9),"-1",IF(OR(R103=10,R103=11),"0",IF(OR(R103=12,R103=13),"+1",IF(OR(R103=14,R103=15),"+2",IF(OR(R103=16,R103=17),"+3",IF(OR(R103=18,R103=19),"+4",IF(OR(R103=20,R103=21),"+5",IF(OR(R103=22,R103=23),"+6",IF(OR(R103=24,R103=25),"+7",IF(OR(R103=26,R103=27),"+8",IF(OR(R103=28,R103=29),"+9",IF(R103=30,"+10"," "))))))))))))))))</f>
        <v>0</v>
      </c>
      <c r="T103" s="3" t="n">
        <v>3</v>
      </c>
      <c r="U103" s="1" t="str">
        <f aca="false">IF(T103=1,"-5",IF(OR(T103=2,T103=3),"-4",IF(OR(T103=4,T103=5),"-3",IF(OR(T103=6,T103=7),"-2",IF(OR(T103=8,T103=9),"-1",IF(OR(T103=10,T103=11),"0",IF(OR(T103=12,T103=13),"+1",IF(OR(T103=14,T103=15),"+2",IF(OR(T103=16,T103=17),"+3",IF(OR(T103=18,T103=19),"+4",IF(OR(T103=20,T103=21),"+5",IF(OR(T103=22,T103=23),"+6",IF(OR(T103=24,T103=25),"+7",IF(OR(T103=26,T103=27),"+8",IF(OR(T103=28,T103=29),"+9",IF(T103=30,"+10"," "))))))))))))))))</f>
        <v>-4</v>
      </c>
      <c r="V103" s="3" t="s">
        <v>37</v>
      </c>
      <c r="W103" s="3" t="s">
        <v>37</v>
      </c>
      <c r="X103" s="11" t="s">
        <v>574</v>
      </c>
      <c r="Y103" s="11" t="s">
        <v>575</v>
      </c>
      <c r="Z103" s="11" t="s">
        <v>37</v>
      </c>
      <c r="AA103" s="12" t="s">
        <v>37</v>
      </c>
    </row>
    <row r="104" customFormat="false" ht="16.4" hidden="false" customHeight="false" outlineLevel="0" collapsed="false">
      <c r="A104" s="15" t="s">
        <v>576</v>
      </c>
      <c r="B104" s="3" t="s">
        <v>158</v>
      </c>
      <c r="C104" s="3" t="s">
        <v>37</v>
      </c>
      <c r="D104" s="16" t="n">
        <v>0</v>
      </c>
      <c r="E104" s="3" t="n">
        <f aca="false">VLOOKUP(D104,'[1]REF Tables'!$A$2:$B$40,2)</f>
        <v>10</v>
      </c>
      <c r="F104" s="3" t="s">
        <v>30</v>
      </c>
      <c r="G104" s="3" t="n">
        <v>5</v>
      </c>
      <c r="H104" s="3" t="s">
        <v>31</v>
      </c>
      <c r="I104" s="3" t="s">
        <v>577</v>
      </c>
      <c r="J104" s="3" t="n">
        <v>1</v>
      </c>
      <c r="K104" s="1" t="str">
        <f aca="false">IF(J104=1,"-5",IF(OR(J104=2,J104=3),"-4",IF(OR(J104=4,J104=5),"-3",IF(OR(J104=6,J104=7),"-2",IF(OR(J104=8,J104=9),"-1",IF(OR(J104=10,J104=11),"0",IF(OR(J104=12,J104=13),"+1",IF(OR(J104=14,J104=15),"+2",IF(OR(J104=16,J104=17),"+3",IF(OR(J104=18,J104=19),"+4",IF(OR(J104=20,J104=21),"+5",IF(OR(J104=22,J104=23),"+6",IF(OR(J104=24,J104=25),"+7",IF(OR(J104=26,J104=27),"+8",IF(OR(J104=28,J104=29),"+9",IF(J104=30,"+10"," "))))))))))))))))</f>
        <v>-5</v>
      </c>
      <c r="L104" s="3" t="n">
        <v>1</v>
      </c>
      <c r="M104" s="1" t="str">
        <f aca="false">IF(L104=1,"-5",IF(OR(L104=2,L104=3),"-4",IF(OR(L104=4,L104=5),"-3",IF(OR(L104=6,L104=7),"-2",IF(OR(L104=8,L104=9),"-1",IF(OR(L104=10,L104=11),"0",IF(OR(L104=12,L104=13),"+1",IF(OR(L104=14,L104=15),"+2",IF(OR(L104=16,L104=17),"+3",IF(OR(L104=18,L104=19),"+4",IF(OR(L104=20,L104=21),"+5",IF(OR(L104=22,L104=23),"+6",IF(OR(L104=24,L104=25),"+7",IF(OR(L104=26,L104=27),"+8",IF(OR(L104=28,L104=29),"+9",IF(L104=30,"+10"," "))))))))))))))))</f>
        <v>-5</v>
      </c>
      <c r="N104" s="3" t="n">
        <v>10</v>
      </c>
      <c r="O104" s="1" t="str">
        <f aca="false">IF(N104=1,"-5",IF(OR(N104=2,N104=3),"-4",IF(OR(N104=4,N104=5),"-3",IF(OR(N104=6,N104=7),"-2",IF(OR(N104=8,N104=9),"-1",IF(OR(N104=10,N104=11),"0",IF(OR(N104=12,N104=13),"+1",IF(OR(N104=14,N104=15),"+2",IF(OR(N104=16,N104=17),"+3",IF(OR(N104=18,N104=19),"+4",IF(OR(N104=20,N104=21),"+5",IF(OR(N104=22,N104=23),"+6",IF(OR(N104=24,N104=25),"+7",IF(OR(N104=26,N104=27),"+8",IF(OR(N104=28,N104=29),"+9",IF(N104=30,"+10"," "))))))))))))))))</f>
        <v>0</v>
      </c>
      <c r="P104" s="3" t="n">
        <v>1</v>
      </c>
      <c r="Q104" s="1" t="str">
        <f aca="false">IF(P104=1,"-5",IF(OR(P104=2,P104=3),"-4",IF(OR(P104=4,P104=5),"-3",IF(OR(P104=6,P104=7),"-2",IF(OR(P104=8,P104=9),"-1",IF(OR(P104=10,P104=11),"0",IF(OR(P104=12,P104=13),"+1",IF(OR(P104=14,P104=15),"+2",IF(OR(P104=16,P104=17),"+3",IF(OR(P104=18,P104=19),"+4",IF(OR(P104=20,P104=21),"+5",IF(OR(P104=22,P104=23),"+6",IF(OR(P104=24,P104=25),"+7",IF(OR(P104=26,P104=27),"+8",IF(OR(P104=28,P104=29),"+9",IF(P104=30,"+10"," "))))))))))))))))</f>
        <v>-5</v>
      </c>
      <c r="R104" s="3" t="n">
        <v>3</v>
      </c>
      <c r="S104" s="1" t="str">
        <f aca="false">IF(R104=1,"-5",IF(OR(R104=2,R104=3),"-4",IF(OR(R104=4,R104=5),"-3",IF(OR(R104=6,R104=7),"-2",IF(OR(R104=8,R104=9),"-1",IF(OR(R104=10,R104=11),"0",IF(OR(R104=12,R104=13),"+1",IF(OR(R104=14,R104=15),"+2",IF(OR(R104=16,R104=17),"+3",IF(OR(R104=18,R104=19),"+4",IF(OR(R104=20,R104=21),"+5",IF(OR(R104=22,R104=23),"+6",IF(OR(R104=24,R104=25),"+7",IF(OR(R104=26,R104=27),"+8",IF(OR(R104=28,R104=29),"+9",IF(R104=30,"+10"," "))))))))))))))))</f>
        <v>-4</v>
      </c>
      <c r="T104" s="3" t="n">
        <v>1</v>
      </c>
      <c r="U104" s="1" t="str">
        <f aca="false">IF(T104=1,"-5",IF(OR(T104=2,T104=3),"-4",IF(OR(T104=4,T104=5),"-3",IF(OR(T104=6,T104=7),"-2",IF(OR(T104=8,T104=9),"-1",IF(OR(T104=10,T104=11),"0",IF(OR(T104=12,T104=13),"+1",IF(OR(T104=14,T104=15),"+2",IF(OR(T104=16,T104=17),"+3",IF(OR(T104=18,T104=19),"+4",IF(OR(T104=20,T104=21),"+5",IF(OR(T104=22,T104=23),"+6",IF(OR(T104=24,T104=25),"+7",IF(OR(T104=26,T104=27),"+8",IF(OR(T104=28,T104=29),"+9",IF(T104=30,"+10"," "))))))))))))))))</f>
        <v>-5</v>
      </c>
      <c r="V104" s="3" t="s">
        <v>37</v>
      </c>
      <c r="W104" s="3" t="s">
        <v>37</v>
      </c>
      <c r="X104" s="11" t="s">
        <v>578</v>
      </c>
      <c r="Y104" s="11" t="s">
        <v>37</v>
      </c>
      <c r="Z104" s="11" t="s">
        <v>579</v>
      </c>
      <c r="AA104" s="12" t="s">
        <v>37</v>
      </c>
    </row>
    <row r="105" customFormat="false" ht="16.4" hidden="false" customHeight="false" outlineLevel="0" collapsed="false">
      <c r="A105" s="15" t="s">
        <v>580</v>
      </c>
      <c r="B105" s="3" t="s">
        <v>59</v>
      </c>
      <c r="C105" s="3" t="s">
        <v>37</v>
      </c>
      <c r="D105" s="16" t="n">
        <v>0.5</v>
      </c>
      <c r="E105" s="3" t="n">
        <f aca="false">VLOOKUP(D105,'[1]REF Tables'!$A$2:$B$40,2)</f>
        <v>100</v>
      </c>
      <c r="F105" s="3" t="s">
        <v>50</v>
      </c>
      <c r="G105" s="3" t="n">
        <v>12</v>
      </c>
      <c r="H105" s="3" t="s">
        <v>304</v>
      </c>
      <c r="I105" s="3" t="s">
        <v>555</v>
      </c>
      <c r="J105" s="3" t="n">
        <v>15</v>
      </c>
      <c r="K105" s="1" t="str">
        <f aca="false">IF(J105=1,"-5",IF(OR(J105=2,J105=3),"-4",IF(OR(J105=4,J105=5),"-3",IF(OR(J105=6,J105=7),"-2",IF(OR(J105=8,J105=9),"-1",IF(OR(J105=10,J105=11),"0",IF(OR(J105=12,J105=13),"+1",IF(OR(J105=14,J105=15),"+2",IF(OR(J105=16,J105=17),"+3",IF(OR(J105=18,J105=19),"+4",IF(OR(J105=20,J105=21),"+5",IF(OR(J105=22,J105=23),"+6",IF(OR(J105=24,J105=25),"+7",IF(OR(J105=26,J105=27),"+8",IF(OR(J105=28,J105=29),"+9",IF(J105=30,"+10"," "))))))))))))))))</f>
        <v>+2</v>
      </c>
      <c r="L105" s="3" t="n">
        <v>10</v>
      </c>
      <c r="M105" s="1" t="str">
        <f aca="false">IF(L105=1,"-5",IF(OR(L105=2,L105=3),"-4",IF(OR(L105=4,L105=5),"-3",IF(OR(L105=6,L105=7),"-2",IF(OR(L105=8,L105=9),"-1",IF(OR(L105=10,L105=11),"0",IF(OR(L105=12,L105=13),"+1",IF(OR(L105=14,L105=15),"+2",IF(OR(L105=16,L105=17),"+3",IF(OR(L105=18,L105=19),"+4",IF(OR(L105=20,L105=21),"+5",IF(OR(L105=22,L105=23),"+6",IF(OR(L105=24,L105=25),"+7",IF(OR(L105=26,L105=27),"+8",IF(OR(L105=28,L105=29),"+9",IF(L105=30,"+10"," "))))))))))))))))</f>
        <v>0</v>
      </c>
      <c r="N105" s="3" t="n">
        <v>13</v>
      </c>
      <c r="O105" s="1" t="str">
        <f aca="false">IF(N105=1,"-5",IF(OR(N105=2,N105=3),"-4",IF(OR(N105=4,N105=5),"-3",IF(OR(N105=6,N105=7),"-2",IF(OR(N105=8,N105=9),"-1",IF(OR(N105=10,N105=11),"0",IF(OR(N105=12,N105=13),"+1",IF(OR(N105=14,N105=15),"+2",IF(OR(N105=16,N105=17),"+3",IF(OR(N105=18,N105=19),"+4",IF(OR(N105=20,N105=21),"+5",IF(OR(N105=22,N105=23),"+6",IF(OR(N105=24,N105=25),"+7",IF(OR(N105=26,N105=27),"+8",IF(OR(N105=28,N105=29),"+9",IF(N105=30,"+10"," "))))))))))))))))</f>
        <v>+1</v>
      </c>
      <c r="P105" s="3" t="n">
        <v>2</v>
      </c>
      <c r="Q105" s="1" t="str">
        <f aca="false">IF(P105=1,"-5",IF(OR(P105=2,P105=3),"-4",IF(OR(P105=4,P105=5),"-3",IF(OR(P105=6,P105=7),"-2",IF(OR(P105=8,P105=9),"-1",IF(OR(P105=10,P105=11),"0",IF(OR(P105=12,P105=13),"+1",IF(OR(P105=14,P105=15),"+2",IF(OR(P105=16,P105=17),"+3",IF(OR(P105=18,P105=19),"+4",IF(OR(P105=20,P105=21),"+5",IF(OR(P105=22,P105=23),"+6",IF(OR(P105=24,P105=25),"+7",IF(OR(P105=26,P105=27),"+8",IF(OR(P105=28,P105=29),"+9",IF(P105=30,"+10"," "))))))))))))))))</f>
        <v>-4</v>
      </c>
      <c r="R105" s="3" t="n">
        <v>10</v>
      </c>
      <c r="S105" s="1" t="str">
        <f aca="false">IF(R105=1,"-5",IF(OR(R105=2,R105=3),"-4",IF(OR(R105=4,R105=5),"-3",IF(OR(R105=6,R105=7),"-2",IF(OR(R105=8,R105=9),"-1",IF(OR(R105=10,R105=11),"0",IF(OR(R105=12,R105=13),"+1",IF(OR(R105=14,R105=15),"+2",IF(OR(R105=16,R105=17),"+3",IF(OR(R105=18,R105=19),"+4",IF(OR(R105=20,R105=21),"+5",IF(OR(R105=22,R105=23),"+6",IF(OR(R105=24,R105=25),"+7",IF(OR(R105=26,R105=27),"+8",IF(OR(R105=28,R105=29),"+9",IF(R105=30,"+10"," "))))))))))))))))</f>
        <v>0</v>
      </c>
      <c r="T105" s="3" t="n">
        <v>5</v>
      </c>
      <c r="U105" s="1" t="str">
        <f aca="false">IF(T105=1,"-5",IF(OR(T105=2,T105=3),"-4",IF(OR(T105=4,T105=5),"-3",IF(OR(T105=6,T105=7),"-2",IF(OR(T105=8,T105=9),"-1",IF(OR(T105=10,T105=11),"0",IF(OR(T105=12,T105=13),"+1",IF(OR(T105=14,T105=15),"+2",IF(OR(T105=16,T105=17),"+3",IF(OR(T105=18,T105=19),"+4",IF(OR(T105=20,T105=21),"+5",IF(OR(T105=22,T105=23),"+6",IF(OR(T105=24,T105=25),"+7",IF(OR(T105=26,T105=27),"+8",IF(OR(T105=28,T105=29),"+9",IF(T105=30,"+10"," "))))))))))))))))</f>
        <v>-3</v>
      </c>
      <c r="V105" s="3" t="s">
        <v>556</v>
      </c>
      <c r="W105" s="3" t="s">
        <v>37</v>
      </c>
      <c r="X105" s="11" t="s">
        <v>581</v>
      </c>
      <c r="Y105" s="11" t="s">
        <v>582</v>
      </c>
      <c r="Z105" s="11" t="s">
        <v>37</v>
      </c>
      <c r="AA105" s="12" t="s">
        <v>37</v>
      </c>
    </row>
    <row r="106" customFormat="false" ht="16.4" hidden="false" customHeight="false" outlineLevel="0" collapsed="false">
      <c r="A106" s="15" t="s">
        <v>583</v>
      </c>
      <c r="B106" s="3" t="s">
        <v>59</v>
      </c>
      <c r="C106" s="3" t="s">
        <v>37</v>
      </c>
      <c r="D106" s="16" t="n">
        <v>5</v>
      </c>
      <c r="E106" s="6" t="n">
        <f aca="false">VLOOKUP(D106,'[1]REF Tables'!$A$2:$B$40,2)</f>
        <v>1800</v>
      </c>
      <c r="F106" s="3" t="s">
        <v>121</v>
      </c>
      <c r="G106" s="3" t="n">
        <v>14</v>
      </c>
      <c r="H106" s="3" t="s">
        <v>584</v>
      </c>
      <c r="I106" s="3" t="s">
        <v>585</v>
      </c>
      <c r="J106" s="3" t="n">
        <v>21</v>
      </c>
      <c r="K106" s="1" t="str">
        <f aca="false">IF(J106=1,"-5",IF(OR(J106=2,J106=3),"-4",IF(OR(J106=4,J106=5),"-3",IF(OR(J106=6,J106=7),"-2",IF(OR(J106=8,J106=9),"-1",IF(OR(J106=10,J106=11),"0",IF(OR(J106=12,J106=13),"+1",IF(OR(J106=14,J106=15),"+2",IF(OR(J106=16,J106=17),"+3",IF(OR(J106=18,J106=19),"+4",IF(OR(J106=20,J106=21),"+5",IF(OR(J106=22,J106=23),"+6",IF(OR(J106=24,J106=25),"+7",IF(OR(J106=26,J106=27),"+8",IF(OR(J106=28,J106=29),"+9",IF(J106=30,"+10"," "))))))))))))))))</f>
        <v>+5</v>
      </c>
      <c r="L106" s="3" t="n">
        <v>9</v>
      </c>
      <c r="M106" s="1" t="str">
        <f aca="false">IF(L106=1,"-5",IF(OR(L106=2,L106=3),"-4",IF(OR(L106=4,L106=5),"-3",IF(OR(L106=6,L106=7),"-2",IF(OR(L106=8,L106=9),"-1",IF(OR(L106=10,L106=11),"0",IF(OR(L106=12,L106=13),"+1",IF(OR(L106=14,L106=15),"+2",IF(OR(L106=16,L106=17),"+3",IF(OR(L106=18,L106=19),"+4",IF(OR(L106=20,L106=21),"+5",IF(OR(L106=22,L106=23),"+6",IF(OR(L106=24,L106=25),"+7",IF(OR(L106=26,L106=27),"+8",IF(OR(L106=28,L106=29),"+9",IF(L106=30,"+10"," "))))))))))))))))</f>
        <v>-1</v>
      </c>
      <c r="N106" s="3" t="n">
        <v>17</v>
      </c>
      <c r="O106" s="1" t="str">
        <f aca="false">IF(N106=1,"-5",IF(OR(N106=2,N106=3),"-4",IF(OR(N106=4,N106=5),"-3",IF(OR(N106=6,N106=7),"-2",IF(OR(N106=8,N106=9),"-1",IF(OR(N106=10,N106=11),"0",IF(OR(N106=12,N106=13),"+1",IF(OR(N106=14,N106=15),"+2",IF(OR(N106=16,N106=17),"+3",IF(OR(N106=18,N106=19),"+4",IF(OR(N106=20,N106=21),"+5",IF(OR(N106=22,N106=23),"+6",IF(OR(N106=24,N106=25),"+7",IF(OR(N106=26,N106=27),"+8",IF(OR(N106=28,N106=29),"+9",IF(N106=30,"+10"," "))))))))))))))))</f>
        <v>+3</v>
      </c>
      <c r="P106" s="3" t="n">
        <v>2</v>
      </c>
      <c r="Q106" s="1" t="str">
        <f aca="false">IF(P106=1,"-5",IF(OR(P106=2,P106=3),"-4",IF(OR(P106=4,P106=5),"-3",IF(OR(P106=6,P106=7),"-2",IF(OR(P106=8,P106=9),"-1",IF(OR(P106=10,P106=11),"0",IF(OR(P106=12,P106=13),"+1",IF(OR(P106=14,P106=15),"+2",IF(OR(P106=16,P106=17),"+3",IF(OR(P106=18,P106=19),"+4",IF(OR(P106=20,P106=21),"+5",IF(OR(P106=22,P106=23),"+6",IF(OR(P106=24,P106=25),"+7",IF(OR(P106=26,P106=27),"+8",IF(OR(P106=28,P106=29),"+9",IF(P106=30,"+10"," "))))))))))))))))</f>
        <v>-4</v>
      </c>
      <c r="R106" s="3" t="n">
        <v>10</v>
      </c>
      <c r="S106" s="1" t="str">
        <f aca="false">IF(R106=1,"-5",IF(OR(R106=2,R106=3),"-4",IF(OR(R106=4,R106=5),"-3",IF(OR(R106=6,R106=7),"-2",IF(OR(R106=8,R106=9),"-1",IF(OR(R106=10,R106=11),"0",IF(OR(R106=12,R106=13),"+1",IF(OR(R106=14,R106=15),"+2",IF(OR(R106=16,R106=17),"+3",IF(OR(R106=18,R106=19),"+4",IF(OR(R106=20,R106=21),"+5",IF(OR(R106=22,R106=23),"+6",IF(OR(R106=24,R106=25),"+7",IF(OR(R106=26,R106=27),"+8",IF(OR(R106=28,R106=29),"+9",IF(R106=30,"+10"," "))))))))))))))))</f>
        <v>0</v>
      </c>
      <c r="T106" s="3" t="n">
        <v>7</v>
      </c>
      <c r="U106" s="1" t="str">
        <f aca="false">IF(T106=1,"-5",IF(OR(T106=2,T106=3),"-4",IF(OR(T106=4,T106=5),"-3",IF(OR(T106=6,T106=7),"-2",IF(OR(T106=8,T106=9),"-1",IF(OR(T106=10,T106=11),"0",IF(OR(T106=12,T106=13),"+1",IF(OR(T106=14,T106=15),"+2",IF(OR(T106=16,T106=17),"+3",IF(OR(T106=18,T106=19),"+4",IF(OR(T106=20,T106=21),"+5",IF(OR(T106=22,T106=23),"+6",IF(OR(T106=24,T106=25),"+7",IF(OR(T106=26,T106=27),"+8",IF(OR(T106=28,T106=29),"+9",IF(T106=30,"+10"," "))))))))))))))))</f>
        <v>-2</v>
      </c>
      <c r="V106" s="3" t="s">
        <v>586</v>
      </c>
      <c r="W106" s="3" t="s">
        <v>37</v>
      </c>
      <c r="X106" s="11" t="s">
        <v>587</v>
      </c>
      <c r="Y106" s="11" t="s">
        <v>588</v>
      </c>
      <c r="Z106" s="11" t="s">
        <v>37</v>
      </c>
      <c r="AA106" s="12" t="s">
        <v>37</v>
      </c>
    </row>
    <row r="107" customFormat="false" ht="16.4" hidden="false" customHeight="false" outlineLevel="0" collapsed="false">
      <c r="A107" s="15" t="s">
        <v>589</v>
      </c>
      <c r="B107" s="3" t="s">
        <v>356</v>
      </c>
      <c r="C107" s="3" t="s">
        <v>590</v>
      </c>
      <c r="D107" s="16" t="n">
        <v>0.125</v>
      </c>
      <c r="E107" s="3" t="n">
        <f aca="false">VLOOKUP(D107,'[1]REF Tables'!$A$2:$B$40,2)</f>
        <v>25</v>
      </c>
      <c r="F107" s="3" t="s">
        <v>165</v>
      </c>
      <c r="G107" s="3" t="n">
        <v>14</v>
      </c>
      <c r="H107" s="3" t="s">
        <v>514</v>
      </c>
      <c r="I107" s="3" t="s">
        <v>131</v>
      </c>
      <c r="J107" s="3" t="n">
        <v>8</v>
      </c>
      <c r="K107" s="1" t="str">
        <f aca="false">IF(J107=1,"-5",IF(OR(J107=2,J107=3),"-4",IF(OR(J107=4,J107=5),"-3",IF(OR(J107=6,J107=7),"-2",IF(OR(J107=8,J107=9),"-1",IF(OR(J107=10,J107=11),"0",IF(OR(J107=12,J107=13),"+1",IF(OR(J107=14,J107=15),"+2",IF(OR(J107=16,J107=17),"+3",IF(OR(J107=18,J107=19),"+4",IF(OR(J107=20,J107=21),"+5",IF(OR(J107=22,J107=23),"+6",IF(OR(J107=24,J107=25),"+7",IF(OR(J107=26,J107=27),"+8",IF(OR(J107=28,J107=29),"+9",IF(J107=30,"+10"," "))))))))))))))))</f>
        <v>-1</v>
      </c>
      <c r="L107" s="3" t="n">
        <v>18</v>
      </c>
      <c r="M107" s="1" t="str">
        <f aca="false">IF(L107=1,"-5",IF(OR(L107=2,L107=3),"-4",IF(OR(L107=4,L107=5),"-3",IF(OR(L107=6,L107=7),"-2",IF(OR(L107=8,L107=9),"-1",IF(OR(L107=10,L107=11),"0",IF(OR(L107=12,L107=13),"+1",IF(OR(L107=14,L107=15),"+2",IF(OR(L107=16,L107=17),"+3",IF(OR(L107=18,L107=19),"+4",IF(OR(L107=20,L107=21),"+5",IF(OR(L107=22,L107=23),"+6",IF(OR(L107=24,L107=25),"+7",IF(OR(L107=26,L107=27),"+8",IF(OR(L107=28,L107=29),"+9",IF(L107=30,"+10"," "))))))))))))))))</f>
        <v>+4</v>
      </c>
      <c r="N107" s="3" t="n">
        <v>13</v>
      </c>
      <c r="O107" s="1" t="str">
        <f aca="false">IF(N107=1,"-5",IF(OR(N107=2,N107=3),"-4",IF(OR(N107=4,N107=5),"-3",IF(OR(N107=6,N107=7),"-2",IF(OR(N107=8,N107=9),"-1",IF(OR(N107=10,N107=11),"0",IF(OR(N107=12,N107=13),"+1",IF(OR(N107=14,N107=15),"+2",IF(OR(N107=16,N107=17),"+3",IF(OR(N107=18,N107=19),"+4",IF(OR(N107=20,N107=21),"+5",IF(OR(N107=22,N107=23),"+6",IF(OR(N107=24,N107=25),"+7",IF(OR(N107=26,N107=27),"+8",IF(OR(N107=28,N107=29),"+9",IF(N107=30,"+10"," "))))))))))))))))</f>
        <v>+1</v>
      </c>
      <c r="P107" s="3" t="n">
        <v>6</v>
      </c>
      <c r="Q107" s="1" t="str">
        <f aca="false">IF(P107=1,"-5",IF(OR(P107=2,P107=3),"-4",IF(OR(P107=4,P107=5),"-3",IF(OR(P107=6,P107=7),"-2",IF(OR(P107=8,P107=9),"-1",IF(OR(P107=10,P107=11),"0",IF(OR(P107=12,P107=13),"+1",IF(OR(P107=14,P107=15),"+2",IF(OR(P107=16,P107=17),"+3",IF(OR(P107=18,P107=19),"+4",IF(OR(P107=20,P107=21),"+5",IF(OR(P107=22,P107=23),"+6",IF(OR(P107=24,P107=25),"+7",IF(OR(P107=26,P107=27),"+8",IF(OR(P107=28,P107=29),"+9",IF(P107=30,"+10"," "))))))))))))))))</f>
        <v>-2</v>
      </c>
      <c r="R107" s="3" t="n">
        <v>12</v>
      </c>
      <c r="S107" s="1" t="str">
        <f aca="false">IF(R107=1,"-5",IF(OR(R107=2,R107=3),"-4",IF(OR(R107=4,R107=5),"-3",IF(OR(R107=6,R107=7),"-2",IF(OR(R107=8,R107=9),"-1",IF(OR(R107=10,R107=11),"0",IF(OR(R107=12,R107=13),"+1",IF(OR(R107=14,R107=15),"+2",IF(OR(R107=16,R107=17),"+3",IF(OR(R107=18,R107=19),"+4",IF(OR(R107=20,R107=21),"+5",IF(OR(R107=22,R107=23),"+6",IF(OR(R107=24,R107=25),"+7",IF(OR(R107=26,R107=27),"+8",IF(OR(R107=28,R107=29),"+9",IF(R107=30,"+10"," "))))))))))))))))</f>
        <v>+1</v>
      </c>
      <c r="T107" s="3" t="n">
        <v>7</v>
      </c>
      <c r="U107" s="1" t="str">
        <f aca="false">IF(T107=1,"-5",IF(OR(T107=2,T107=3),"-4",IF(OR(T107=4,T107=5),"-3",IF(OR(T107=6,T107=7),"-2",IF(OR(T107=8,T107=9),"-1",IF(OR(T107=10,T107=11),"0",IF(OR(T107=12,T107=13),"+1",IF(OR(T107=14,T107=15),"+2",IF(OR(T107=16,T107=17),"+3",IF(OR(T107=18,T107=19),"+4",IF(OR(T107=20,T107=21),"+5",IF(OR(T107=22,T107=23),"+6",IF(OR(T107=24,T107=25),"+7",IF(OR(T107=26,T107=27),"+8",IF(OR(T107=28,T107=29),"+9",IF(T107=30,"+10"," "))))))))))))))))</f>
        <v>-2</v>
      </c>
      <c r="V107" s="3" t="s">
        <v>591</v>
      </c>
      <c r="W107" s="3" t="s">
        <v>352</v>
      </c>
      <c r="X107" s="11" t="s">
        <v>592</v>
      </c>
      <c r="Y107" s="11" t="s">
        <v>593</v>
      </c>
      <c r="Z107" s="11" t="s">
        <v>37</v>
      </c>
      <c r="AA107" s="12" t="s">
        <v>37</v>
      </c>
    </row>
    <row r="108" customFormat="false" ht="16.4" hidden="false" customHeight="false" outlineLevel="0" collapsed="false">
      <c r="A108" s="15" t="s">
        <v>594</v>
      </c>
      <c r="B108" s="3" t="s">
        <v>595</v>
      </c>
      <c r="C108" s="3" t="s">
        <v>37</v>
      </c>
      <c r="D108" s="16" t="n">
        <v>2</v>
      </c>
      <c r="E108" s="3" t="n">
        <f aca="false">VLOOKUP(D108,'[1]REF Tables'!$A$2:$B$40,2)</f>
        <v>450</v>
      </c>
      <c r="F108" s="3" t="s">
        <v>50</v>
      </c>
      <c r="G108" s="3" t="n">
        <v>6</v>
      </c>
      <c r="H108" s="3" t="s">
        <v>253</v>
      </c>
      <c r="I108" s="3" t="s">
        <v>596</v>
      </c>
      <c r="J108" s="3" t="n">
        <v>14</v>
      </c>
      <c r="K108" s="1" t="str">
        <f aca="false">IF(J108=1,"-5",IF(OR(J108=2,J108=3),"-4",IF(OR(J108=4,J108=5),"-3",IF(OR(J108=6,J108=7),"-2",IF(OR(J108=8,J108=9),"-1",IF(OR(J108=10,J108=11),"0",IF(OR(J108=12,J108=13),"+1",IF(OR(J108=14,J108=15),"+2",IF(OR(J108=16,J108=17),"+3",IF(OR(J108=18,J108=19),"+4",IF(OR(J108=20,J108=21),"+5",IF(OR(J108=22,J108=23),"+6",IF(OR(J108=24,J108=25),"+7",IF(OR(J108=26,J108=27),"+8",IF(OR(J108=28,J108=29),"+9",IF(J108=30,"+10"," "))))))))))))))))</f>
        <v>+2</v>
      </c>
      <c r="L108" s="3" t="n">
        <v>3</v>
      </c>
      <c r="M108" s="1" t="str">
        <f aca="false">IF(L108=1,"-5",IF(OR(L108=2,L108=3),"-4",IF(OR(L108=4,L108=5),"-3",IF(OR(L108=6,L108=7),"-2",IF(OR(L108=8,L108=9),"-1",IF(OR(L108=10,L108=11),"0",IF(OR(L108=12,L108=13),"+1",IF(OR(L108=14,L108=15),"+2",IF(OR(L108=16,L108=17),"+3",IF(OR(L108=18,L108=19),"+4",IF(OR(L108=20,L108=21),"+5",IF(OR(L108=22,L108=23),"+6",IF(OR(L108=24,L108=25),"+7",IF(OR(L108=26,L108=27),"+8",IF(OR(L108=28,L108=29),"+9",IF(L108=30,"+10"," "))))))))))))))))</f>
        <v>-4</v>
      </c>
      <c r="N108" s="3" t="n">
        <v>20</v>
      </c>
      <c r="O108" s="1" t="str">
        <f aca="false">IF(N108=1,"-5",IF(OR(N108=2,N108=3),"-4",IF(OR(N108=4,N108=5),"-3",IF(OR(N108=6,N108=7),"-2",IF(OR(N108=8,N108=9),"-1",IF(OR(N108=10,N108=11),"0",IF(OR(N108=12,N108=13),"+1",IF(OR(N108=14,N108=15),"+2",IF(OR(N108=16,N108=17),"+3",IF(OR(N108=18,N108=19),"+4",IF(OR(N108=20,N108=21),"+5",IF(OR(N108=22,N108=23),"+6",IF(OR(N108=24,N108=25),"+7",IF(OR(N108=26,N108=27),"+8",IF(OR(N108=28,N108=29),"+9",IF(N108=30,"+10"," "))))))))))))))))</f>
        <v>+5</v>
      </c>
      <c r="P108" s="3" t="n">
        <v>1</v>
      </c>
      <c r="Q108" s="1" t="str">
        <f aca="false">IF(P108=1,"-5",IF(OR(P108=2,P108=3),"-4",IF(OR(P108=4,P108=5),"-3",IF(OR(P108=6,P108=7),"-2",IF(OR(P108=8,P108=9),"-1",IF(OR(P108=10,P108=11),"0",IF(OR(P108=12,P108=13),"+1",IF(OR(P108=14,P108=15),"+2",IF(OR(P108=16,P108=17),"+3",IF(OR(P108=18,P108=19),"+4",IF(OR(P108=20,P108=21),"+5",IF(OR(P108=22,P108=23),"+6",IF(OR(P108=24,P108=25),"+7",IF(OR(P108=26,P108=27),"+8",IF(OR(P108=28,P108=29),"+9",IF(P108=30,"+10"," "))))))))))))))))</f>
        <v>-5</v>
      </c>
      <c r="R108" s="3" t="n">
        <v>6</v>
      </c>
      <c r="S108" s="1" t="str">
        <f aca="false">IF(R108=1,"-5",IF(OR(R108=2,R108=3),"-4",IF(OR(R108=4,R108=5),"-3",IF(OR(R108=6,R108=7),"-2",IF(OR(R108=8,R108=9),"-1",IF(OR(R108=10,R108=11),"0",IF(OR(R108=12,R108=13),"+1",IF(OR(R108=14,R108=15),"+2",IF(OR(R108=16,R108=17),"+3",IF(OR(R108=18,R108=19),"+4",IF(OR(R108=20,R108=21),"+5",IF(OR(R108=22,R108=23),"+6",IF(OR(R108=24,R108=25),"+7",IF(OR(R108=26,R108=27),"+8",IF(OR(R108=28,R108=29),"+9",IF(R108=30,"+10"," "))))))))))))))))</f>
        <v>-2</v>
      </c>
      <c r="T108" s="3" t="n">
        <v>1</v>
      </c>
      <c r="U108" s="1" t="str">
        <f aca="false">IF(T108=1,"-5",IF(OR(T108=2,T108=3),"-4",IF(OR(T108=4,T108=5),"-3",IF(OR(T108=6,T108=7),"-2",IF(OR(T108=8,T108=9),"-1",IF(OR(T108=10,T108=11),"0",IF(OR(T108=12,T108=13),"+1",IF(OR(T108=14,T108=15),"+2",IF(OR(T108=16,T108=17),"+3",IF(OR(T108=18,T108=19),"+4",IF(OR(T108=20,T108=21),"+5",IF(OR(T108=22,T108=23),"+6",IF(OR(T108=24,T108=25),"+7",IF(OR(T108=26,T108=27),"+8",IF(OR(T108=28,T108=29),"+9",IF(T108=30,"+10"," "))))))))))))))))</f>
        <v>-5</v>
      </c>
      <c r="V108" s="3" t="s">
        <v>37</v>
      </c>
      <c r="W108" s="3" t="s">
        <v>37</v>
      </c>
      <c r="X108" s="11" t="s">
        <v>597</v>
      </c>
      <c r="Y108" s="11" t="s">
        <v>598</v>
      </c>
      <c r="Z108" s="11" t="s">
        <v>37</v>
      </c>
      <c r="AA108" s="12" t="s">
        <v>37</v>
      </c>
    </row>
    <row r="109" customFormat="false" ht="16.4" hidden="false" customHeight="false" outlineLevel="0" collapsed="false">
      <c r="A109" s="7" t="s">
        <v>599</v>
      </c>
      <c r="B109" s="1" t="s">
        <v>600</v>
      </c>
      <c r="C109" s="1" t="s">
        <v>37</v>
      </c>
      <c r="D109" s="8" t="n">
        <v>21</v>
      </c>
      <c r="E109" s="9" t="n">
        <f aca="false">VLOOKUP(D109,'[1]REF Tables'!$A$2:$B$40,2)</f>
        <v>33000</v>
      </c>
      <c r="F109" s="1" t="s">
        <v>601</v>
      </c>
      <c r="G109" s="10" t="n">
        <v>20</v>
      </c>
      <c r="H109" s="1" t="s">
        <v>602</v>
      </c>
      <c r="I109" s="1" t="s">
        <v>603</v>
      </c>
      <c r="J109" s="10" t="n">
        <v>28</v>
      </c>
      <c r="K109" s="1" t="str">
        <f aca="false">IF(J109=1,"-5",IF(OR(J109=2,J109=3),"-4",IF(OR(J109=4,J109=5),"-3",IF(OR(J109=6,J109=7),"-2",IF(OR(J109=8,J109=9),"-1",IF(OR(J109=10,J109=11),"0",IF(OR(J109=12,J109=13),"+1",IF(OR(J109=14,J109=15),"+2",IF(OR(J109=16,J109=17),"+3",IF(OR(J109=18,J109=19),"+4",IF(OR(J109=20,J109=21),"+5",IF(OR(J109=22,J109=23),"+6",IF(OR(J109=24,J109=25),"+7",IF(OR(J109=26,J109=27),"+8",IF(OR(J109=28,J109=29),"+9",IF(J109=30,"+10"," "))))))))))))))))</f>
        <v>+9</v>
      </c>
      <c r="L109" s="10" t="n">
        <v>7</v>
      </c>
      <c r="M109" s="1" t="str">
        <f aca="false">IF(L109=1,"-5",IF(OR(L109=2,L109=3),"-4",IF(OR(L109=4,L109=5),"-3",IF(OR(L109=6,L109=7),"-2",IF(OR(L109=8,L109=9),"-1",IF(OR(L109=10,L109=11),"0",IF(OR(L109=12,L109=13),"+1",IF(OR(L109=14,L109=15),"+2",IF(OR(L109=16,L109=17),"+3",IF(OR(L109=18,L109=19),"+4",IF(OR(L109=20,L109=21),"+5",IF(OR(L109=22,L109=23),"+6",IF(OR(L109=24,L109=25),"+7",IF(OR(L109=26,L109=27),"+8",IF(OR(L109=28,L109=29),"+9",IF(L109=30,"+10"," "))))))))))))))))</f>
        <v>-2</v>
      </c>
      <c r="N109" s="10" t="n">
        <v>25</v>
      </c>
      <c r="O109" s="1" t="str">
        <f aca="false">IF(N109=1,"-5",IF(OR(N109=2,N109=3),"-4",IF(OR(N109=4,N109=5),"-3",IF(OR(N109=6,N109=7),"-2",IF(OR(N109=8,N109=9),"-1",IF(OR(N109=10,N109=11),"0",IF(OR(N109=12,N109=13),"+1",IF(OR(N109=14,N109=15),"+2",IF(OR(N109=16,N109=17),"+3",IF(OR(N109=18,N109=19),"+4",IF(OR(N109=20,N109=21),"+5",IF(OR(N109=22,N109=23),"+6",IF(OR(N109=24,N109=25),"+7",IF(OR(N109=26,N109=27),"+8",IF(OR(N109=28,N109=29),"+9",IF(N109=30,"+10"," "))))))))))))))))</f>
        <v>+7</v>
      </c>
      <c r="P109" s="10" t="n">
        <v>5</v>
      </c>
      <c r="Q109" s="1" t="str">
        <f aca="false">IF(P109=1,"-5",IF(OR(P109=2,P109=3),"-4",IF(OR(P109=4,P109=5),"-3",IF(OR(P109=6,P109=7),"-2",IF(OR(P109=8,P109=9),"-1",IF(OR(P109=10,P109=11),"0",IF(OR(P109=12,P109=13),"+1",IF(OR(P109=14,P109=15),"+2",IF(OR(P109=16,P109=17),"+3",IF(OR(P109=18,P109=19),"+4",IF(OR(P109=20,P109=21),"+5",IF(OR(P109=22,P109=23),"+6",IF(OR(P109=24,P109=25),"+7",IF(OR(P109=26,P109=27),"+8",IF(OR(P109=28,P109=29),"+9",IF(P109=30,"+10"," "))))))))))))))))</f>
        <v>-3</v>
      </c>
      <c r="R109" s="10" t="n">
        <v>14</v>
      </c>
      <c r="S109" s="1" t="str">
        <f aca="false">IF(R109=1,"-5",IF(OR(R109=2,R109=3),"-4",IF(OR(R109=4,R109=5),"-3",IF(OR(R109=6,R109=7),"-2",IF(OR(R109=8,R109=9),"-1",IF(OR(R109=10,R109=11),"0",IF(OR(R109=12,R109=13),"+1",IF(OR(R109=14,R109=15),"+2",IF(OR(R109=16,R109=17),"+3",IF(OR(R109=18,R109=19),"+4",IF(OR(R109=20,R109=21),"+5",IF(OR(R109=22,R109=23),"+6",IF(OR(R109=24,R109=25),"+7",IF(OR(R109=26,R109=27),"+8",IF(OR(R109=28,R109=29),"+9",IF(R109=30,"+10"," "))))))))))))))))</f>
        <v>+2</v>
      </c>
      <c r="T109" s="10" t="n">
        <v>18</v>
      </c>
      <c r="U109" s="1" t="str">
        <f aca="false">IF(T109=1,"-5",IF(OR(T109=2,T109=3),"-4",IF(OR(T109=4,T109=5),"-3",IF(OR(T109=6,T109=7),"-2",IF(OR(T109=8,T109=9),"-1",IF(OR(T109=10,T109=11),"0",IF(OR(T109=12,T109=13),"+1",IF(OR(T109=14,T109=15),"+2",IF(OR(T109=16,T109=17),"+3",IF(OR(T109=18,T109=19),"+4",IF(OR(T109=20,T109=21),"+5",IF(OR(T109=22,T109=23),"+6",IF(OR(T109=24,T109=25),"+7",IF(OR(T109=26,T109=27),"+8",IF(OR(T109=28,T109=29),"+9",IF(T109=30,"+10"," "))))))))))))))))</f>
        <v>+4</v>
      </c>
      <c r="V109" s="1" t="s">
        <v>604</v>
      </c>
      <c r="W109" s="1" t="s">
        <v>37</v>
      </c>
      <c r="X109" s="11" t="s">
        <v>605</v>
      </c>
      <c r="Y109" s="11" t="s">
        <v>606</v>
      </c>
      <c r="Z109" s="11" t="s">
        <v>37</v>
      </c>
      <c r="AA109" s="12" t="s">
        <v>607</v>
      </c>
      <c r="AB109" s="1"/>
      <c r="AC109" s="1"/>
      <c r="AD109" s="1"/>
      <c r="AE109" s="1"/>
      <c r="AF109" s="1"/>
    </row>
    <row r="110" customFormat="false" ht="16.4" hidden="false" customHeight="false" outlineLevel="0" collapsed="false">
      <c r="A110" s="14" t="s">
        <v>608</v>
      </c>
      <c r="B110" s="1" t="s">
        <v>39</v>
      </c>
      <c r="C110" s="1" t="s">
        <v>609</v>
      </c>
      <c r="D110" s="5" t="n">
        <v>0.125</v>
      </c>
      <c r="E110" s="3" t="n">
        <f aca="false">VLOOKUP(D110,'[1]REF Tables'!$A$2:$B$40,2)</f>
        <v>25</v>
      </c>
      <c r="F110" s="1" t="s">
        <v>30</v>
      </c>
      <c r="G110" s="1" t="n">
        <v>12</v>
      </c>
      <c r="H110" s="1" t="s">
        <v>64</v>
      </c>
      <c r="I110" s="3" t="s">
        <v>42</v>
      </c>
      <c r="J110" s="1" t="n">
        <v>11</v>
      </c>
      <c r="K110" s="1" t="str">
        <f aca="false">IF(J110=1,"-5",IF(OR(J110=2,J110=3),"-4",IF(OR(J110=4,J110=5),"-3",IF(OR(J110=6,J110=7),"-2",IF(OR(J110=8,J110=9),"-1",IF(OR(J110=10,J110=11),"0",IF(OR(J110=12,J110=13),"+1",IF(OR(J110=14,J110=15),"+2",IF(OR(J110=16,J110=17),"+3",IF(OR(J110=18,J110=19),"+4",IF(OR(J110=20,J110=21),"+5",IF(OR(J110=22,J110=23),"+6",IF(OR(J110=24,J110=25),"+7",IF(OR(J110=26,J110=27),"+8",IF(OR(J110=28,J110=29),"+9",IF(J110=30,"+10"," "))))))))))))))))</f>
        <v>0</v>
      </c>
      <c r="L110" s="1" t="n">
        <v>12</v>
      </c>
      <c r="M110" s="1" t="str">
        <f aca="false">IF(L110=1,"-5",IF(OR(L110=2,L110=3),"-4",IF(OR(L110=4,L110=5),"-3",IF(OR(L110=6,L110=7),"-2",IF(OR(L110=8,L110=9),"-1",IF(OR(L110=10,L110=11),"0",IF(OR(L110=12,L110=13),"+1",IF(OR(L110=14,L110=15),"+2",IF(OR(L110=16,L110=17),"+3",IF(OR(L110=18,L110=19),"+4",IF(OR(L110=20,L110=21),"+5",IF(OR(L110=22,L110=23),"+6",IF(OR(L110=24,L110=25),"+7",IF(OR(L110=26,L110=27),"+8",IF(OR(L110=28,L110=29),"+9",IF(L110=30,"+10"," "))))))))))))))))</f>
        <v>+1</v>
      </c>
      <c r="N110" s="1" t="n">
        <v>10</v>
      </c>
      <c r="O110" s="1" t="str">
        <f aca="false">IF(N110=1,"-5",IF(OR(N110=2,N110=3),"-4",IF(OR(N110=4,N110=5),"-3",IF(OR(N110=6,N110=7),"-2",IF(OR(N110=8,N110=9),"-1",IF(OR(N110=10,N110=11),"0",IF(OR(N110=12,N110=13),"+1",IF(OR(N110=14,N110=15),"+2",IF(OR(N110=16,N110=17),"+3",IF(OR(N110=18,N110=19),"+4",IF(OR(N110=20,N110=21),"+5",IF(OR(N110=22,N110=23),"+6",IF(OR(N110=24,N110=25),"+7",IF(OR(N110=26,N110=27),"+8",IF(OR(N110=28,N110=29),"+9",IF(N110=30,"+10"," "))))))))))))))))</f>
        <v>0</v>
      </c>
      <c r="P110" s="1" t="n">
        <v>10</v>
      </c>
      <c r="Q110" s="1" t="str">
        <f aca="false">IF(P110=1,"-5",IF(OR(P110=2,P110=3),"-4",IF(OR(P110=4,P110=5),"-3",IF(OR(P110=6,P110=7),"-2",IF(OR(P110=8,P110=9),"-1",IF(OR(P110=10,P110=11),"0",IF(OR(P110=12,P110=13),"+1",IF(OR(P110=14,P110=15),"+2",IF(OR(P110=16,P110=17),"+3",IF(OR(P110=18,P110=19),"+4",IF(OR(P110=20,P110=21),"+5",IF(OR(P110=22,P110=23),"+6",IF(OR(P110=24,P110=25),"+7",IF(OR(P110=26,P110=27),"+8",IF(OR(P110=28,P110=29),"+9",IF(P110=30,"+10"," "))))))))))))))))</f>
        <v>0</v>
      </c>
      <c r="R110" s="1" t="n">
        <v>11</v>
      </c>
      <c r="S110" s="1" t="str">
        <f aca="false">IF(R110=1,"-5",IF(OR(R110=2,R110=3),"-4",IF(OR(R110=4,R110=5),"-3",IF(OR(R110=6,R110=7),"-2",IF(OR(R110=8,R110=9),"-1",IF(OR(R110=10,R110=11),"0",IF(OR(R110=12,R110=13),"+1",IF(OR(R110=14,R110=15),"+2",IF(OR(R110=16,R110=17),"+3",IF(OR(R110=18,R110=19),"+4",IF(OR(R110=20,R110=21),"+5",IF(OR(R110=22,R110=23),"+6",IF(OR(R110=24,R110=25),"+7",IF(OR(R110=26,R110=27),"+8",IF(OR(R110=28,R110=29),"+9",IF(R110=30,"+10"," "))))))))))))))))</f>
        <v>0</v>
      </c>
      <c r="T110" s="1" t="n">
        <v>10</v>
      </c>
      <c r="U110" s="1" t="str">
        <f aca="false">IF(T110=1,"-5",IF(OR(T110=2,T110=3),"-4",IF(OR(T110=4,T110=5),"-3",IF(OR(T110=6,T110=7),"-2",IF(OR(T110=8,T110=9),"-1",IF(OR(T110=10,T110=11),"0",IF(OR(T110=12,T110=13),"+1",IF(OR(T110=14,T110=15),"+2",IF(OR(T110=16,T110=17),"+3",IF(OR(T110=18,T110=19),"+4",IF(OR(T110=20,T110=21),"+5",IF(OR(T110=22,T110=23),"+6",IF(OR(T110=24,T110=25),"+7",IF(OR(T110=26,T110=27),"+8",IF(OR(T110=28,T110=29),"+9",IF(T110=30,"+10"," "))))))))))))))))</f>
        <v>0</v>
      </c>
      <c r="V110" s="1" t="s">
        <v>610</v>
      </c>
      <c r="W110" s="1" t="s">
        <v>271</v>
      </c>
      <c r="X110" s="2" t="s">
        <v>611</v>
      </c>
      <c r="Y110" s="2" t="s">
        <v>612</v>
      </c>
      <c r="Z110" s="2" t="s">
        <v>37</v>
      </c>
      <c r="AA110" s="1" t="s">
        <v>37</v>
      </c>
    </row>
    <row r="111" customFormat="false" ht="16.4" hidden="false" customHeight="false" outlineLevel="0" collapsed="false">
      <c r="A111" s="15" t="s">
        <v>613</v>
      </c>
      <c r="B111" s="3" t="s">
        <v>614</v>
      </c>
      <c r="C111" s="3" t="s">
        <v>590</v>
      </c>
      <c r="D111" s="16" t="n">
        <v>6</v>
      </c>
      <c r="E111" s="6" t="n">
        <f aca="false">VLOOKUP(D111,'[1]REF Tables'!$A$2:$B$40,2)</f>
        <v>2300</v>
      </c>
      <c r="F111" s="3" t="s">
        <v>121</v>
      </c>
      <c r="G111" s="3" t="n">
        <v>14</v>
      </c>
      <c r="H111" s="3" t="s">
        <v>615</v>
      </c>
      <c r="I111" s="3" t="s">
        <v>42</v>
      </c>
      <c r="J111" s="3" t="n">
        <v>22</v>
      </c>
      <c r="K111" s="1" t="str">
        <f aca="false">IF(J111=1,"-5",IF(OR(J111=2,J111=3),"-4",IF(OR(J111=4,J111=5),"-3",IF(OR(J111=6,J111=7),"-2",IF(OR(J111=8,J111=9),"-1",IF(OR(J111=10,J111=11),"0",IF(OR(J111=12,J111=13),"+1",IF(OR(J111=14,J111=15),"+2",IF(OR(J111=16,J111=17),"+3",IF(OR(J111=18,J111=19),"+4",IF(OR(J111=20,J111=21),"+5",IF(OR(J111=22,J111=23),"+6",IF(OR(J111=24,J111=25),"+7",IF(OR(J111=26,J111=27),"+8",IF(OR(J111=28,J111=29),"+9",IF(J111=30,"+10"," "))))))))))))))))</f>
        <v>+6</v>
      </c>
      <c r="L111" s="3" t="n">
        <v>11</v>
      </c>
      <c r="M111" s="1" t="str">
        <f aca="false">IF(L111=1,"-5",IF(OR(L111=2,L111=3),"-4",IF(OR(L111=4,L111=5),"-3",IF(OR(L111=6,L111=7),"-2",IF(OR(L111=8,L111=9),"-1",IF(OR(L111=10,L111=11),"0",IF(OR(L111=12,L111=13),"+1",IF(OR(L111=14,L111=15),"+2",IF(OR(L111=16,L111=17),"+3",IF(OR(L111=18,L111=19),"+4",IF(OR(L111=20,L111=21),"+5",IF(OR(L111=22,L111=23),"+6",IF(OR(L111=24,L111=25),"+7",IF(OR(L111=26,L111=27),"+8",IF(OR(L111=28,L111=29),"+9",IF(L111=30,"+10"," "))))))))))))))))</f>
        <v>0</v>
      </c>
      <c r="N111" s="3" t="n">
        <v>20</v>
      </c>
      <c r="O111" s="1" t="str">
        <f aca="false">IF(N111=1,"-5",IF(OR(N111=2,N111=3),"-4",IF(OR(N111=4,N111=5),"-3",IF(OR(N111=6,N111=7),"-2",IF(OR(N111=8,N111=9),"-1",IF(OR(N111=10,N111=11),"0",IF(OR(N111=12,N111=13),"+1",IF(OR(N111=14,N111=15),"+2",IF(OR(N111=16,N111=17),"+3",IF(OR(N111=18,N111=19),"+4",IF(OR(N111=20,N111=21),"+5",IF(OR(N111=22,N111=23),"+6",IF(OR(N111=24,N111=25),"+7",IF(OR(N111=26,N111=27),"+8",IF(OR(N111=28,N111=29),"+9",IF(N111=30,"+10"," "))))))))))))))))</f>
        <v>+5</v>
      </c>
      <c r="P111" s="3" t="n">
        <v>8</v>
      </c>
      <c r="Q111" s="1" t="str">
        <f aca="false">IF(P111=1,"-5",IF(OR(P111=2,P111=3),"-4",IF(OR(P111=4,P111=5),"-3",IF(OR(P111=6,P111=7),"-2",IF(OR(P111=8,P111=9),"-1",IF(OR(P111=10,P111=11),"0",IF(OR(P111=12,P111=13),"+1",IF(OR(P111=14,P111=15),"+2",IF(OR(P111=16,P111=17),"+3",IF(OR(P111=18,P111=19),"+4",IF(OR(P111=20,P111=21),"+5",IF(OR(P111=22,P111=23),"+6",IF(OR(P111=24,P111=25),"+7",IF(OR(P111=26,P111=27),"+8",IF(OR(P111=28,P111=29),"+9",IF(P111=30,"+10"," "))))))))))))))))</f>
        <v>-1</v>
      </c>
      <c r="R111" s="3" t="n">
        <v>6</v>
      </c>
      <c r="S111" s="1" t="str">
        <f aca="false">IF(R111=1,"-5",IF(OR(R111=2,R111=3),"-4",IF(OR(R111=4,R111=5),"-3",IF(OR(R111=6,R111=7),"-2",IF(OR(R111=8,R111=9),"-1",IF(OR(R111=10,R111=11),"0",IF(OR(R111=12,R111=13),"+1",IF(OR(R111=14,R111=15),"+2",IF(OR(R111=16,R111=17),"+3",IF(OR(R111=18,R111=19),"+4",IF(OR(R111=20,R111=21),"+5",IF(OR(R111=22,R111=23),"+6",IF(OR(R111=24,R111=25),"+7",IF(OR(R111=26,R111=27),"+8",IF(OR(R111=28,R111=29),"+9",IF(R111=30,"+10"," "))))))))))))))))</f>
        <v>-2</v>
      </c>
      <c r="T111" s="3" t="n">
        <v>10</v>
      </c>
      <c r="U111" s="1" t="str">
        <f aca="false">IF(T111=1,"-5",IF(OR(T111=2,T111=3),"-4",IF(OR(T111=4,T111=5),"-3",IF(OR(T111=6,T111=7),"-2",IF(OR(T111=8,T111=9),"-1",IF(OR(T111=10,T111=11),"0",IF(OR(T111=12,T111=13),"+1",IF(OR(T111=14,T111=15),"+2",IF(OR(T111=16,T111=17),"+3",IF(OR(T111=18,T111=19),"+4",IF(OR(T111=20,T111=21),"+5",IF(OR(T111=22,T111=23),"+6",IF(OR(T111=24,T111=25),"+7",IF(OR(T111=26,T111=27),"+8",IF(OR(T111=28,T111=29),"+9",IF(T111=30,"+10"," "))))))))))))))))</f>
        <v>0</v>
      </c>
      <c r="V111" s="3" t="s">
        <v>37</v>
      </c>
      <c r="W111" s="3" t="s">
        <v>616</v>
      </c>
      <c r="X111" s="11" t="s">
        <v>617</v>
      </c>
      <c r="Y111" s="11" t="s">
        <v>618</v>
      </c>
      <c r="Z111" s="11" t="s">
        <v>37</v>
      </c>
      <c r="AA111" s="12" t="s">
        <v>37</v>
      </c>
    </row>
    <row r="112" customFormat="false" ht="16.4" hidden="false" customHeight="false" outlineLevel="0" collapsed="false">
      <c r="A112" s="15" t="s">
        <v>619</v>
      </c>
      <c r="B112" s="3" t="s">
        <v>214</v>
      </c>
      <c r="C112" s="3" t="s">
        <v>85</v>
      </c>
      <c r="D112" s="16" t="n">
        <v>11</v>
      </c>
      <c r="E112" s="6" t="n">
        <f aca="false">VLOOKUP(D112,'[1]REF Tables'!$A$2:$B$40,2)</f>
        <v>7200</v>
      </c>
      <c r="F112" s="3" t="s">
        <v>50</v>
      </c>
      <c r="G112" s="3" t="n">
        <v>18</v>
      </c>
      <c r="H112" s="3" t="s">
        <v>620</v>
      </c>
      <c r="I112" s="3" t="s">
        <v>621</v>
      </c>
      <c r="J112" s="3" t="n">
        <v>23</v>
      </c>
      <c r="K112" s="1" t="str">
        <f aca="false">IF(J112=1,"-5",IF(OR(J112=2,J112=3),"-4",IF(OR(J112=4,J112=5),"-3",IF(OR(J112=6,J112=7),"-2",IF(OR(J112=8,J112=9),"-1",IF(OR(J112=10,J112=11),"0",IF(OR(J112=12,J112=13),"+1",IF(OR(J112=14,J112=15),"+2",IF(OR(J112=16,J112=17),"+3",IF(OR(J112=18,J112=19),"+4",IF(OR(J112=20,J112=21),"+5",IF(OR(J112=22,J112=23),"+6",IF(OR(J112=24,J112=25),"+7",IF(OR(J112=26,J112=27),"+8",IF(OR(J112=28,J112=29),"+9",IF(J112=30,"+10"," "))))))))))))))))</f>
        <v>+6</v>
      </c>
      <c r="L112" s="3" t="n">
        <v>12</v>
      </c>
      <c r="M112" s="1" t="str">
        <f aca="false">IF(L112=1,"-5",IF(OR(L112=2,L112=3),"-4",IF(OR(L112=4,L112=5),"-3",IF(OR(L112=6,L112=7),"-2",IF(OR(L112=8,L112=9),"-1",IF(OR(L112=10,L112=11),"0",IF(OR(L112=12,L112=13),"+1",IF(OR(L112=14,L112=15),"+2",IF(OR(L112=16,L112=17),"+3",IF(OR(L112=18,L112=19),"+4",IF(OR(L112=20,L112=21),"+5",IF(OR(L112=22,L112=23),"+6",IF(OR(L112=24,L112=25),"+7",IF(OR(L112=26,L112=27),"+8",IF(OR(L112=28,L112=29),"+9",IF(L112=30,"+10"," "))))))))))))))))</f>
        <v>+1</v>
      </c>
      <c r="N112" s="3" t="n">
        <v>24</v>
      </c>
      <c r="O112" s="1" t="str">
        <f aca="false">IF(N112=1,"-5",IF(OR(N112=2,N112=3),"-4",IF(OR(N112=4,N112=5),"-3",IF(OR(N112=6,N112=7),"-2",IF(OR(N112=8,N112=9),"-1",IF(OR(N112=10,N112=11),"0",IF(OR(N112=12,N112=13),"+1",IF(OR(N112=14,N112=15),"+2",IF(OR(N112=16,N112=17),"+3",IF(OR(N112=18,N112=19),"+4",IF(OR(N112=20,N112=21),"+5",IF(OR(N112=22,N112=23),"+6",IF(OR(N112=24,N112=25),"+7",IF(OR(N112=26,N112=27),"+8",IF(OR(N112=28,N112=29),"+9",IF(N112=30,"+10"," "))))))))))))))))</f>
        <v>+7</v>
      </c>
      <c r="P112" s="3" t="n">
        <v>12</v>
      </c>
      <c r="Q112" s="1" t="str">
        <f aca="false">IF(P112=1,"-5",IF(OR(P112=2,P112=3),"-4",IF(OR(P112=4,P112=5),"-3",IF(OR(P112=6,P112=7),"-2",IF(OR(P112=8,P112=9),"-1",IF(OR(P112=10,P112=11),"0",IF(OR(P112=12,P112=13),"+1",IF(OR(P112=14,P112=15),"+2",IF(OR(P112=16,P112=17),"+3",IF(OR(P112=18,P112=19),"+4",IF(OR(P112=20,P112=21),"+5",IF(OR(P112=22,P112=23),"+6",IF(OR(P112=24,P112=25),"+7",IF(OR(P112=26,P112=27),"+8",IF(OR(P112=28,P112=29),"+9",IF(P112=30,"+10"," "))))))))))))))))</f>
        <v>+1</v>
      </c>
      <c r="R112" s="3" t="n">
        <v>13</v>
      </c>
      <c r="S112" s="1" t="str">
        <f aca="false">IF(R112=1,"-5",IF(OR(R112=2,R112=3),"-4",IF(OR(R112=4,R112=5),"-3",IF(OR(R112=6,R112=7),"-2",IF(OR(R112=8,R112=9),"-1",IF(OR(R112=10,R112=11),"0",IF(OR(R112=12,R112=13),"+1",IF(OR(R112=14,R112=15),"+2",IF(OR(R112=16,R112=17),"+3",IF(OR(R112=18,R112=19),"+4",IF(OR(R112=20,R112=21),"+5",IF(OR(R112=22,R112=23),"+6",IF(OR(R112=24,R112=25),"+7",IF(OR(R112=26,R112=27),"+8",IF(OR(R112=28,R112=29),"+9",IF(R112=30,"+10"," "))))))))))))))))</f>
        <v>+1</v>
      </c>
      <c r="T112" s="3" t="n">
        <v>14</v>
      </c>
      <c r="U112" s="1" t="str">
        <f aca="false">IF(T112=1,"-5",IF(OR(T112=2,T112=3),"-4",IF(OR(T112=4,T112=5),"-3",IF(OR(T112=6,T112=7),"-2",IF(OR(T112=8,T112=9),"-1",IF(OR(T112=10,T112=11),"0",IF(OR(T112=12,T112=13),"+1",IF(OR(T112=14,T112=15),"+2",IF(OR(T112=16,T112=17),"+3",IF(OR(T112=18,T112=19),"+4",IF(OR(T112=20,T112=21),"+5",IF(OR(T112=22,T112=23),"+6",IF(OR(T112=24,T112=25),"+7",IF(OR(T112=26,T112=27),"+8",IF(OR(T112=28,T112=29),"+9",IF(T112=30,"+10"," "))))))))))))))))</f>
        <v>+2</v>
      </c>
      <c r="V112" s="3" t="s">
        <v>622</v>
      </c>
      <c r="W112" s="3" t="s">
        <v>623</v>
      </c>
      <c r="X112" s="11" t="s">
        <v>624</v>
      </c>
      <c r="Y112" s="11" t="s">
        <v>625</v>
      </c>
      <c r="Z112" s="11" t="s">
        <v>37</v>
      </c>
      <c r="AA112" s="12" t="s">
        <v>37</v>
      </c>
    </row>
    <row r="113" customFormat="false" ht="16.4" hidden="false" customHeight="false" outlineLevel="0" collapsed="false">
      <c r="A113" s="7" t="s">
        <v>626</v>
      </c>
      <c r="B113" s="1" t="s">
        <v>627</v>
      </c>
      <c r="C113" s="1" t="s">
        <v>106</v>
      </c>
      <c r="D113" s="8" t="n">
        <v>14</v>
      </c>
      <c r="E113" s="9" t="n">
        <f aca="false">VLOOKUP(D113,'[1]REF Tables'!$A$2:$B$40,2)</f>
        <v>11500</v>
      </c>
      <c r="F113" s="1" t="s">
        <v>121</v>
      </c>
      <c r="G113" s="10" t="n">
        <v>18</v>
      </c>
      <c r="H113" s="1" t="s">
        <v>628</v>
      </c>
      <c r="I113" s="1" t="s">
        <v>629</v>
      </c>
      <c r="J113" s="10" t="n">
        <v>23</v>
      </c>
      <c r="K113" s="1" t="str">
        <f aca="false">IF(J113=1,"-5",IF(OR(J113=2,J113=3),"-4",IF(OR(J113=4,J113=5),"-3",IF(OR(J113=6,J113=7),"-2",IF(OR(J113=8,J113=9),"-1",IF(OR(J113=10,J113=11),"0",IF(OR(J113=12,J113=13),"+1",IF(OR(J113=14,J113=15),"+2",IF(OR(J113=16,J113=17),"+3",IF(OR(J113=18,J113=19),"+4",IF(OR(J113=20,J113=21),"+5",IF(OR(J113=22,J113=23),"+6",IF(OR(J113=24,J113=25),"+7",IF(OR(J113=26,J113=27),"+8",IF(OR(J113=28,J113=29),"+9",IF(J113=30,"+10"," "))))))))))))))))</f>
        <v>+6</v>
      </c>
      <c r="L113" s="10" t="n">
        <v>12</v>
      </c>
      <c r="M113" s="1" t="str">
        <f aca="false">IF(L113=1,"-5",IF(OR(L113=2,L113=3),"-4",IF(OR(L113=4,L113=5),"-3",IF(OR(L113=6,L113=7),"-2",IF(OR(L113=8,L113=9),"-1",IF(OR(L113=10,L113=11),"0",IF(OR(L113=12,L113=13),"+1",IF(OR(L113=14,L113=15),"+2",IF(OR(L113=16,L113=17),"+3",IF(OR(L113=18,L113=19),"+4",IF(OR(L113=20,L113=21),"+5",IF(OR(L113=22,L113=23),"+6",IF(OR(L113=24,L113=25),"+7",IF(OR(L113=26,L113=27),"+8",IF(OR(L113=28,L113=29),"+9",IF(L113=30,"+10"," "))))))))))))))))</f>
        <v>+1</v>
      </c>
      <c r="N113" s="10" t="n">
        <v>21</v>
      </c>
      <c r="O113" s="1" t="str">
        <f aca="false">IF(N113=1,"-5",IF(OR(N113=2,N113=3),"-4",IF(OR(N113=4,N113=5),"-3",IF(OR(N113=6,N113=7),"-2",IF(OR(N113=8,N113=9),"-1",IF(OR(N113=10,N113=11),"0",IF(OR(N113=12,N113=13),"+1",IF(OR(N113=14,N113=15),"+2",IF(OR(N113=16,N113=17),"+3",IF(OR(N113=18,N113=19),"+4",IF(OR(N113=20,N113=21),"+5",IF(OR(N113=22,N113=23),"+6",IF(OR(N113=24,N113=25),"+7",IF(OR(N113=26,N113=27),"+8",IF(OR(N113=28,N113=29),"+9",IF(N113=30,"+10"," "))))))))))))))))</f>
        <v>+5</v>
      </c>
      <c r="P113" s="10" t="n">
        <v>18</v>
      </c>
      <c r="Q113" s="1" t="str">
        <f aca="false">IF(P113=1,"-5",IF(OR(P113=2,P113=3),"-4",IF(OR(P113=4,P113=5),"-3",IF(OR(P113=6,P113=7),"-2",IF(OR(P113=8,P113=9),"-1",IF(OR(P113=10,P113=11),"0",IF(OR(P113=12,P113=13),"+1",IF(OR(P113=14,P113=15),"+2",IF(OR(P113=16,P113=17),"+3",IF(OR(P113=18,P113=19),"+4",IF(OR(P113=20,P113=21),"+5",IF(OR(P113=22,P113=23),"+6",IF(OR(P113=24,P113=25),"+7",IF(OR(P113=26,P113=27),"+8",IF(OR(P113=28,P113=29),"+9",IF(P113=30,"+10"," "))))))))))))))))</f>
        <v>+4</v>
      </c>
      <c r="R113" s="10" t="n">
        <v>16</v>
      </c>
      <c r="S113" s="1" t="str">
        <f aca="false">IF(R113=1,"-5",IF(OR(R113=2,R113=3),"-4",IF(OR(R113=4,R113=5),"-3",IF(OR(R113=6,R113=7),"-2",IF(OR(R113=8,R113=9),"-1",IF(OR(R113=10,R113=11),"0",IF(OR(R113=12,R113=13),"+1",IF(OR(R113=14,R113=15),"+2",IF(OR(R113=16,R113=17),"+3",IF(OR(R113=18,R113=19),"+4",IF(OR(R113=20,R113=21),"+5",IF(OR(R113=22,R113=23),"+6",IF(OR(R113=24,R113=25),"+7",IF(OR(R113=26,R113=27),"+8",IF(OR(R113=28,R113=29),"+9",IF(R113=30,"+10"," "))))))))))))))))</f>
        <v>+3</v>
      </c>
      <c r="T113" s="10" t="n">
        <v>18</v>
      </c>
      <c r="U113" s="1" t="str">
        <f aca="false">IF(T113=1,"-5",IF(OR(T113=2,T113=3),"-4",IF(OR(T113=4,T113=5),"-3",IF(OR(T113=6,T113=7),"-2",IF(OR(T113=8,T113=9),"-1",IF(OR(T113=10,T113=11),"0",IF(OR(T113=12,T113=13),"+1",IF(OR(T113=14,T113=15),"+2",IF(OR(T113=16,T113=17),"+3",IF(OR(T113=18,T113=19),"+4",IF(OR(T113=20,T113=21),"+5",IF(OR(T113=22,T113=23),"+6",IF(OR(T113=24,T113=25),"+7",IF(OR(T113=26,T113=27),"+8",IF(OR(T113=28,T113=29),"+9",IF(T113=30,"+10"," "))))))))))))))))</f>
        <v>+4</v>
      </c>
      <c r="V113" s="1" t="s">
        <v>630</v>
      </c>
      <c r="W113" s="1" t="s">
        <v>631</v>
      </c>
      <c r="X113" s="11" t="s">
        <v>632</v>
      </c>
      <c r="Y113" s="11" t="s">
        <v>633</v>
      </c>
      <c r="Z113" s="11" t="s">
        <v>37</v>
      </c>
      <c r="AA113" s="12" t="s">
        <v>634</v>
      </c>
      <c r="AB113" s="1"/>
      <c r="AC113" s="1"/>
      <c r="AD113" s="1"/>
      <c r="AE113" s="1"/>
      <c r="AF113" s="1"/>
    </row>
    <row r="114" customFormat="false" ht="16.4" hidden="false" customHeight="false" outlineLevel="0" collapsed="false">
      <c r="A114" s="15" t="s">
        <v>635</v>
      </c>
      <c r="B114" s="3" t="s">
        <v>59</v>
      </c>
      <c r="C114" s="3" t="s">
        <v>37</v>
      </c>
      <c r="D114" s="16" t="n">
        <v>0.125</v>
      </c>
      <c r="E114" s="3" t="n">
        <f aca="false">VLOOKUP(D114,'[1]REF Tables'!$A$2:$B$40,2)</f>
        <v>25</v>
      </c>
      <c r="F114" s="3" t="s">
        <v>30</v>
      </c>
      <c r="G114" s="3" t="n">
        <v>12</v>
      </c>
      <c r="H114" s="3" t="s">
        <v>636</v>
      </c>
      <c r="I114" s="3" t="s">
        <v>637</v>
      </c>
      <c r="J114" s="3" t="n">
        <v>14</v>
      </c>
      <c r="K114" s="1" t="str">
        <f aca="false">IF(J114=1,"-5",IF(OR(J114=2,J114=3),"-4",IF(OR(J114=4,J114=5),"-3",IF(OR(J114=6,J114=7),"-2",IF(OR(J114=8,J114=9),"-1",IF(OR(J114=10,J114=11),"0",IF(OR(J114=12,J114=13),"+1",IF(OR(J114=14,J114=15),"+2",IF(OR(J114=16,J114=17),"+3",IF(OR(J114=18,J114=19),"+4",IF(OR(J114=20,J114=21),"+5",IF(OR(J114=22,J114=23),"+6",IF(OR(J114=24,J114=25),"+7",IF(OR(J114=26,J114=27),"+8",IF(OR(J114=28,J114=29),"+9",IF(J114=30,"+10"," "))))))))))))))))</f>
        <v>+2</v>
      </c>
      <c r="L114" s="3" t="n">
        <v>13</v>
      </c>
      <c r="M114" s="1" t="str">
        <f aca="false">IF(L114=1,"-5",IF(OR(L114=2,L114=3),"-4",IF(OR(L114=4,L114=5),"-3",IF(OR(L114=6,L114=7),"-2",IF(OR(L114=8,L114=9),"-1",IF(OR(L114=10,L114=11),"0",IF(OR(L114=12,L114=13),"+1",IF(OR(L114=14,L114=15),"+2",IF(OR(L114=16,L114=17),"+3",IF(OR(L114=18,L114=19),"+4",IF(OR(L114=20,L114=21),"+5",IF(OR(L114=22,L114=23),"+6",IF(OR(L114=24,L114=25),"+7",IF(OR(L114=26,L114=27),"+8",IF(OR(L114=28,L114=29),"+9",IF(L114=30,"+10"," "))))))))))))))))</f>
        <v>+1</v>
      </c>
      <c r="N114" s="3" t="n">
        <v>13</v>
      </c>
      <c r="O114" s="1" t="str">
        <f aca="false">IF(N114=1,"-5",IF(OR(N114=2,N114=3),"-4",IF(OR(N114=4,N114=5),"-3",IF(OR(N114=6,N114=7),"-2",IF(OR(N114=8,N114=9),"-1",IF(OR(N114=10,N114=11),"0",IF(OR(N114=12,N114=13),"+1",IF(OR(N114=14,N114=15),"+2",IF(OR(N114=16,N114=17),"+3",IF(OR(N114=18,N114=19),"+4",IF(OR(N114=20,N114=21),"+5",IF(OR(N114=22,N114=23),"+6",IF(OR(N114=24,N114=25),"+7",IF(OR(N114=26,N114=27),"+8",IF(OR(N114=28,N114=29),"+9",IF(N114=30,"+10"," "))))))))))))))))</f>
        <v>+1</v>
      </c>
      <c r="P114" s="3" t="n">
        <v>6</v>
      </c>
      <c r="Q114" s="1" t="str">
        <f aca="false">IF(P114=1,"-5",IF(OR(P114=2,P114=3),"-4",IF(OR(P114=4,P114=5),"-3",IF(OR(P114=6,P114=7),"-2",IF(OR(P114=8,P114=9),"-1",IF(OR(P114=10,P114=11),"0",IF(OR(P114=12,P114=13),"+1",IF(OR(P114=14,P114=15),"+2",IF(OR(P114=16,P114=17),"+3",IF(OR(P114=18,P114=19),"+4",IF(OR(P114=20,P114=21),"+5",IF(OR(P114=22,P114=23),"+6",IF(OR(P114=24,P114=25),"+7",IF(OR(P114=26,P114=27),"+8",IF(OR(P114=28,P114=29),"+9",IF(P114=30,"+10"," "))))))))))))))))</f>
        <v>-2</v>
      </c>
      <c r="R114" s="3" t="n">
        <v>12</v>
      </c>
      <c r="S114" s="1" t="str">
        <f aca="false">IF(R114=1,"-5",IF(OR(R114=2,R114=3),"-4",IF(OR(R114=4,R114=5),"-3",IF(OR(R114=6,R114=7),"-2",IF(OR(R114=8,R114=9),"-1",IF(OR(R114=10,R114=11),"0",IF(OR(R114=12,R114=13),"+1",IF(OR(R114=14,R114=15),"+2",IF(OR(R114=16,R114=17),"+3",IF(OR(R114=18,R114=19),"+4",IF(OR(R114=20,R114=21),"+5",IF(OR(R114=22,R114=23),"+6",IF(OR(R114=24,R114=25),"+7",IF(OR(R114=26,R114=27),"+8",IF(OR(R114=28,R114=29),"+9",IF(R114=30,"+10"," "))))))))))))))))</f>
        <v>+1</v>
      </c>
      <c r="T114" s="3" t="n">
        <v>7</v>
      </c>
      <c r="U114" s="1" t="str">
        <f aca="false">IF(T114=1,"-5",IF(OR(T114=2,T114=3),"-4",IF(OR(T114=4,T114=5),"-3",IF(OR(T114=6,T114=7),"-2",IF(OR(T114=8,T114=9),"-1",IF(OR(T114=10,T114=11),"0",IF(OR(T114=12,T114=13),"+1",IF(OR(T114=14,T114=15),"+2",IF(OR(T114=16,T114=17),"+3",IF(OR(T114=18,T114=19),"+4",IF(OR(T114=20,T114=21),"+5",IF(OR(T114=22,T114=23),"+6",IF(OR(T114=24,T114=25),"+7",IF(OR(T114=26,T114=27),"+8",IF(OR(T114=28,T114=29),"+9",IF(T114=30,"+10"," "))))))))))))))))</f>
        <v>-2</v>
      </c>
      <c r="V114" s="3" t="s">
        <v>416</v>
      </c>
      <c r="W114" s="3" t="s">
        <v>37</v>
      </c>
      <c r="X114" s="11" t="s">
        <v>638</v>
      </c>
      <c r="Y114" s="11" t="s">
        <v>639</v>
      </c>
      <c r="Z114" s="11" t="s">
        <v>37</v>
      </c>
      <c r="AA114" s="12" t="s">
        <v>37</v>
      </c>
    </row>
    <row r="115" customFormat="false" ht="16.4" hidden="false" customHeight="false" outlineLevel="0" collapsed="false">
      <c r="A115" s="15" t="s">
        <v>640</v>
      </c>
      <c r="B115" s="3" t="s">
        <v>641</v>
      </c>
      <c r="C115" s="3" t="s">
        <v>40</v>
      </c>
      <c r="D115" s="16" t="n">
        <v>5</v>
      </c>
      <c r="E115" s="6" t="n">
        <f aca="false">VLOOKUP(D115,'[1]REF Tables'!$A$2:$B$40,2)</f>
        <v>1800</v>
      </c>
      <c r="F115" s="3" t="s">
        <v>30</v>
      </c>
      <c r="G115" s="3" t="n">
        <v>18</v>
      </c>
      <c r="H115" s="3" t="s">
        <v>263</v>
      </c>
      <c r="I115" s="3" t="s">
        <v>42</v>
      </c>
      <c r="J115" s="3" t="n">
        <v>16</v>
      </c>
      <c r="K115" s="1" t="str">
        <f aca="false">IF(J115=1,"-5",IF(OR(J115=2,J115=3),"-4",IF(OR(J115=4,J115=5),"-3",IF(OR(J115=6,J115=7),"-2",IF(OR(J115=8,J115=9),"-1",IF(OR(J115=10,J115=11),"0",IF(OR(J115=12,J115=13),"+1",IF(OR(J115=14,J115=15),"+2",IF(OR(J115=16,J115=17),"+3",IF(OR(J115=18,J115=19),"+4",IF(OR(J115=20,J115=21),"+5",IF(OR(J115=22,J115=23),"+6",IF(OR(J115=24,J115=25),"+7",IF(OR(J115=26,J115=27),"+8",IF(OR(J115=28,J115=29),"+9",IF(J115=30,"+10"," "))))))))))))))))</f>
        <v>+3</v>
      </c>
      <c r="L115" s="3" t="n">
        <v>13</v>
      </c>
      <c r="M115" s="1" t="str">
        <f aca="false">IF(L115=1,"-5",IF(OR(L115=2,L115=3),"-4",IF(OR(L115=4,L115=5),"-3",IF(OR(L115=6,L115=7),"-2",IF(OR(L115=8,L115=9),"-1",IF(OR(L115=10,L115=11),"0",IF(OR(L115=12,L115=13),"+1",IF(OR(L115=14,L115=15),"+2",IF(OR(L115=16,L115=17),"+3",IF(OR(L115=18,L115=19),"+4",IF(OR(L115=20,L115=21),"+5",IF(OR(L115=22,L115=23),"+6",IF(OR(L115=24,L115=25),"+7",IF(OR(L115=26,L115=27),"+8",IF(OR(L115=28,L115=29),"+9",IF(L115=30,"+10"," "))))))))))))))))</f>
        <v>+1</v>
      </c>
      <c r="N115" s="3" t="n">
        <v>14</v>
      </c>
      <c r="O115" s="1" t="str">
        <f aca="false">IF(N115=1,"-5",IF(OR(N115=2,N115=3),"-4",IF(OR(N115=4,N115=5),"-3",IF(OR(N115=6,N115=7),"-2",IF(OR(N115=8,N115=9),"-1",IF(OR(N115=10,N115=11),"0",IF(OR(N115=12,N115=13),"+1",IF(OR(N115=14,N115=15),"+2",IF(OR(N115=16,N115=17),"+3",IF(OR(N115=18,N115=19),"+4",IF(OR(N115=20,N115=21),"+5",IF(OR(N115=22,N115=23),"+6",IF(OR(N115=24,N115=25),"+7",IF(OR(N115=26,N115=27),"+8",IF(OR(N115=28,N115=29),"+9",IF(N115=30,"+10"," "))))))))))))))))</f>
        <v>+2</v>
      </c>
      <c r="P115" s="3" t="n">
        <v>10</v>
      </c>
      <c r="Q115" s="1" t="str">
        <f aca="false">IF(P115=1,"-5",IF(OR(P115=2,P115=3),"-4",IF(OR(P115=4,P115=5),"-3",IF(OR(P115=6,P115=7),"-2",IF(OR(P115=8,P115=9),"-1",IF(OR(P115=10,P115=11),"0",IF(OR(P115=12,P115=13),"+1",IF(OR(P115=14,P115=15),"+2",IF(OR(P115=16,P115=17),"+3",IF(OR(P115=18,P115=19),"+4",IF(OR(P115=20,P115=21),"+5",IF(OR(P115=22,P115=23),"+6",IF(OR(P115=24,P115=25),"+7",IF(OR(P115=26,P115=27),"+8",IF(OR(P115=28,P115=29),"+9",IF(P115=30,"+10"," "))))))))))))))))</f>
        <v>0</v>
      </c>
      <c r="R115" s="3" t="n">
        <v>11</v>
      </c>
      <c r="S115" s="1" t="str">
        <f aca="false">IF(R115=1,"-5",IF(OR(R115=2,R115=3),"-4",IF(OR(R115=4,R115=5),"-3",IF(OR(R115=6,R115=7),"-2",IF(OR(R115=8,R115=9),"-1",IF(OR(R115=10,R115=11),"0",IF(OR(R115=12,R115=13),"+1",IF(OR(R115=14,R115=15),"+2",IF(OR(R115=16,R115=17),"+3",IF(OR(R115=18,R115=19),"+4",IF(OR(R115=20,R115=21),"+5",IF(OR(R115=22,R115=23),"+6",IF(OR(R115=24,R115=25),"+7",IF(OR(R115=26,R115=27),"+8",IF(OR(R115=28,R115=29),"+9",IF(R115=30,"+10"," "))))))))))))))))</f>
        <v>0</v>
      </c>
      <c r="T115" s="3" t="n">
        <v>10</v>
      </c>
      <c r="U115" s="1" t="str">
        <f aca="false">IF(T115=1,"-5",IF(OR(T115=2,T115=3),"-4",IF(OR(T115=4,T115=5),"-3",IF(OR(T115=6,T115=7),"-2",IF(OR(T115=8,T115=9),"-1",IF(OR(T115=10,T115=11),"0",IF(OR(T115=12,T115=13),"+1",IF(OR(T115=14,T115=15),"+2",IF(OR(T115=16,T115=17),"+3",IF(OR(T115=18,T115=19),"+4",IF(OR(T115=20,T115=21),"+5",IF(OR(T115=22,T115=23),"+6",IF(OR(T115=24,T115=25),"+7",IF(OR(T115=26,T115=27),"+8",IF(OR(T115=28,T115=29),"+9",IF(T115=30,"+10"," "))))))))))))))))</f>
        <v>0</v>
      </c>
      <c r="V115" s="3" t="s">
        <v>642</v>
      </c>
      <c r="W115" s="3" t="s">
        <v>643</v>
      </c>
      <c r="X115" s="11" t="s">
        <v>644</v>
      </c>
      <c r="Y115" s="11" t="s">
        <v>645</v>
      </c>
      <c r="Z115" s="11" t="s">
        <v>37</v>
      </c>
      <c r="AA115" s="12" t="s">
        <v>37</v>
      </c>
    </row>
    <row r="116" customFormat="false" ht="16.4" hidden="false" customHeight="false" outlineLevel="0" collapsed="false">
      <c r="A116" s="15" t="s">
        <v>646</v>
      </c>
      <c r="B116" s="3" t="s">
        <v>77</v>
      </c>
      <c r="C116" s="3" t="s">
        <v>85</v>
      </c>
      <c r="D116" s="16" t="n">
        <v>18</v>
      </c>
      <c r="E116" s="6" t="n">
        <f aca="false">VLOOKUP(D116,'[1]REF Tables'!$A$2:$B$40,2)</f>
        <v>20000</v>
      </c>
      <c r="F116" s="3" t="s">
        <v>315</v>
      </c>
      <c r="G116" s="3" t="n">
        <v>20</v>
      </c>
      <c r="H116" s="3" t="s">
        <v>647</v>
      </c>
      <c r="I116" s="3" t="s">
        <v>648</v>
      </c>
      <c r="J116" s="3" t="n">
        <v>1</v>
      </c>
      <c r="K116" s="1" t="str">
        <f aca="false">IF(J116=1,"-5",IF(OR(J116=2,J116=3),"-4",IF(OR(J116=4,J116=5),"-3",IF(OR(J116=6,J116=7),"-2",IF(OR(J116=8,J116=9),"-1",IF(OR(J116=10,J116=11),"0",IF(OR(J116=12,J116=13),"+1",IF(OR(J116=14,J116=15),"+2",IF(OR(J116=16,J116=17),"+3",IF(OR(J116=18,J116=19),"+4",IF(OR(J116=20,J116=21),"+5",IF(OR(J116=22,J116=23),"+6",IF(OR(J116=24,J116=25),"+7",IF(OR(J116=26,J116=27),"+8",IF(OR(J116=28,J116=29),"+9",IF(J116=30,"+10"," "))))))))))))))))</f>
        <v>-5</v>
      </c>
      <c r="L116" s="3" t="n">
        <v>20</v>
      </c>
      <c r="M116" s="1" t="str">
        <f aca="false">IF(L116=1,"-5",IF(OR(L116=2,L116=3),"-4",IF(OR(L116=4,L116=5),"-3",IF(OR(L116=6,L116=7),"-2",IF(OR(L116=8,L116=9),"-1",IF(OR(L116=10,L116=11),"0",IF(OR(L116=12,L116=13),"+1",IF(OR(L116=14,L116=15),"+2",IF(OR(L116=16,L116=17),"+3",IF(OR(L116=18,L116=19),"+4",IF(OR(L116=20,L116=21),"+5",IF(OR(L116=22,L116=23),"+6",IF(OR(L116=24,L116=25),"+7",IF(OR(L116=26,L116=27),"+8",IF(OR(L116=28,L116=29),"+9",IF(L116=30,"+10"," "))))))))))))))))</f>
        <v>+5</v>
      </c>
      <c r="N116" s="3" t="n">
        <v>10</v>
      </c>
      <c r="O116" s="1" t="str">
        <f aca="false">IF(N116=1,"-5",IF(OR(N116=2,N116=3),"-4",IF(OR(N116=4,N116=5),"-3",IF(OR(N116=6,N116=7),"-2",IF(OR(N116=8,N116=9),"-1",IF(OR(N116=10,N116=11),"0",IF(OR(N116=12,N116=13),"+1",IF(OR(N116=14,N116=15),"+2",IF(OR(N116=16,N116=17),"+3",IF(OR(N116=18,N116=19),"+4",IF(OR(N116=20,N116=21),"+5",IF(OR(N116=22,N116=23),"+6",IF(OR(N116=24,N116=25),"+7",IF(OR(N116=26,N116=27),"+8",IF(OR(N116=28,N116=29),"+9",IF(N116=30,"+10"," "))))))))))))))))</f>
        <v>0</v>
      </c>
      <c r="P116" s="3" t="n">
        <v>20</v>
      </c>
      <c r="Q116" s="1" t="str">
        <f aca="false">IF(P116=1,"-5",IF(OR(P116=2,P116=3),"-4",IF(OR(P116=4,P116=5),"-3",IF(OR(P116=6,P116=7),"-2",IF(OR(P116=8,P116=9),"-1",IF(OR(P116=10,P116=11),"0",IF(OR(P116=12,P116=13),"+1",IF(OR(P116=14,P116=15),"+2",IF(OR(P116=16,P116=17),"+3",IF(OR(P116=18,P116=19),"+4",IF(OR(P116=20,P116=21),"+5",IF(OR(P116=22,P116=23),"+6",IF(OR(P116=24,P116=25),"+7",IF(OR(P116=26,P116=27),"+8",IF(OR(P116=28,P116=29),"+9",IF(P116=30,"+10"," "))))))))))))))))</f>
        <v>+5</v>
      </c>
      <c r="R116" s="3" t="n">
        <v>17</v>
      </c>
      <c r="S116" s="1" t="str">
        <f aca="false">IF(R116=1,"-5",IF(OR(R116=2,R116=3),"-4",IF(OR(R116=4,R116=5),"-3",IF(OR(R116=6,R116=7),"-2",IF(OR(R116=8,R116=9),"-1",IF(OR(R116=10,R116=11),"0",IF(OR(R116=12,R116=13),"+1",IF(OR(R116=14,R116=15),"+2",IF(OR(R116=16,R116=17),"+3",IF(OR(R116=18,R116=19),"+4",IF(OR(R116=20,R116=21),"+5",IF(OR(R116=22,R116=23),"+6",IF(OR(R116=24,R116=25),"+7",IF(OR(R116=26,R116=27),"+8",IF(OR(R116=28,R116=29),"+9",IF(R116=30,"+10"," "))))))))))))))))</f>
        <v>+3</v>
      </c>
      <c r="T116" s="3" t="n">
        <v>20</v>
      </c>
      <c r="U116" s="1" t="str">
        <f aca="false">IF(T116=1,"-5",IF(OR(T116=2,T116=3),"-4",IF(OR(T116=4,T116=5),"-3",IF(OR(T116=6,T116=7),"-2",IF(OR(T116=8,T116=9),"-1",IF(OR(T116=10,T116=11),"0",IF(OR(T116=12,T116=13),"+1",IF(OR(T116=14,T116=15),"+2",IF(OR(T116=16,T116=17),"+3",IF(OR(T116=18,T116=19),"+4",IF(OR(T116=20,T116=21),"+5",IF(OR(T116=22,T116=23),"+6",IF(OR(T116=24,T116=25),"+7",IF(OR(T116=26,T116=27),"+8",IF(OR(T116=28,T116=29),"+9",IF(T116=30,"+10"," "))))))))))))))))</f>
        <v>+5</v>
      </c>
      <c r="V116" s="3" t="s">
        <v>649</v>
      </c>
      <c r="W116" s="3" t="s">
        <v>37</v>
      </c>
      <c r="X116" s="11" t="s">
        <v>650</v>
      </c>
      <c r="Y116" s="11" t="s">
        <v>651</v>
      </c>
      <c r="Z116" s="11" t="s">
        <v>37</v>
      </c>
      <c r="AA116" s="12" t="s">
        <v>652</v>
      </c>
    </row>
    <row r="117" customFormat="false" ht="16.4" hidden="false" customHeight="false" outlineLevel="0" collapsed="false">
      <c r="A117" s="15" t="s">
        <v>653</v>
      </c>
      <c r="B117" s="3" t="s">
        <v>614</v>
      </c>
      <c r="C117" s="3" t="s">
        <v>324</v>
      </c>
      <c r="D117" s="16" t="n">
        <v>1</v>
      </c>
      <c r="E117" s="3" t="n">
        <f aca="false">VLOOKUP(D117,'[1]REF Tables'!$A$2:$B$40,2)</f>
        <v>200</v>
      </c>
      <c r="F117" s="3" t="s">
        <v>50</v>
      </c>
      <c r="G117" s="3" t="n">
        <v>12</v>
      </c>
      <c r="H117" s="3" t="s">
        <v>130</v>
      </c>
      <c r="I117" s="3" t="s">
        <v>42</v>
      </c>
      <c r="J117" s="3" t="n">
        <v>17</v>
      </c>
      <c r="K117" s="1" t="str">
        <f aca="false">IF(J117=1,"-5",IF(OR(J117=2,J117=3),"-4",IF(OR(J117=4,J117=5),"-3",IF(OR(J117=6,J117=7),"-2",IF(OR(J117=8,J117=9),"-1",IF(OR(J117=10,J117=11),"0",IF(OR(J117=12,J117=13),"+1",IF(OR(J117=14,J117=15),"+2",IF(OR(J117=16,J117=17),"+3",IF(OR(J117=18,J117=19),"+4",IF(OR(J117=20,J117=21),"+5",IF(OR(J117=22,J117=23),"+6",IF(OR(J117=24,J117=25),"+7",IF(OR(J117=26,J117=27),"+8",IF(OR(J117=28,J117=29),"+9",IF(J117=30,"+10"," "))))))))))))))))</f>
        <v>+3</v>
      </c>
      <c r="L117" s="3" t="n">
        <v>10</v>
      </c>
      <c r="M117" s="1" t="str">
        <f aca="false">IF(L117=1,"-5",IF(OR(L117=2,L117=3),"-4",IF(OR(L117=4,L117=5),"-3",IF(OR(L117=6,L117=7),"-2",IF(OR(L117=8,L117=9),"-1",IF(OR(L117=10,L117=11),"0",IF(OR(L117=12,L117=13),"+1",IF(OR(L117=14,L117=15),"+2",IF(OR(L117=16,L117=17),"+3",IF(OR(L117=18,L117=19),"+4",IF(OR(L117=20,L117=21),"+5",IF(OR(L117=22,L117=23),"+6",IF(OR(L117=24,L117=25),"+7",IF(OR(L117=26,L117=27),"+8",IF(OR(L117=28,L117=29),"+9",IF(L117=30,"+10"," "))))))))))))))))</f>
        <v>0</v>
      </c>
      <c r="N117" s="3" t="n">
        <v>14</v>
      </c>
      <c r="O117" s="1" t="str">
        <f aca="false">IF(N117=1,"-5",IF(OR(N117=2,N117=3),"-4",IF(OR(N117=4,N117=5),"-3",IF(OR(N117=6,N117=7),"-2",IF(OR(N117=8,N117=9),"-1",IF(OR(N117=10,N117=11),"0",IF(OR(N117=12,N117=13),"+1",IF(OR(N117=14,N117=15),"+2",IF(OR(N117=16,N117=17),"+3",IF(OR(N117=18,N117=19),"+4",IF(OR(N117=20,N117=21),"+5",IF(OR(N117=22,N117=23),"+6",IF(OR(N117=24,N117=25),"+7",IF(OR(N117=26,N117=27),"+8",IF(OR(N117=28,N117=29),"+9",IF(N117=30,"+10"," "))))))))))))))))</f>
        <v>+2</v>
      </c>
      <c r="P117" s="3" t="n">
        <v>7</v>
      </c>
      <c r="Q117" s="1" t="str">
        <f aca="false">IF(P117=1,"-5",IF(OR(P117=2,P117=3),"-4",IF(OR(P117=4,P117=5),"-3",IF(OR(P117=6,P117=7),"-2",IF(OR(P117=8,P117=9),"-1",IF(OR(P117=10,P117=11),"0",IF(OR(P117=12,P117=13),"+1",IF(OR(P117=14,P117=15),"+2",IF(OR(P117=16,P117=17),"+3",IF(OR(P117=18,P117=19),"+4",IF(OR(P117=20,P117=21),"+5",IF(OR(P117=22,P117=23),"+6",IF(OR(P117=24,P117=25),"+7",IF(OR(P117=26,P117=27),"+8",IF(OR(P117=28,P117=29),"+9",IF(P117=30,"+10"," "))))))))))))))))</f>
        <v>-2</v>
      </c>
      <c r="R117" s="3" t="n">
        <v>9</v>
      </c>
      <c r="S117" s="1" t="str">
        <f aca="false">IF(R117=1,"-5",IF(OR(R117=2,R117=3),"-4",IF(OR(R117=4,R117=5),"-3",IF(OR(R117=6,R117=7),"-2",IF(OR(R117=8,R117=9),"-1",IF(OR(R117=10,R117=11),"0",IF(OR(R117=12,R117=13),"+1",IF(OR(R117=14,R117=15),"+2",IF(OR(R117=16,R117=17),"+3",IF(OR(R117=18,R117=19),"+4",IF(OR(R117=20,R117=21),"+5",IF(OR(R117=22,R117=23),"+6",IF(OR(R117=24,R117=25),"+7",IF(OR(R117=26,R117=27),"+8",IF(OR(R117=28,R117=29),"+9",IF(R117=30,"+10"," "))))))))))))))))</f>
        <v>-1</v>
      </c>
      <c r="T117" s="3" t="n">
        <v>10</v>
      </c>
      <c r="U117" s="1" t="str">
        <f aca="false">IF(T117=1,"-5",IF(OR(T117=2,T117=3),"-4",IF(OR(T117=4,T117=5),"-3",IF(OR(T117=6,T117=7),"-2",IF(OR(T117=8,T117=9),"-1",IF(OR(T117=10,T117=11),"0",IF(OR(T117=12,T117=13),"+1",IF(OR(T117=14,T117=15),"+2",IF(OR(T117=16,T117=17),"+3",IF(OR(T117=18,T117=19),"+4",IF(OR(T117=20,T117=21),"+5",IF(OR(T117=22,T117=23),"+6",IF(OR(T117=24,T117=25),"+7",IF(OR(T117=26,T117=27),"+8",IF(OR(T117=28,T117=29),"+9",IF(T117=30,"+10"," "))))))))))))))))</f>
        <v>0</v>
      </c>
      <c r="V117" s="3" t="s">
        <v>37</v>
      </c>
      <c r="W117" s="3" t="s">
        <v>654</v>
      </c>
      <c r="X117" s="11" t="s">
        <v>655</v>
      </c>
      <c r="Y117" s="11" t="s">
        <v>656</v>
      </c>
      <c r="Z117" s="11" t="s">
        <v>37</v>
      </c>
      <c r="AA117" s="12" t="s">
        <v>37</v>
      </c>
    </row>
    <row r="118" customFormat="false" ht="16.4" hidden="false" customHeight="false" outlineLevel="0" collapsed="false">
      <c r="A118" s="7" t="s">
        <v>657</v>
      </c>
      <c r="B118" s="1" t="s">
        <v>221</v>
      </c>
      <c r="C118" s="1" t="s">
        <v>222</v>
      </c>
      <c r="D118" s="8" t="n">
        <v>26</v>
      </c>
      <c r="E118" s="17" t="str">
        <f aca="false">VLOOKUP(D118,'[1]REF Tables'!$A$2:$B$40,2)</f>
        <v/>
      </c>
      <c r="F118" s="1" t="s">
        <v>121</v>
      </c>
      <c r="G118" s="10" t="n">
        <v>22</v>
      </c>
      <c r="H118" s="1" t="s">
        <v>658</v>
      </c>
      <c r="I118" s="1" t="s">
        <v>659</v>
      </c>
      <c r="J118" s="10" t="n">
        <v>29</v>
      </c>
      <c r="K118" s="1" t="str">
        <f aca="false">IF(J118=1,"-5",IF(OR(J118=2,J118=3),"-4",IF(OR(J118=4,J118=5),"-3",IF(OR(J118=6,J118=7),"-2",IF(OR(J118=8,J118=9),"-1",IF(OR(J118=10,J118=11),"0",IF(OR(J118=12,J118=13),"+1",IF(OR(J118=14,J118=15),"+2",IF(OR(J118=16,J118=17),"+3",IF(OR(J118=18,J118=19),"+4",IF(OR(J118=20,J118=21),"+5",IF(OR(J118=22,J118=23),"+6",IF(OR(J118=24,J118=25),"+7",IF(OR(J118=26,J118=27),"+8",IF(OR(J118=28,J118=29),"+9",IF(J118=30,"+10"," "))))))))))))))))</f>
        <v>+9</v>
      </c>
      <c r="L118" s="10" t="n">
        <v>14</v>
      </c>
      <c r="M118" s="1" t="str">
        <f aca="false">IF(L118=1,"-5",IF(OR(L118=2,L118=3),"-4",IF(OR(L118=4,L118=5),"-3",IF(OR(L118=6,L118=7),"-2",IF(OR(L118=8,L118=9),"-1",IF(OR(L118=10,L118=11),"0",IF(OR(L118=12,L118=13),"+1",IF(OR(L118=14,L118=15),"+2",IF(OR(L118=16,L118=17),"+3",IF(OR(L118=18,L118=19),"+4",IF(OR(L118=20,L118=21),"+5",IF(OR(L118=22,L118=23),"+6",IF(OR(L118=24,L118=25),"+7",IF(OR(L118=26,L118=27),"+8",IF(OR(L118=28,L118=29),"+9",IF(L118=30,"+10"," "))))))))))))))))</f>
        <v>+2</v>
      </c>
      <c r="N118" s="10" t="n">
        <v>26</v>
      </c>
      <c r="O118" s="1" t="str">
        <f aca="false">IF(N118=1,"-5",IF(OR(N118=2,N118=3),"-4",IF(OR(N118=4,N118=5),"-3",IF(OR(N118=6,N118=7),"-2",IF(OR(N118=8,N118=9),"-1",IF(OR(N118=10,N118=11),"0",IF(OR(N118=12,N118=13),"+1",IF(OR(N118=14,N118=15),"+2",IF(OR(N118=16,N118=17),"+3",IF(OR(N118=18,N118=19),"+4",IF(OR(N118=20,N118=21),"+5",IF(OR(N118=22,N118=23),"+6",IF(OR(N118=24,N118=25),"+7",IF(OR(N118=26,N118=27),"+8",IF(OR(N118=28,N118=29),"+9",IF(N118=30,"+10"," "))))))))))))))))</f>
        <v>+8</v>
      </c>
      <c r="P118" s="10" t="n">
        <v>20</v>
      </c>
      <c r="Q118" s="1" t="str">
        <f aca="false">IF(P118=1,"-5",IF(OR(P118=2,P118=3),"-4",IF(OR(P118=4,P118=5),"-3",IF(OR(P118=6,P118=7),"-2",IF(OR(P118=8,P118=9),"-1",IF(OR(P118=10,P118=11),"0",IF(OR(P118=12,P118=13),"+1",IF(OR(P118=14,P118=15),"+2",IF(OR(P118=16,P118=17),"+3",IF(OR(P118=18,P118=19),"+4",IF(OR(P118=20,P118=21),"+5",IF(OR(P118=22,P118=23),"+6",IF(OR(P118=24,P118=25),"+7",IF(OR(P118=26,P118=27),"+8",IF(OR(P118=28,P118=29),"+9",IF(P118=30,"+10"," "))))))))))))))))</f>
        <v>+5</v>
      </c>
      <c r="R118" s="10" t="n">
        <v>17</v>
      </c>
      <c r="S118" s="1" t="str">
        <f aca="false">IF(R118=1,"-5",IF(OR(R118=2,R118=3),"-4",IF(OR(R118=4,R118=5),"-3",IF(OR(R118=6,R118=7),"-2",IF(OR(R118=8,R118=9),"-1",IF(OR(R118=10,R118=11),"0",IF(OR(R118=12,R118=13),"+1",IF(OR(R118=14,R118=15),"+2",IF(OR(R118=16,R118=17),"+3",IF(OR(R118=18,R118=19),"+4",IF(OR(R118=20,R118=21),"+5",IF(OR(R118=22,R118=23),"+6",IF(OR(R118=24,R118=25),"+7",IF(OR(R118=26,R118=27),"+8",IF(OR(R118=28,R118=29),"+9",IF(R118=30,"+10"," "))))))))))))))))</f>
        <v>+3</v>
      </c>
      <c r="T118" s="10" t="n">
        <v>25</v>
      </c>
      <c r="U118" s="1" t="str">
        <f aca="false">IF(T118=1,"-5",IF(OR(T118=2,T118=3),"-4",IF(OR(T118=4,T118=5),"-3",IF(OR(T118=6,T118=7),"-2",IF(OR(T118=8,T118=9),"-1",IF(OR(T118=10,T118=11),"0",IF(OR(T118=12,T118=13),"+1",IF(OR(T118=14,T118=15),"+2",IF(OR(T118=16,T118=17),"+3",IF(OR(T118=18,T118=19),"+4",IF(OR(T118=20,T118=21),"+5",IF(OR(T118=22,T118=23),"+6",IF(OR(T118=24,T118=25),"+7",IF(OR(T118=26,T118=27),"+8",IF(OR(T118=28,T118=29),"+9",IF(T118=30,"+10"," "))))))))))))))))</f>
        <v>+7</v>
      </c>
      <c r="V118" s="1" t="s">
        <v>660</v>
      </c>
      <c r="W118" s="1" t="s">
        <v>174</v>
      </c>
      <c r="X118" s="11" t="s">
        <v>661</v>
      </c>
      <c r="Y118" s="11" t="s">
        <v>662</v>
      </c>
      <c r="Z118" s="11" t="s">
        <v>37</v>
      </c>
      <c r="AA118" s="12" t="s">
        <v>663</v>
      </c>
      <c r="AB118" s="1"/>
      <c r="AC118" s="1"/>
      <c r="AD118" s="1"/>
      <c r="AE118" s="1"/>
      <c r="AF118" s="1"/>
    </row>
    <row r="119" customFormat="false" ht="16.4" hidden="false" customHeight="false" outlineLevel="0" collapsed="false">
      <c r="A119" s="15" t="s">
        <v>664</v>
      </c>
      <c r="B119" s="3" t="s">
        <v>221</v>
      </c>
      <c r="C119" s="3" t="s">
        <v>222</v>
      </c>
      <c r="D119" s="16" t="n">
        <v>4</v>
      </c>
      <c r="E119" s="6" t="n">
        <f aca="false">VLOOKUP(D119,'[1]REF Tables'!$A$2:$B$40,2)</f>
        <v>1100</v>
      </c>
      <c r="F119" s="3" t="s">
        <v>30</v>
      </c>
      <c r="G119" s="3" t="n">
        <v>13</v>
      </c>
      <c r="H119" s="3" t="s">
        <v>365</v>
      </c>
      <c r="I119" s="3" t="s">
        <v>665</v>
      </c>
      <c r="J119" s="3" t="n">
        <v>1</v>
      </c>
      <c r="K119" s="1" t="str">
        <f aca="false">IF(J119=1,"-5",IF(OR(J119=2,J119=3),"-4",IF(OR(J119=4,J119=5),"-3",IF(OR(J119=6,J119=7),"-2",IF(OR(J119=8,J119=9),"-1",IF(OR(J119=10,J119=11),"0",IF(OR(J119=12,J119=13),"+1",IF(OR(J119=14,J119=15),"+2",IF(OR(J119=16,J119=17),"+3",IF(OR(J119=18,J119=19),"+4",IF(OR(J119=20,J119=21),"+5",IF(OR(J119=22,J119=23),"+6",IF(OR(J119=24,J119=25),"+7",IF(OR(J119=26,J119=27),"+8",IF(OR(J119=28,J119=29),"+9",IF(J119=30,"+10"," "))))))))))))))))</f>
        <v>-5</v>
      </c>
      <c r="L119" s="3" t="n">
        <v>17</v>
      </c>
      <c r="M119" s="1" t="str">
        <f aca="false">IF(L119=1,"-5",IF(OR(L119=2,L119=3),"-4",IF(OR(L119=4,L119=5),"-3",IF(OR(L119=6,L119=7),"-2",IF(OR(L119=8,L119=9),"-1",IF(OR(L119=10,L119=11),"0",IF(OR(L119=12,L119=13),"+1",IF(OR(L119=14,L119=15),"+2",IF(OR(L119=16,L119=17),"+3",IF(OR(L119=18,L119=19),"+4",IF(OR(L119=20,L119=21),"+5",IF(OR(L119=22,L119=23),"+6",IF(OR(L119=24,L119=25),"+7",IF(OR(L119=26,L119=27),"+8",IF(OR(L119=28,L119=29),"+9",IF(L119=30,"+10"," "))))))))))))))))</f>
        <v>+3</v>
      </c>
      <c r="N119" s="3" t="n">
        <v>12</v>
      </c>
      <c r="O119" s="1" t="str">
        <f aca="false">IF(N119=1,"-5",IF(OR(N119=2,N119=3),"-4",IF(OR(N119=4,N119=5),"-3",IF(OR(N119=6,N119=7),"-2",IF(OR(N119=8,N119=9),"-1",IF(OR(N119=10,N119=11),"0",IF(OR(N119=12,N119=13),"+1",IF(OR(N119=14,N119=15),"+2",IF(OR(N119=16,N119=17),"+3",IF(OR(N119=18,N119=19),"+4",IF(OR(N119=20,N119=21),"+5",IF(OR(N119=22,N119=23),"+6",IF(OR(N119=24,N119=25),"+7",IF(OR(N119=26,N119=27),"+8",IF(OR(N119=28,N119=29),"+9",IF(N119=30,"+10"," "))))))))))))))))</f>
        <v>+1</v>
      </c>
      <c r="P119" s="3" t="n">
        <v>14</v>
      </c>
      <c r="Q119" s="1" t="str">
        <f aca="false">IF(P119=1,"-5",IF(OR(P119=2,P119=3),"-4",IF(OR(P119=4,P119=5),"-3",IF(OR(P119=6,P119=7),"-2",IF(OR(P119=8,P119=9),"-1",IF(OR(P119=10,P119=11),"0",IF(OR(P119=12,P119=13),"+1",IF(OR(P119=14,P119=15),"+2",IF(OR(P119=16,P119=17),"+3",IF(OR(P119=18,P119=19),"+4",IF(OR(P119=20,P119=21),"+5",IF(OR(P119=22,P119=23),"+6",IF(OR(P119=24,P119=25),"+7",IF(OR(P119=26,P119=27),"+8",IF(OR(P119=28,P119=29),"+9",IF(P119=30,"+10"," "))))))))))))))))</f>
        <v>+2</v>
      </c>
      <c r="R119" s="3" t="n">
        <v>13</v>
      </c>
      <c r="S119" s="1" t="str">
        <f aca="false">IF(R119=1,"-5",IF(OR(R119=2,R119=3),"-4",IF(OR(R119=4,R119=5),"-3",IF(OR(R119=6,R119=7),"-2",IF(OR(R119=8,R119=9),"-1",IF(OR(R119=10,R119=11),"0",IF(OR(R119=12,R119=13),"+1",IF(OR(R119=14,R119=15),"+2",IF(OR(R119=16,R119=17),"+3",IF(OR(R119=18,R119=19),"+4",IF(OR(R119=20,R119=21),"+5",IF(OR(R119=22,R119=23),"+6",IF(OR(R119=24,R119=25),"+7",IF(OR(R119=26,R119=27),"+8",IF(OR(R119=28,R119=29),"+9",IF(R119=30,"+10"," "))))))))))))))))</f>
        <v>+1</v>
      </c>
      <c r="T119" s="3" t="n">
        <v>14</v>
      </c>
      <c r="U119" s="1" t="str">
        <f aca="false">IF(T119=1,"-5",IF(OR(T119=2,T119=3),"-4",IF(OR(T119=4,T119=5),"-3",IF(OR(T119=6,T119=7),"-2",IF(OR(T119=8,T119=9),"-1",IF(OR(T119=10,T119=11),"0",IF(OR(T119=12,T119=13),"+1",IF(OR(T119=14,T119=15),"+2",IF(OR(T119=16,T119=17),"+3",IF(OR(T119=18,T119=19),"+4",IF(OR(T119=20,T119=21),"+5",IF(OR(T119=22,T119=23),"+6",IF(OR(T119=24,T119=25),"+7",IF(OR(T119=26,T119=27),"+8",IF(OR(T119=28,T119=29),"+9",IF(T119=30,"+10"," "))))))))))))))))</f>
        <v>+2</v>
      </c>
      <c r="V119" s="3" t="s">
        <v>666</v>
      </c>
      <c r="W119" s="3" t="s">
        <v>249</v>
      </c>
      <c r="X119" s="11" t="s">
        <v>667</v>
      </c>
      <c r="Y119" s="11" t="s">
        <v>668</v>
      </c>
      <c r="Z119" s="11" t="s">
        <v>37</v>
      </c>
      <c r="AA119" s="12" t="s">
        <v>37</v>
      </c>
    </row>
    <row r="120" customFormat="false" ht="16.4" hidden="false" customHeight="false" outlineLevel="0" collapsed="false">
      <c r="A120" s="15" t="s">
        <v>669</v>
      </c>
      <c r="B120" s="3" t="s">
        <v>221</v>
      </c>
      <c r="C120" s="3" t="s">
        <v>222</v>
      </c>
      <c r="D120" s="16" t="n">
        <v>1</v>
      </c>
      <c r="E120" s="3" t="n">
        <f aca="false">VLOOKUP(D120,'[1]REF Tables'!$A$2:$B$40,2)</f>
        <v>200</v>
      </c>
      <c r="F120" s="3" t="s">
        <v>30</v>
      </c>
      <c r="G120" s="3" t="n">
        <v>13</v>
      </c>
      <c r="H120" s="3" t="s">
        <v>198</v>
      </c>
      <c r="I120" s="3" t="s">
        <v>42</v>
      </c>
      <c r="J120" s="3" t="n">
        <v>14</v>
      </c>
      <c r="K120" s="1" t="str">
        <f aca="false">IF(J120=1,"-5",IF(OR(J120=2,J120=3),"-4",IF(OR(J120=4,J120=5),"-3",IF(OR(J120=6,J120=7),"-2",IF(OR(J120=8,J120=9),"-1",IF(OR(J120=10,J120=11),"0",IF(OR(J120=12,J120=13),"+1",IF(OR(J120=14,J120=15),"+2",IF(OR(J120=16,J120=17),"+3",IF(OR(J120=18,J120=19),"+4",IF(OR(J120=20,J120=21),"+5",IF(OR(J120=22,J120=23),"+6",IF(OR(J120=24,J120=25),"+7",IF(OR(J120=26,J120=27),"+8",IF(OR(J120=28,J120=29),"+9",IF(J120=30,"+10"," "))))))))))))))))</f>
        <v>+2</v>
      </c>
      <c r="L120" s="3" t="n">
        <v>8</v>
      </c>
      <c r="M120" s="1" t="str">
        <f aca="false">IF(L120=1,"-5",IF(OR(L120=2,L120=3),"-4",IF(OR(L120=4,L120=5),"-3",IF(OR(L120=6,L120=7),"-2",IF(OR(L120=8,L120=9),"-1",IF(OR(L120=10,L120=11),"0",IF(OR(L120=12,L120=13),"+1",IF(OR(L120=14,L120=15),"+2",IF(OR(L120=16,L120=17),"+3",IF(OR(L120=18,L120=19),"+4",IF(OR(L120=20,L120=21),"+5",IF(OR(L120=22,L120=23),"+6",IF(OR(L120=24,L120=25),"+7",IF(OR(L120=26,L120=27),"+8",IF(OR(L120=28,L120=29),"+9",IF(L120=30,"+10"," "))))))))))))))))</f>
        <v>-1</v>
      </c>
      <c r="N120" s="3" t="n">
        <v>13</v>
      </c>
      <c r="O120" s="1" t="str">
        <f aca="false">IF(N120=1,"-5",IF(OR(N120=2,N120=3),"-4",IF(OR(N120=4,N120=5),"-3",IF(OR(N120=6,N120=7),"-2",IF(OR(N120=8,N120=9),"-1",IF(OR(N120=10,N120=11),"0",IF(OR(N120=12,N120=13),"+1",IF(OR(N120=14,N120=15),"+2",IF(OR(N120=16,N120=17),"+3",IF(OR(N120=18,N120=19),"+4",IF(OR(N120=20,N120=21),"+5",IF(OR(N120=22,N120=23),"+6",IF(OR(N120=24,N120=25),"+7",IF(OR(N120=26,N120=27),"+8",IF(OR(N120=28,N120=29),"+9",IF(N120=30,"+10"," "))))))))))))))))</f>
        <v>+1</v>
      </c>
      <c r="P120" s="3" t="n">
        <v>5</v>
      </c>
      <c r="Q120" s="1" t="str">
        <f aca="false">IF(P120=1,"-5",IF(OR(P120=2,P120=3),"-4",IF(OR(P120=4,P120=5),"-3",IF(OR(P120=6,P120=7),"-2",IF(OR(P120=8,P120=9),"-1",IF(OR(P120=10,P120=11),"0",IF(OR(P120=12,P120=13),"+1",IF(OR(P120=14,P120=15),"+2",IF(OR(P120=16,P120=17),"+3",IF(OR(P120=18,P120=19),"+4",IF(OR(P120=20,P120=21),"+5",IF(OR(P120=22,P120=23),"+6",IF(OR(P120=24,P120=25),"+7",IF(OR(P120=26,P120=27),"+8",IF(OR(P120=28,P120=29),"+9",IF(P120=30,"+10"," "))))))))))))))))</f>
        <v>-3</v>
      </c>
      <c r="R120" s="3" t="n">
        <v>8</v>
      </c>
      <c r="S120" s="1" t="str">
        <f aca="false">IF(R120=1,"-5",IF(OR(R120=2,R120=3),"-4",IF(OR(R120=4,R120=5),"-3",IF(OR(R120=6,R120=7),"-2",IF(OR(R120=8,R120=9),"-1",IF(OR(R120=10,R120=11),"0",IF(OR(R120=12,R120=13),"+1",IF(OR(R120=14,R120=15),"+2",IF(OR(R120=16,R120=17),"+3",IF(OR(R120=18,R120=19),"+4",IF(OR(R120=20,R120=21),"+5",IF(OR(R120=22,R120=23),"+6",IF(OR(R120=24,R120=25),"+7",IF(OR(R120=26,R120=27),"+8",IF(OR(R120=28,R120=29),"+9",IF(R120=30,"+10"," "))))))))))))))))</f>
        <v>-1</v>
      </c>
      <c r="T120" s="3" t="n">
        <v>5</v>
      </c>
      <c r="U120" s="1" t="str">
        <f aca="false">IF(T120=1,"-5",IF(OR(T120=2,T120=3),"-4",IF(OR(T120=4,T120=5),"-3",IF(OR(T120=6,T120=7),"-2",IF(OR(T120=8,T120=9),"-1",IF(OR(T120=10,T120=11),"0",IF(OR(T120=12,T120=13),"+1",IF(OR(T120=14,T120=15),"+2",IF(OR(T120=16,T120=17),"+3",IF(OR(T120=18,T120=19),"+4",IF(OR(T120=20,T120=21),"+5",IF(OR(T120=22,T120=23),"+6",IF(OR(T120=24,T120=25),"+7",IF(OR(T120=26,T120=27),"+8",IF(OR(T120=28,T120=29),"+9",IF(T120=30,"+10"," "))))))))))))))))</f>
        <v>-3</v>
      </c>
      <c r="V120" s="3" t="s">
        <v>37</v>
      </c>
      <c r="W120" s="3" t="s">
        <v>670</v>
      </c>
      <c r="X120" s="11" t="s">
        <v>671</v>
      </c>
      <c r="Y120" s="11" t="s">
        <v>672</v>
      </c>
      <c r="Z120" s="11" t="s">
        <v>37</v>
      </c>
      <c r="AA120" s="12" t="s">
        <v>37</v>
      </c>
    </row>
    <row r="121" customFormat="false" ht="16.4" hidden="false" customHeight="false" outlineLevel="0" collapsed="false">
      <c r="A121" s="15" t="s">
        <v>673</v>
      </c>
      <c r="B121" s="3" t="s">
        <v>386</v>
      </c>
      <c r="C121" s="3" t="s">
        <v>85</v>
      </c>
      <c r="D121" s="16" t="n">
        <v>3</v>
      </c>
      <c r="E121" s="3" t="n">
        <f aca="false">VLOOKUP(D121,'[1]REF Tables'!$A$2:$B$40,2)</f>
        <v>700</v>
      </c>
      <c r="F121" s="3" t="s">
        <v>50</v>
      </c>
      <c r="G121" s="3" t="n">
        <v>13</v>
      </c>
      <c r="H121" s="3" t="s">
        <v>295</v>
      </c>
      <c r="I121" s="3" t="s">
        <v>674</v>
      </c>
      <c r="J121" s="3" t="n">
        <v>18</v>
      </c>
      <c r="K121" s="1" t="str">
        <f aca="false">IF(J121=1,"-5",IF(OR(J121=2,J121=3),"-4",IF(OR(J121=4,J121=5),"-3",IF(OR(J121=6,J121=7),"-2",IF(OR(J121=8,J121=9),"-1",IF(OR(J121=10,J121=11),"0",IF(OR(J121=12,J121=13),"+1",IF(OR(J121=14,J121=15),"+2",IF(OR(J121=16,J121=17),"+3",IF(OR(J121=18,J121=19),"+4",IF(OR(J121=20,J121=21),"+5",IF(OR(J121=22,J121=23),"+6",IF(OR(J121=24,J121=25),"+7",IF(OR(J121=26,J121=27),"+8",IF(OR(J121=28,J121=29),"+9",IF(J121=30,"+10"," "))))))))))))))))</f>
        <v>+4</v>
      </c>
      <c r="L121" s="3" t="n">
        <v>15</v>
      </c>
      <c r="M121" s="1" t="str">
        <f aca="false">IF(L121=1,"-5",IF(OR(L121=2,L121=3),"-4",IF(OR(L121=4,L121=5),"-3",IF(OR(L121=6,L121=7),"-2",IF(OR(L121=8,L121=9),"-1",IF(OR(L121=10,L121=11),"0",IF(OR(L121=12,L121=13),"+1",IF(OR(L121=14,L121=15),"+2",IF(OR(L121=16,L121=17),"+3",IF(OR(L121=18,L121=19),"+4",IF(OR(L121=20,L121=21),"+5",IF(OR(L121=22,L121=23),"+6",IF(OR(L121=24,L121=25),"+7",IF(OR(L121=26,L121=27),"+8",IF(OR(L121=28,L121=29),"+9",IF(L121=30,"+10"," "))))))))))))))))</f>
        <v>+2</v>
      </c>
      <c r="N121" s="3" t="n">
        <v>16</v>
      </c>
      <c r="O121" s="1" t="str">
        <f aca="false">IF(N121=1,"-5",IF(OR(N121=2,N121=3),"-4",IF(OR(N121=4,N121=5),"-3",IF(OR(N121=6,N121=7),"-2",IF(OR(N121=8,N121=9),"-1",IF(OR(N121=10,N121=11),"0",IF(OR(N121=12,N121=13),"+1",IF(OR(N121=14,N121=15),"+2",IF(OR(N121=16,N121=17),"+3",IF(OR(N121=18,N121=19),"+4",IF(OR(N121=20,N121=21),"+5",IF(OR(N121=22,N121=23),"+6",IF(OR(N121=24,N121=25),"+7",IF(OR(N121=26,N121=27),"+8",IF(OR(N121=28,N121=29),"+9",IF(N121=30,"+10"," "))))))))))))))))</f>
        <v>+3</v>
      </c>
      <c r="P121" s="3" t="n">
        <v>10</v>
      </c>
      <c r="Q121" s="1" t="str">
        <f aca="false">IF(P121=1,"-5",IF(OR(P121=2,P121=3),"-4",IF(OR(P121=4,P121=5),"-3",IF(OR(P121=6,P121=7),"-2",IF(OR(P121=8,P121=9),"-1",IF(OR(P121=10,P121=11),"0",IF(OR(P121=12,P121=13),"+1",IF(OR(P121=14,P121=15),"+2",IF(OR(P121=16,P121=17),"+3",IF(OR(P121=18,P121=19),"+4",IF(OR(P121=20,P121=21),"+5",IF(OR(P121=22,P121=23),"+6",IF(OR(P121=24,P121=25),"+7",IF(OR(P121=26,P121=27),"+8",IF(OR(P121=28,P121=29),"+9",IF(P121=30,"+10"," "))))))))))))))))</f>
        <v>0</v>
      </c>
      <c r="R121" s="3" t="n">
        <v>13</v>
      </c>
      <c r="S121" s="1" t="str">
        <f aca="false">IF(R121=1,"-5",IF(OR(R121=2,R121=3),"-4",IF(OR(R121=4,R121=5),"-3",IF(OR(R121=6,R121=7),"-2",IF(OR(R121=8,R121=9),"-1",IF(OR(R121=10,R121=11),"0",IF(OR(R121=12,R121=13),"+1",IF(OR(R121=14,R121=15),"+2",IF(OR(R121=16,R121=17),"+3",IF(OR(R121=18,R121=19),"+4",IF(OR(R121=20,R121=21),"+5",IF(OR(R121=22,R121=23),"+6",IF(OR(R121=24,R121=25),"+7",IF(OR(R121=26,R121=27),"+8",IF(OR(R121=28,R121=29),"+9",IF(R121=30,"+10"," "))))))))))))))))</f>
        <v>+1</v>
      </c>
      <c r="T121" s="3" t="n">
        <v>15</v>
      </c>
      <c r="U121" s="1" t="str">
        <f aca="false">IF(T121=1,"-5",IF(OR(T121=2,T121=3),"-4",IF(OR(T121=4,T121=5),"-3",IF(OR(T121=6,T121=7),"-2",IF(OR(T121=8,T121=9),"-1",IF(OR(T121=10,T121=11),"0",IF(OR(T121=12,T121=13),"+1",IF(OR(T121=14,T121=15),"+2",IF(OR(T121=16,T121=17),"+3",IF(OR(T121=18,T121=19),"+4",IF(OR(T121=20,T121=21),"+5",IF(OR(T121=22,T121=23),"+6",IF(OR(T121=24,T121=25),"+7",IF(OR(T121=26,T121=27),"+8",IF(OR(T121=28,T121=29),"+9",IF(T121=30,"+10"," "))))))))))))))))</f>
        <v>+2</v>
      </c>
      <c r="V121" s="3" t="s">
        <v>37</v>
      </c>
      <c r="W121" s="3" t="s">
        <v>675</v>
      </c>
      <c r="X121" s="11" t="s">
        <v>676</v>
      </c>
      <c r="Y121" s="11" t="s">
        <v>677</v>
      </c>
      <c r="Z121" s="11" t="s">
        <v>37</v>
      </c>
      <c r="AA121" s="12" t="s">
        <v>37</v>
      </c>
    </row>
    <row r="122" customFormat="false" ht="16.4" hidden="false" customHeight="false" outlineLevel="0" collapsed="false">
      <c r="A122" s="15" t="s">
        <v>678</v>
      </c>
      <c r="B122" s="3" t="s">
        <v>548</v>
      </c>
      <c r="C122" s="3" t="s">
        <v>502</v>
      </c>
      <c r="D122" s="16" t="n">
        <v>10</v>
      </c>
      <c r="E122" s="6" t="n">
        <f aca="false">VLOOKUP(D122,'[1]REF Tables'!$A$2:$B$40,2)</f>
        <v>5900</v>
      </c>
      <c r="F122" s="3" t="s">
        <v>30</v>
      </c>
      <c r="G122" s="3" t="n">
        <v>17</v>
      </c>
      <c r="H122" s="3" t="s">
        <v>679</v>
      </c>
      <c r="I122" s="3" t="s">
        <v>550</v>
      </c>
      <c r="J122" s="3" t="n">
        <v>18</v>
      </c>
      <c r="K122" s="1" t="str">
        <f aca="false">IF(J122=1,"-5",IF(OR(J122=2,J122=3),"-4",IF(OR(J122=4,J122=5),"-3",IF(OR(J122=6,J122=7),"-2",IF(OR(J122=8,J122=9),"-1",IF(OR(J122=10,J122=11),"0",IF(OR(J122=12,J122=13),"+1",IF(OR(J122=14,J122=15),"+2",IF(OR(J122=16,J122=17),"+3",IF(OR(J122=18,J122=19),"+4",IF(OR(J122=20,J122=21),"+5",IF(OR(J122=22,J122=23),"+6",IF(OR(J122=24,J122=25),"+7",IF(OR(J122=26,J122=27),"+8",IF(OR(J122=28,J122=29),"+9",IF(J122=30,"+10"," "))))))))))))))))</f>
        <v>+4</v>
      </c>
      <c r="L122" s="3" t="n">
        <v>18</v>
      </c>
      <c r="M122" s="1" t="str">
        <f aca="false">IF(L122=1,"-5",IF(OR(L122=2,L122=3),"-4",IF(OR(L122=4,L122=5),"-3",IF(OR(L122=6,L122=7),"-2",IF(OR(L122=8,L122=9),"-1",IF(OR(L122=10,L122=11),"0",IF(OR(L122=12,L122=13),"+1",IF(OR(L122=14,L122=15),"+2",IF(OR(L122=16,L122=17),"+3",IF(OR(L122=18,L122=19),"+4",IF(OR(L122=20,L122=21),"+5",IF(OR(L122=22,L122=23),"+6",IF(OR(L122=24,L122=25),"+7",IF(OR(L122=26,L122=27),"+8",IF(OR(L122=28,L122=29),"+9",IF(L122=30,"+10"," "))))))))))))))))</f>
        <v>+4</v>
      </c>
      <c r="N122" s="3" t="n">
        <v>18</v>
      </c>
      <c r="O122" s="1" t="str">
        <f aca="false">IF(N122=1,"-5",IF(OR(N122=2,N122=3),"-4",IF(OR(N122=4,N122=5),"-3",IF(OR(N122=6,N122=7),"-2",IF(OR(N122=8,N122=9),"-1",IF(OR(N122=10,N122=11),"0",IF(OR(N122=12,N122=13),"+1",IF(OR(N122=14,N122=15),"+2",IF(OR(N122=16,N122=17),"+3",IF(OR(N122=18,N122=19),"+4",IF(OR(N122=20,N122=21),"+5",IF(OR(N122=22,N122=23),"+6",IF(OR(N122=24,N122=25),"+7",IF(OR(N122=26,N122=27),"+8",IF(OR(N122=28,N122=29),"+9",IF(N122=30,"+10"," "))))))))))))))))</f>
        <v>+4</v>
      </c>
      <c r="P122" s="3" t="n">
        <v>17</v>
      </c>
      <c r="Q122" s="1" t="str">
        <f aca="false">IF(P122=1,"-5",IF(OR(P122=2,P122=3),"-4",IF(OR(P122=4,P122=5),"-3",IF(OR(P122=6,P122=7),"-2",IF(OR(P122=8,P122=9),"-1",IF(OR(P122=10,P122=11),"0",IF(OR(P122=12,P122=13),"+1",IF(OR(P122=14,P122=15),"+2",IF(OR(P122=16,P122=17),"+3",IF(OR(P122=18,P122=19),"+4",IF(OR(P122=20,P122=21),"+5",IF(OR(P122=22,P122=23),"+6",IF(OR(P122=24,P122=25),"+7",IF(OR(P122=26,P122=27),"+8",IF(OR(P122=28,P122=29),"+9",IF(P122=30,"+10"," "))))))))))))))))</f>
        <v>+3</v>
      </c>
      <c r="R122" s="3" t="n">
        <v>20</v>
      </c>
      <c r="S122" s="1" t="str">
        <f aca="false">IF(R122=1,"-5",IF(OR(R122=2,R122=3),"-4",IF(OR(R122=4,R122=5),"-3",IF(OR(R122=6,R122=7),"-2",IF(OR(R122=8,R122=9),"-1",IF(OR(R122=10,R122=11),"0",IF(OR(R122=12,R122=13),"+1",IF(OR(R122=14,R122=15),"+2",IF(OR(R122=16,R122=17),"+3",IF(OR(R122=18,R122=19),"+4",IF(OR(R122=20,R122=21),"+5",IF(OR(R122=22,R122=23),"+6",IF(OR(R122=24,R122=25),"+7",IF(OR(R122=26,R122=27),"+8",IF(OR(R122=28,R122=29),"+9",IF(R122=30,"+10"," "))))))))))))))))</f>
        <v>+5</v>
      </c>
      <c r="T122" s="3" t="n">
        <v>20</v>
      </c>
      <c r="U122" s="1" t="str">
        <f aca="false">IF(T122=1,"-5",IF(OR(T122=2,T122=3),"-4",IF(OR(T122=4,T122=5),"-3",IF(OR(T122=6,T122=7),"-2",IF(OR(T122=8,T122=9),"-1",IF(OR(T122=10,T122=11),"0",IF(OR(T122=12,T122=13),"+1",IF(OR(T122=14,T122=15),"+2",IF(OR(T122=16,T122=17),"+3",IF(OR(T122=18,T122=19),"+4",IF(OR(T122=20,T122=21),"+5",IF(OR(T122=22,T122=23),"+6",IF(OR(T122=24,T122=25),"+7",IF(OR(T122=26,T122=27),"+8",IF(OR(T122=28,T122=29),"+9",IF(T122=30,"+10"," "))))))))))))))))</f>
        <v>+5</v>
      </c>
      <c r="V122" s="3" t="s">
        <v>680</v>
      </c>
      <c r="W122" s="3" t="s">
        <v>174</v>
      </c>
      <c r="X122" s="11" t="s">
        <v>681</v>
      </c>
      <c r="Y122" s="11" t="s">
        <v>682</v>
      </c>
      <c r="Z122" s="11"/>
      <c r="AA122" s="12"/>
    </row>
    <row r="123" customFormat="false" ht="16.4" hidden="false" customHeight="false" outlineLevel="0" collapsed="false">
      <c r="A123" s="15" t="s">
        <v>683</v>
      </c>
      <c r="B123" s="3" t="s">
        <v>39</v>
      </c>
      <c r="C123" s="3" t="s">
        <v>40</v>
      </c>
      <c r="D123" s="16" t="n">
        <v>8</v>
      </c>
      <c r="E123" s="6" t="n">
        <f aca="false">VLOOKUP(D123,'[1]REF Tables'!$A$2:$B$40,2)</f>
        <v>3900</v>
      </c>
      <c r="F123" s="3" t="s">
        <v>30</v>
      </c>
      <c r="G123" s="3" t="n">
        <v>12</v>
      </c>
      <c r="H123" s="3" t="s">
        <v>684</v>
      </c>
      <c r="I123" s="3" t="s">
        <v>42</v>
      </c>
      <c r="J123" s="3" t="n">
        <v>9</v>
      </c>
      <c r="K123" s="1" t="str">
        <f aca="false">IF(J123=1,"-5",IF(OR(J123=2,J123=3),"-4",IF(OR(J123=4,J123=5),"-3",IF(OR(J123=6,J123=7),"-2",IF(OR(J123=8,J123=9),"-1",IF(OR(J123=10,J123=11),"0",IF(OR(J123=12,J123=13),"+1",IF(OR(J123=14,J123=15),"+2",IF(OR(J123=16,J123=17),"+3",IF(OR(J123=18,J123=19),"+4",IF(OR(J123=20,J123=21),"+5",IF(OR(J123=22,J123=23),"+6",IF(OR(J123=24,J123=25),"+7",IF(OR(J123=26,J123=27),"+8",IF(OR(J123=28,J123=29),"+9",IF(J123=30,"+10"," "))))))))))))))))</f>
        <v>-1</v>
      </c>
      <c r="L123" s="3" t="n">
        <v>14</v>
      </c>
      <c r="M123" s="1" t="str">
        <f aca="false">IF(L123=1,"-5",IF(OR(L123=2,L123=3),"-4",IF(OR(L123=4,L123=5),"-3",IF(OR(L123=6,L123=7),"-2",IF(OR(L123=8,L123=9),"-1",IF(OR(L123=10,L123=11),"0",IF(OR(L123=12,L123=13),"+1",IF(OR(L123=14,L123=15),"+2",IF(OR(L123=16,L123=17),"+3",IF(OR(L123=18,L123=19),"+4",IF(OR(L123=20,L123=21),"+5",IF(OR(L123=22,L123=23),"+6",IF(OR(L123=24,L123=25),"+7",IF(OR(L123=26,L123=27),"+8",IF(OR(L123=28,L123=29),"+9",IF(L123=30,"+10"," "))))))))))))))))</f>
        <v>+2</v>
      </c>
      <c r="N123" s="3" t="n">
        <v>11</v>
      </c>
      <c r="O123" s="1" t="str">
        <f aca="false">IF(N123=1,"-5",IF(OR(N123=2,N123=3),"-4",IF(OR(N123=4,N123=5),"-3",IF(OR(N123=6,N123=7),"-2",IF(OR(N123=8,N123=9),"-1",IF(OR(N123=10,N123=11),"0",IF(OR(N123=12,N123=13),"+1",IF(OR(N123=14,N123=15),"+2",IF(OR(N123=16,N123=17),"+3",IF(OR(N123=18,N123=19),"+4",IF(OR(N123=20,N123=21),"+5",IF(OR(N123=22,N123=23),"+6",IF(OR(N123=24,N123=25),"+7",IF(OR(N123=26,N123=27),"+8",IF(OR(N123=28,N123=29),"+9",IF(N123=30,"+10"," "))))))))))))))))</f>
        <v>0</v>
      </c>
      <c r="P123" s="3" t="n">
        <v>18</v>
      </c>
      <c r="Q123" s="1" t="str">
        <f aca="false">IF(P123=1,"-5",IF(OR(P123=2,P123=3),"-4",IF(OR(P123=4,P123=5),"-3",IF(OR(P123=6,P123=7),"-2",IF(OR(P123=8,P123=9),"-1",IF(OR(P123=10,P123=11),"0",IF(OR(P123=12,P123=13),"+1",IF(OR(P123=14,P123=15),"+2",IF(OR(P123=16,P123=17),"+3",IF(OR(P123=18,P123=19),"+4",IF(OR(P123=20,P123=21),"+5",IF(OR(P123=22,P123=23),"+6",IF(OR(P123=24,P123=25),"+7",IF(OR(P123=26,P123=27),"+8",IF(OR(P123=28,P123=29),"+9",IF(P123=30,"+10"," "))))))))))))))))</f>
        <v>+4</v>
      </c>
      <c r="R123" s="3" t="n">
        <v>12</v>
      </c>
      <c r="S123" s="1" t="str">
        <f aca="false">IF(R123=1,"-5",IF(OR(R123=2,R123=3),"-4",IF(OR(R123=4,R123=5),"-3",IF(OR(R123=6,R123=7),"-2",IF(OR(R123=8,R123=9),"-1",IF(OR(R123=10,R123=11),"0",IF(OR(R123=12,R123=13),"+1",IF(OR(R123=14,R123=15),"+2",IF(OR(R123=16,R123=17),"+3",IF(OR(R123=18,R123=19),"+4",IF(OR(R123=20,R123=21),"+5",IF(OR(R123=22,R123=23),"+6",IF(OR(R123=24,R123=25),"+7",IF(OR(R123=26,R123=27),"+8",IF(OR(R123=28,R123=29),"+9",IF(R123=30,"+10"," "))))))))))))))))</f>
        <v>+1</v>
      </c>
      <c r="T123" s="3" t="n">
        <v>11</v>
      </c>
      <c r="U123" s="1" t="str">
        <f aca="false">IF(T123=1,"-5",IF(OR(T123=2,T123=3),"-4",IF(OR(T123=4,T123=5),"-3",IF(OR(T123=6,T123=7),"-2",IF(OR(T123=8,T123=9),"-1",IF(OR(T123=10,T123=11),"0",IF(OR(T123=12,T123=13),"+1",IF(OR(T123=14,T123=15),"+2",IF(OR(T123=16,T123=17),"+3",IF(OR(T123=18,T123=19),"+4",IF(OR(T123=20,T123=21),"+5",IF(OR(T123=22,T123=23),"+6",IF(OR(T123=24,T123=25),"+7",IF(OR(T123=26,T123=27),"+8",IF(OR(T123=28,T123=29),"+9",IF(T123=30,"+10"," "))))))))))))))))</f>
        <v>0</v>
      </c>
      <c r="V123" s="3" t="s">
        <v>685</v>
      </c>
      <c r="W123" s="3" t="s">
        <v>44</v>
      </c>
      <c r="X123" s="11" t="s">
        <v>686</v>
      </c>
      <c r="Y123" s="11" t="s">
        <v>687</v>
      </c>
      <c r="Z123" s="11" t="s">
        <v>37</v>
      </c>
      <c r="AA123" s="12" t="s">
        <v>37</v>
      </c>
    </row>
    <row r="124" customFormat="false" ht="16.4" hidden="false" customHeight="false" outlineLevel="0" collapsed="false">
      <c r="A124" s="15" t="s">
        <v>688</v>
      </c>
      <c r="B124" s="3" t="s">
        <v>386</v>
      </c>
      <c r="C124" s="3" t="s">
        <v>222</v>
      </c>
      <c r="D124" s="16" t="n">
        <v>13</v>
      </c>
      <c r="E124" s="6" t="n">
        <f aca="false">VLOOKUP(D124,'[1]REF Tables'!$A$2:$B$40,2)</f>
        <v>10000</v>
      </c>
      <c r="F124" s="3" t="s">
        <v>50</v>
      </c>
      <c r="G124" s="3" t="n">
        <v>16</v>
      </c>
      <c r="H124" s="3" t="s">
        <v>689</v>
      </c>
      <c r="I124" s="3" t="s">
        <v>42</v>
      </c>
      <c r="J124" s="3" t="n">
        <v>20</v>
      </c>
      <c r="K124" s="1" t="str">
        <f aca="false">IF(J124=1,"-5",IF(OR(J124=2,J124=3),"-4",IF(OR(J124=4,J124=5),"-3",IF(OR(J124=6,J124=7),"-2",IF(OR(J124=8,J124=9),"-1",IF(OR(J124=10,J124=11),"0",IF(OR(J124=12,J124=13),"+1",IF(OR(J124=14,J124=15),"+2",IF(OR(J124=16,J124=17),"+3",IF(OR(J124=18,J124=19),"+4",IF(OR(J124=20,J124=21),"+5",IF(OR(J124=22,J124=23),"+6",IF(OR(J124=24,J124=25),"+7",IF(OR(J124=26,J124=27),"+8",IF(OR(J124=28,J124=29),"+9",IF(J124=30,"+10"," "))))))))))))))))</f>
        <v>+5</v>
      </c>
      <c r="L124" s="3" t="n">
        <v>12</v>
      </c>
      <c r="M124" s="1" t="str">
        <f aca="false">IF(L124=1,"-5",IF(OR(L124=2,L124=3),"-4",IF(OR(L124=4,L124=5),"-3",IF(OR(L124=6,L124=7),"-2",IF(OR(L124=8,L124=9),"-1",IF(OR(L124=10,L124=11),"0",IF(OR(L124=12,L124=13),"+1",IF(OR(L124=14,L124=15),"+2",IF(OR(L124=16,L124=17),"+3",IF(OR(L124=18,L124=19),"+4",IF(OR(L124=20,L124=21),"+5",IF(OR(L124=22,L124=23),"+6",IF(OR(L124=24,L124=25),"+7",IF(OR(L124=26,L124=27),"+8",IF(OR(L124=28,L124=29),"+9",IF(L124=30,"+10"," "))))))))))))))))</f>
        <v>+1</v>
      </c>
      <c r="N124" s="3" t="n">
        <v>20</v>
      </c>
      <c r="O124" s="1" t="str">
        <f aca="false">IF(N124=1,"-5",IF(OR(N124=2,N124=3),"-4",IF(OR(N124=4,N124=5),"-3",IF(OR(N124=6,N124=7),"-2",IF(OR(N124=8,N124=9),"-1",IF(OR(N124=10,N124=11),"0",IF(OR(N124=12,N124=13),"+1",IF(OR(N124=14,N124=15),"+2",IF(OR(N124=16,N124=17),"+3",IF(OR(N124=18,N124=19),"+4",IF(OR(N124=20,N124=21),"+5",IF(OR(N124=22,N124=23),"+6",IF(OR(N124=24,N124=25),"+7",IF(OR(N124=26,N124=27),"+8",IF(OR(N124=28,N124=29),"+9",IF(N124=30,"+10"," "))))))))))))))))</f>
        <v>+5</v>
      </c>
      <c r="P124" s="3" t="n">
        <v>13</v>
      </c>
      <c r="Q124" s="1" t="str">
        <f aca="false">IF(P124=1,"-5",IF(OR(P124=2,P124=3),"-4",IF(OR(P124=4,P124=5),"-3",IF(OR(P124=6,P124=7),"-2",IF(OR(P124=8,P124=9),"-1",IF(OR(P124=10,P124=11),"0",IF(OR(P124=12,P124=13),"+1",IF(OR(P124=14,P124=15),"+2",IF(OR(P124=16,P124=17),"+3",IF(OR(P124=18,P124=19),"+4",IF(OR(P124=20,P124=21),"+5",IF(OR(P124=22,P124=23),"+6",IF(OR(P124=24,P124=25),"+7",IF(OR(P124=26,P124=27),"+8",IF(OR(P124=28,P124=29),"+9",IF(P124=30,"+10"," "))))))))))))))))</f>
        <v>+1</v>
      </c>
      <c r="R124" s="3" t="n">
        <v>10</v>
      </c>
      <c r="S124" s="1" t="str">
        <f aca="false">IF(R124=1,"-5",IF(OR(R124=2,R124=3),"-4",IF(OR(R124=4,R124=5),"-3",IF(OR(R124=6,R124=7),"-2",IF(OR(R124=8,R124=9),"-1",IF(OR(R124=10,R124=11),"0",IF(OR(R124=12,R124=13),"+1",IF(OR(R124=14,R124=15),"+2",IF(OR(R124=16,R124=17),"+3",IF(OR(R124=18,R124=19),"+4",IF(OR(R124=20,R124=21),"+5",IF(OR(R124=22,R124=23),"+6",IF(OR(R124=24,R124=25),"+7",IF(OR(R124=26,R124=27),"+8",IF(OR(R124=28,R124=29),"+9",IF(R124=30,"+10"," "))))))))))))))))</f>
        <v>0</v>
      </c>
      <c r="T124" s="3" t="n">
        <v>16</v>
      </c>
      <c r="U124" s="1" t="str">
        <f aca="false">IF(T124=1,"-5",IF(OR(T124=2,T124=3),"-4",IF(OR(T124=4,T124=5),"-3",IF(OR(T124=6,T124=7),"-2",IF(OR(T124=8,T124=9),"-1",IF(OR(T124=10,T124=11),"0",IF(OR(T124=12,T124=13),"+1",IF(OR(T124=14,T124=15),"+2",IF(OR(T124=16,T124=17),"+3",IF(OR(T124=18,T124=19),"+4",IF(OR(T124=20,T124=21),"+5",IF(OR(T124=22,T124=23),"+6",IF(OR(T124=24,T124=25),"+7",IF(OR(T124=26,T124=27),"+8",IF(OR(T124=28,T124=29),"+9",IF(T124=30,"+10"," "))))))))))))))))</f>
        <v>+3</v>
      </c>
      <c r="V124" s="3" t="s">
        <v>37</v>
      </c>
      <c r="W124" s="3" t="s">
        <v>249</v>
      </c>
      <c r="X124" s="11" t="s">
        <v>690</v>
      </c>
      <c r="Y124" s="11" t="s">
        <v>691</v>
      </c>
      <c r="Z124" s="11" t="s">
        <v>37</v>
      </c>
      <c r="AA124" s="12" t="s">
        <v>37</v>
      </c>
    </row>
    <row r="125" customFormat="false" ht="16.4" hidden="false" customHeight="false" outlineLevel="0" collapsed="false">
      <c r="A125" s="15" t="s">
        <v>692</v>
      </c>
      <c r="B125" s="3" t="s">
        <v>48</v>
      </c>
      <c r="C125" s="3" t="s">
        <v>49</v>
      </c>
      <c r="D125" s="16" t="n">
        <v>2</v>
      </c>
      <c r="E125" s="3" t="n">
        <f aca="false">VLOOKUP(D125,'[1]REF Tables'!$A$2:$B$40,2)</f>
        <v>450</v>
      </c>
      <c r="F125" s="3" t="s">
        <v>315</v>
      </c>
      <c r="G125" s="3" t="n">
        <v>12</v>
      </c>
      <c r="H125" s="3" t="s">
        <v>693</v>
      </c>
      <c r="I125" s="3" t="s">
        <v>224</v>
      </c>
      <c r="J125" s="3" t="n">
        <v>6</v>
      </c>
      <c r="K125" s="1" t="str">
        <f aca="false">IF(J125=1,"-5",IF(OR(J125=2,J125=3),"-4",IF(OR(J125=4,J125=5),"-3",IF(OR(J125=6,J125=7),"-2",IF(OR(J125=8,J125=9),"-1",IF(OR(J125=10,J125=11),"0",IF(OR(J125=12,J125=13),"+1",IF(OR(J125=14,J125=15),"+2",IF(OR(J125=16,J125=17),"+3",IF(OR(J125=18,J125=19),"+4",IF(OR(J125=20,J125=21),"+5",IF(OR(J125=22,J125=23),"+6",IF(OR(J125=24,J125=25),"+7",IF(OR(J125=26,J125=27),"+8",IF(OR(J125=28,J125=29),"+9",IF(J125=30,"+10"," "))))))))))))))))</f>
        <v>-2</v>
      </c>
      <c r="L125" s="3" t="n">
        <v>14</v>
      </c>
      <c r="M125" s="1" t="str">
        <f aca="false">IF(L125=1,"-5",IF(OR(L125=2,L125=3),"-4",IF(OR(L125=4,L125=5),"-3",IF(OR(L125=6,L125=7),"-2",IF(OR(L125=8,L125=9),"-1",IF(OR(L125=10,L125=11),"0",IF(OR(L125=12,L125=13),"+1",IF(OR(L125=14,L125=15),"+2",IF(OR(L125=16,L125=17),"+3",IF(OR(L125=18,L125=19),"+4",IF(OR(L125=20,L125=21),"+5",IF(OR(L125=22,L125=23),"+6",IF(OR(L125=24,L125=25),"+7",IF(OR(L125=26,L125=27),"+8",IF(OR(L125=28,L125=29),"+9",IF(L125=30,"+10"," "))))))))))))))))</f>
        <v>+2</v>
      </c>
      <c r="N125" s="3" t="n">
        <v>13</v>
      </c>
      <c r="O125" s="1" t="str">
        <f aca="false">IF(N125=1,"-5",IF(OR(N125=2,N125=3),"-4",IF(OR(N125=4,N125=5),"-3",IF(OR(N125=6,N125=7),"-2",IF(OR(N125=8,N125=9),"-1",IF(OR(N125=10,N125=11),"0",IF(OR(N125=12,N125=13),"+1",IF(OR(N125=14,N125=15),"+2",IF(OR(N125=16,N125=17),"+3",IF(OR(N125=18,N125=19),"+4",IF(OR(N125=20,N125=21),"+5",IF(OR(N125=22,N125=23),"+6",IF(OR(N125=24,N125=25),"+7",IF(OR(N125=26,N125=27),"+8",IF(OR(N125=28,N125=29),"+9",IF(N125=30,"+10"," "))))))))))))))))</f>
        <v>+1</v>
      </c>
      <c r="P125" s="3" t="n">
        <v>12</v>
      </c>
      <c r="Q125" s="1" t="str">
        <f aca="false">IF(P125=1,"-5",IF(OR(P125=2,P125=3),"-4",IF(OR(P125=4,P125=5),"-3",IF(OR(P125=6,P125=7),"-2",IF(OR(P125=8,P125=9),"-1",IF(OR(P125=10,P125=11),"0",IF(OR(P125=12,P125=13),"+1",IF(OR(P125=14,P125=15),"+2",IF(OR(P125=16,P125=17),"+3",IF(OR(P125=18,P125=19),"+4",IF(OR(P125=20,P125=21),"+5",IF(OR(P125=22,P125=23),"+6",IF(OR(P125=24,P125=25),"+7",IF(OR(P125=26,P125=27),"+8",IF(OR(P125=28,P125=29),"+9",IF(P125=30,"+10"," "))))))))))))))))</f>
        <v>+1</v>
      </c>
      <c r="R125" s="3" t="n">
        <v>11</v>
      </c>
      <c r="S125" s="1" t="str">
        <f aca="false">IF(R125=1,"-5",IF(OR(R125=2,R125=3),"-4",IF(OR(R125=4,R125=5),"-3",IF(OR(R125=6,R125=7),"-2",IF(OR(R125=8,R125=9),"-1",IF(OR(R125=10,R125=11),"0",IF(OR(R125=12,R125=13),"+1",IF(OR(R125=14,R125=15),"+2",IF(OR(R125=16,R125=17),"+3",IF(OR(R125=18,R125=19),"+4",IF(OR(R125=20,R125=21),"+5",IF(OR(R125=22,R125=23),"+6",IF(OR(R125=24,R125=25),"+7",IF(OR(R125=26,R125=27),"+8",IF(OR(R125=28,R125=29),"+9",IF(R125=30,"+10"," "))))))))))))))))</f>
        <v>0</v>
      </c>
      <c r="T125" s="3" t="n">
        <v>10</v>
      </c>
      <c r="U125" s="1" t="str">
        <f aca="false">IF(T125=1,"-5",IF(OR(T125=2,T125=3),"-4",IF(OR(T125=4,T125=5),"-3",IF(OR(T125=6,T125=7),"-2",IF(OR(T125=8,T125=9),"-1",IF(OR(T125=10,T125=11),"0",IF(OR(T125=12,T125=13),"+1",IF(OR(T125=14,T125=15),"+2",IF(OR(T125=16,T125=17),"+3",IF(OR(T125=18,T125=19),"+4",IF(OR(T125=20,T125=21),"+5",IF(OR(T125=22,T125=23),"+6",IF(OR(T125=24,T125=25),"+7",IF(OR(T125=26,T125=27),"+8",IF(OR(T125=28,T125=29),"+9",IF(T125=30,"+10"," "))))))))))))))))</f>
        <v>0</v>
      </c>
      <c r="V125" s="3" t="s">
        <v>694</v>
      </c>
      <c r="W125" s="3" t="s">
        <v>695</v>
      </c>
      <c r="X125" s="11" t="s">
        <v>696</v>
      </c>
      <c r="Y125" s="11" t="s">
        <v>697</v>
      </c>
      <c r="Z125" s="11"/>
      <c r="AA125" s="12"/>
    </row>
    <row r="126" customFormat="false" ht="16.4" hidden="false" customHeight="false" outlineLevel="0" collapsed="false">
      <c r="A126" s="15" t="s">
        <v>698</v>
      </c>
      <c r="B126" s="3" t="s">
        <v>699</v>
      </c>
      <c r="C126" s="3" t="s">
        <v>49</v>
      </c>
      <c r="D126" s="16" t="n">
        <v>8</v>
      </c>
      <c r="E126" s="6" t="n">
        <f aca="false">VLOOKUP(D126,'[1]REF Tables'!$A$2:$B$40,2)</f>
        <v>3900</v>
      </c>
      <c r="F126" s="3" t="s">
        <v>30</v>
      </c>
      <c r="G126" s="3" t="n">
        <v>16</v>
      </c>
      <c r="H126" s="3" t="s">
        <v>700</v>
      </c>
      <c r="I126" s="3" t="s">
        <v>42</v>
      </c>
      <c r="J126" s="3" t="n">
        <v>18</v>
      </c>
      <c r="K126" s="1" t="str">
        <f aca="false">IF(J126=1,"-5",IF(OR(J126=2,J126=3),"-4",IF(OR(J126=4,J126=5),"-3",IF(OR(J126=6,J126=7),"-2",IF(OR(J126=8,J126=9),"-1",IF(OR(J126=10,J126=11),"0",IF(OR(J126=12,J126=13),"+1",IF(OR(J126=14,J126=15),"+2",IF(OR(J126=16,J126=17),"+3",IF(OR(J126=18,J126=19),"+4",IF(OR(J126=20,J126=21),"+5",IF(OR(J126=22,J126=23),"+6",IF(OR(J126=24,J126=25),"+7",IF(OR(J126=26,J126=27),"+8",IF(OR(J126=28,J126=29),"+9",IF(J126=30,"+10"," "))))))))))))))))</f>
        <v>+4</v>
      </c>
      <c r="L126" s="3" t="n">
        <v>15</v>
      </c>
      <c r="M126" s="1" t="str">
        <f aca="false">IF(L126=1,"-5",IF(OR(L126=2,L126=3),"-4",IF(OR(L126=4,L126=5),"-3",IF(OR(L126=6,L126=7),"-2",IF(OR(L126=8,L126=9),"-1",IF(OR(L126=10,L126=11),"0",IF(OR(L126=12,L126=13),"+1",IF(OR(L126=14,L126=15),"+2",IF(OR(L126=16,L126=17),"+3",IF(OR(L126=18,L126=19),"+4",IF(OR(L126=20,L126=21),"+5",IF(OR(L126=22,L126=23),"+6",IF(OR(L126=24,L126=25),"+7",IF(OR(L126=26,L126=27),"+8",IF(OR(L126=28,L126=29),"+9",IF(L126=30,"+10"," "))))))))))))))))</f>
        <v>+2</v>
      </c>
      <c r="N126" s="3" t="n">
        <v>18</v>
      </c>
      <c r="O126" s="1" t="str">
        <f aca="false">IF(N126=1,"-5",IF(OR(N126=2,N126=3),"-4",IF(OR(N126=4,N126=5),"-3",IF(OR(N126=6,N126=7),"-2",IF(OR(N126=8,N126=9),"-1",IF(OR(N126=10,N126=11),"0",IF(OR(N126=12,N126=13),"+1",IF(OR(N126=14,N126=15),"+2",IF(OR(N126=16,N126=17),"+3",IF(OR(N126=18,N126=19),"+4",IF(OR(N126=20,N126=21),"+5",IF(OR(N126=22,N126=23),"+6",IF(OR(N126=24,N126=25),"+7",IF(OR(N126=26,N126=27),"+8",IF(OR(N126=28,N126=29),"+9",IF(N126=30,"+10"," "))))))))))))))))</f>
        <v>+4</v>
      </c>
      <c r="P126" s="3" t="n">
        <v>11</v>
      </c>
      <c r="Q126" s="1" t="str">
        <f aca="false">IF(P126=1,"-5",IF(OR(P126=2,P126=3),"-4",IF(OR(P126=4,P126=5),"-3",IF(OR(P126=6,P126=7),"-2",IF(OR(P126=8,P126=9),"-1",IF(OR(P126=10,P126=11),"0",IF(OR(P126=12,P126=13),"+1",IF(OR(P126=14,P126=15),"+2",IF(OR(P126=16,P126=17),"+3",IF(OR(P126=18,P126=19),"+4",IF(OR(P126=20,P126=21),"+5",IF(OR(P126=22,P126=23),"+6",IF(OR(P126=24,P126=25),"+7",IF(OR(P126=26,P126=27),"+8",IF(OR(P126=28,P126=29),"+9",IF(P126=30,"+10"," "))))))))))))))))</f>
        <v>0</v>
      </c>
      <c r="R126" s="3" t="n">
        <v>12</v>
      </c>
      <c r="S126" s="1" t="str">
        <f aca="false">IF(R126=1,"-5",IF(OR(R126=2,R126=3),"-4",IF(OR(R126=4,R126=5),"-3",IF(OR(R126=6,R126=7),"-2",IF(OR(R126=8,R126=9),"-1",IF(OR(R126=10,R126=11),"0",IF(OR(R126=12,R126=13),"+1",IF(OR(R126=14,R126=15),"+2",IF(OR(R126=16,R126=17),"+3",IF(OR(R126=18,R126=19),"+4",IF(OR(R126=20,R126=21),"+5",IF(OR(R126=22,R126=23),"+6",IF(OR(R126=24,R126=25),"+7",IF(OR(R126=26,R126=27),"+8",IF(OR(R126=28,R126=29),"+9",IF(R126=30,"+10"," "))))))))))))))))</f>
        <v>+1</v>
      </c>
      <c r="T126" s="3" t="n">
        <v>14</v>
      </c>
      <c r="U126" s="1" t="str">
        <f aca="false">IF(T126=1,"-5",IF(OR(T126=2,T126=3),"-4",IF(OR(T126=4,T126=5),"-3",IF(OR(T126=6,T126=7),"-2",IF(OR(T126=8,T126=9),"-1",IF(OR(T126=10,T126=11),"0",IF(OR(T126=12,T126=13),"+1",IF(OR(T126=14,T126=15),"+2",IF(OR(T126=16,T126=17),"+3",IF(OR(T126=18,T126=19),"+4",IF(OR(T126=20,T126=21),"+5",IF(OR(T126=22,T126=23),"+6",IF(OR(T126=24,T126=25),"+7",IF(OR(T126=26,T126=27),"+8",IF(OR(T126=28,T126=29),"+9",IF(T126=30,"+10"," "))))))))))))))))</f>
        <v>+2</v>
      </c>
      <c r="V126" s="3" t="s">
        <v>701</v>
      </c>
      <c r="W126" s="3" t="s">
        <v>702</v>
      </c>
      <c r="X126" s="11" t="s">
        <v>703</v>
      </c>
      <c r="Y126" s="11" t="s">
        <v>704</v>
      </c>
      <c r="Z126" s="11" t="s">
        <v>705</v>
      </c>
      <c r="AA126" s="12" t="s">
        <v>37</v>
      </c>
    </row>
    <row r="127" customFormat="false" ht="16.4" hidden="false" customHeight="false" outlineLevel="0" collapsed="false">
      <c r="A127" s="15" t="s">
        <v>706</v>
      </c>
      <c r="B127" s="3" t="s">
        <v>699</v>
      </c>
      <c r="C127" s="3" t="s">
        <v>49</v>
      </c>
      <c r="D127" s="16" t="n">
        <v>5</v>
      </c>
      <c r="E127" s="6" t="n">
        <f aca="false">VLOOKUP(D127,'[1]REF Tables'!$A$2:$B$40,2)</f>
        <v>1800</v>
      </c>
      <c r="F127" s="3" t="s">
        <v>30</v>
      </c>
      <c r="G127" s="3" t="n">
        <v>15</v>
      </c>
      <c r="H127" s="3" t="s">
        <v>707</v>
      </c>
      <c r="I127" s="3" t="s">
        <v>42</v>
      </c>
      <c r="J127" s="3" t="n">
        <v>16</v>
      </c>
      <c r="K127" s="1" t="str">
        <f aca="false">IF(J127=1,"-5",IF(OR(J127=2,J127=3),"-4",IF(OR(J127=4,J127=5),"-3",IF(OR(J127=6,J127=7),"-2",IF(OR(J127=8,J127=9),"-1",IF(OR(J127=10,J127=11),"0",IF(OR(J127=12,J127=13),"+1",IF(OR(J127=14,J127=15),"+2",IF(OR(J127=16,J127=17),"+3",IF(OR(J127=18,J127=19),"+4",IF(OR(J127=20,J127=21),"+5",IF(OR(J127=22,J127=23),"+6",IF(OR(J127=24,J127=25),"+7",IF(OR(J127=26,J127=27),"+8",IF(OR(J127=28,J127=29),"+9",IF(J127=30,"+10"," "))))))))))))))))</f>
        <v>+3</v>
      </c>
      <c r="L127" s="3" t="n">
        <v>17</v>
      </c>
      <c r="M127" s="1" t="str">
        <f aca="false">IF(L127=1,"-5",IF(OR(L127=2,L127=3),"-4",IF(OR(L127=4,L127=5),"-3",IF(OR(L127=6,L127=7),"-2",IF(OR(L127=8,L127=9),"-1",IF(OR(L127=10,L127=11),"0",IF(OR(L127=12,L127=13),"+1",IF(OR(L127=14,L127=15),"+2",IF(OR(L127=16,L127=17),"+3",IF(OR(L127=18,L127=19),"+4",IF(OR(L127=20,L127=21),"+5",IF(OR(L127=22,L127=23),"+6",IF(OR(L127=24,L127=25),"+7",IF(OR(L127=26,L127=27),"+8",IF(OR(L127=28,L127=29),"+9",IF(L127=30,"+10"," "))))))))))))))))</f>
        <v>+3</v>
      </c>
      <c r="N127" s="3" t="n">
        <v>18</v>
      </c>
      <c r="O127" s="1" t="str">
        <f aca="false">IF(N127=1,"-5",IF(OR(N127=2,N127=3),"-4",IF(OR(N127=4,N127=5),"-3",IF(OR(N127=6,N127=7),"-2",IF(OR(N127=8,N127=9),"-1",IF(OR(N127=10,N127=11),"0",IF(OR(N127=12,N127=13),"+1",IF(OR(N127=14,N127=15),"+2",IF(OR(N127=16,N127=17),"+3",IF(OR(N127=18,N127=19),"+4",IF(OR(N127=20,N127=21),"+5",IF(OR(N127=22,N127=23),"+6",IF(OR(N127=24,N127=25),"+7",IF(OR(N127=26,N127=27),"+8",IF(OR(N127=28,N127=29),"+9",IF(N127=30,"+10"," "))))))))))))))))</f>
        <v>+4</v>
      </c>
      <c r="P127" s="3" t="n">
        <v>12</v>
      </c>
      <c r="Q127" s="1" t="str">
        <f aca="false">IF(P127=1,"-5",IF(OR(P127=2,P127=3),"-4",IF(OR(P127=4,P127=5),"-3",IF(OR(P127=6,P127=7),"-2",IF(OR(P127=8,P127=9),"-1",IF(OR(P127=10,P127=11),"0",IF(OR(P127=12,P127=13),"+1",IF(OR(P127=14,P127=15),"+2",IF(OR(P127=16,P127=17),"+3",IF(OR(P127=18,P127=19),"+4",IF(OR(P127=20,P127=21),"+5",IF(OR(P127=22,P127=23),"+6",IF(OR(P127=24,P127=25),"+7",IF(OR(P127=26,P127=27),"+8",IF(OR(P127=28,P127=29),"+9",IF(P127=30,"+10"," "))))))))))))))))</f>
        <v>+1</v>
      </c>
      <c r="R127" s="3" t="n">
        <v>14</v>
      </c>
      <c r="S127" s="1" t="str">
        <f aca="false">IF(R127=1,"-5",IF(OR(R127=2,R127=3),"-4",IF(OR(R127=4,R127=5),"-3",IF(OR(R127=6,R127=7),"-2",IF(OR(R127=8,R127=9),"-1",IF(OR(R127=10,R127=11),"0",IF(OR(R127=12,R127=13),"+1",IF(OR(R127=14,R127=15),"+2",IF(OR(R127=16,R127=17),"+3",IF(OR(R127=18,R127=19),"+4",IF(OR(R127=20,R127=21),"+5",IF(OR(R127=22,R127=23),"+6",IF(OR(R127=24,R127=25),"+7",IF(OR(R127=26,R127=27),"+8",IF(OR(R127=28,R127=29),"+9",IF(R127=30,"+10"," "))))))))))))))))</f>
        <v>+2</v>
      </c>
      <c r="T127" s="3" t="n">
        <v>14</v>
      </c>
      <c r="U127" s="1" t="str">
        <f aca="false">IF(T127=1,"-5",IF(OR(T127=2,T127=3),"-4",IF(OR(T127=4,T127=5),"-3",IF(OR(T127=6,T127=7),"-2",IF(OR(T127=8,T127=9),"-1",IF(OR(T127=10,T127=11),"0",IF(OR(T127=12,T127=13),"+1",IF(OR(T127=14,T127=15),"+2",IF(OR(T127=16,T127=17),"+3",IF(OR(T127=18,T127=19),"+4",IF(OR(T127=20,T127=21),"+5",IF(OR(T127=22,T127=23),"+6",IF(OR(T127=24,T127=25),"+7",IF(OR(T127=26,T127=27),"+8",IF(OR(T127=28,T127=29),"+9",IF(T127=30,"+10"," "))))))))))))))))</f>
        <v>+2</v>
      </c>
      <c r="V127" s="3" t="s">
        <v>708</v>
      </c>
      <c r="W127" s="3" t="s">
        <v>702</v>
      </c>
      <c r="X127" s="11" t="s">
        <v>709</v>
      </c>
      <c r="Y127" s="11" t="s">
        <v>710</v>
      </c>
      <c r="Z127" s="11" t="s">
        <v>37</v>
      </c>
      <c r="AA127" s="12" t="s">
        <v>37</v>
      </c>
    </row>
    <row r="128" customFormat="false" ht="16.4" hidden="false" customHeight="false" outlineLevel="0" collapsed="false">
      <c r="A128" s="15" t="s">
        <v>711</v>
      </c>
      <c r="B128" s="3" t="s">
        <v>699</v>
      </c>
      <c r="C128" s="3" t="s">
        <v>49</v>
      </c>
      <c r="D128" s="16" t="n">
        <v>3</v>
      </c>
      <c r="E128" s="3" t="n">
        <f aca="false">VLOOKUP(D128,'[1]REF Tables'!$A$2:$B$40,2)</f>
        <v>700</v>
      </c>
      <c r="F128" s="3" t="s">
        <v>30</v>
      </c>
      <c r="G128" s="3" t="n">
        <v>13</v>
      </c>
      <c r="H128" s="3" t="s">
        <v>300</v>
      </c>
      <c r="I128" s="3" t="s">
        <v>42</v>
      </c>
      <c r="J128" s="3" t="n">
        <v>16</v>
      </c>
      <c r="K128" s="1" t="str">
        <f aca="false">IF(J128=1,"-5",IF(OR(J128=2,J128=3),"-4",IF(OR(J128=4,J128=5),"-3",IF(OR(J128=6,J128=7),"-2",IF(OR(J128=8,J128=9),"-1",IF(OR(J128=10,J128=11),"0",IF(OR(J128=12,J128=13),"+1",IF(OR(J128=14,J128=15),"+2",IF(OR(J128=16,J128=17),"+3",IF(OR(J128=18,J128=19),"+4",IF(OR(J128=20,J128=21),"+5",IF(OR(J128=22,J128=23),"+6",IF(OR(J128=24,J128=25),"+7",IF(OR(J128=26,J128=27),"+8",IF(OR(J128=28,J128=29),"+9",IF(J128=30,"+10"," "))))))))))))))))</f>
        <v>+3</v>
      </c>
      <c r="L128" s="3" t="n">
        <v>15</v>
      </c>
      <c r="M128" s="1" t="str">
        <f aca="false">IF(L128=1,"-5",IF(OR(L128=2,L128=3),"-4",IF(OR(L128=4,L128=5),"-3",IF(OR(L128=6,L128=7),"-2",IF(OR(L128=8,L128=9),"-1",IF(OR(L128=10,L128=11),"0",IF(OR(L128=12,L128=13),"+1",IF(OR(L128=14,L128=15),"+2",IF(OR(L128=16,L128=17),"+3",IF(OR(L128=18,L128=19),"+4",IF(OR(L128=20,L128=21),"+5",IF(OR(L128=22,L128=23),"+6",IF(OR(L128=24,L128=25),"+7",IF(OR(L128=26,L128=27),"+8",IF(OR(L128=28,L128=29),"+9",IF(L128=30,"+10"," "))))))))))))))))</f>
        <v>+2</v>
      </c>
      <c r="N128" s="3" t="n">
        <v>15</v>
      </c>
      <c r="O128" s="1" t="str">
        <f aca="false">IF(N128=1,"-5",IF(OR(N128=2,N128=3),"-4",IF(OR(N128=4,N128=5),"-3",IF(OR(N128=6,N128=7),"-2",IF(OR(N128=8,N128=9),"-1",IF(OR(N128=10,N128=11),"0",IF(OR(N128=12,N128=13),"+1",IF(OR(N128=14,N128=15),"+2",IF(OR(N128=16,N128=17),"+3",IF(OR(N128=18,N128=19),"+4",IF(OR(N128=20,N128=21),"+5",IF(OR(N128=22,N128=23),"+6",IF(OR(N128=24,N128=25),"+7",IF(OR(N128=26,N128=27),"+8",IF(OR(N128=28,N128=29),"+9",IF(N128=30,"+10"," "))))))))))))))))</f>
        <v>+2</v>
      </c>
      <c r="P128" s="3" t="n">
        <v>9</v>
      </c>
      <c r="Q128" s="1" t="str">
        <f aca="false">IF(P128=1,"-5",IF(OR(P128=2,P128=3),"-4",IF(OR(P128=4,P128=5),"-3",IF(OR(P128=6,P128=7),"-2",IF(OR(P128=8,P128=9),"-1",IF(OR(P128=10,P128=11),"0",IF(OR(P128=12,P128=13),"+1",IF(OR(P128=14,P128=15),"+2",IF(OR(P128=16,P128=17),"+3",IF(OR(P128=18,P128=19),"+4",IF(OR(P128=20,P128=21),"+5",IF(OR(P128=22,P128=23),"+6",IF(OR(P128=24,P128=25),"+7",IF(OR(P128=26,P128=27),"+8",IF(OR(P128=28,P128=29),"+9",IF(P128=30,"+10"," "))))))))))))))))</f>
        <v>-1</v>
      </c>
      <c r="R128" s="3" t="n">
        <v>11</v>
      </c>
      <c r="S128" s="1" t="str">
        <f aca="false">IF(R128=1,"-5",IF(OR(R128=2,R128=3),"-4",IF(OR(R128=4,R128=5),"-3",IF(OR(R128=6,R128=7),"-2",IF(OR(R128=8,R128=9),"-1",IF(OR(R128=10,R128=11),"0",IF(OR(R128=12,R128=13),"+1",IF(OR(R128=14,R128=15),"+2",IF(OR(R128=16,R128=17),"+3",IF(OR(R128=18,R128=19),"+4",IF(OR(R128=20,R128=21),"+5",IF(OR(R128=22,R128=23),"+6",IF(OR(R128=24,R128=25),"+7",IF(OR(R128=26,R128=27),"+8",IF(OR(R128=28,R128=29),"+9",IF(R128=30,"+10"," "))))))))))))))))</f>
        <v>0</v>
      </c>
      <c r="T128" s="3" t="n">
        <v>11</v>
      </c>
      <c r="U128" s="1" t="str">
        <f aca="false">IF(T128=1,"-5",IF(OR(T128=2,T128=3),"-4",IF(OR(T128=4,T128=5),"-3",IF(OR(T128=6,T128=7),"-2",IF(OR(T128=8,T128=9),"-1",IF(OR(T128=10,T128=11),"0",IF(OR(T128=12,T128=13),"+1",IF(OR(T128=14,T128=15),"+2",IF(OR(T128=16,T128=17),"+3",IF(OR(T128=18,T128=19),"+4",IF(OR(T128=20,T128=21),"+5",IF(OR(T128=22,T128=23),"+6",IF(OR(T128=24,T128=25),"+7",IF(OR(T128=26,T128=27),"+8",IF(OR(T128=28,T128=29),"+9",IF(T128=30,"+10"," "))))))))))))))))</f>
        <v>0</v>
      </c>
      <c r="V128" s="3" t="s">
        <v>712</v>
      </c>
      <c r="W128" s="3" t="s">
        <v>702</v>
      </c>
      <c r="X128" s="11" t="s">
        <v>713</v>
      </c>
      <c r="Y128" s="11" t="s">
        <v>714</v>
      </c>
      <c r="Z128" s="11" t="s">
        <v>37</v>
      </c>
      <c r="AA128" s="12" t="s">
        <v>37</v>
      </c>
    </row>
    <row r="129" customFormat="false" ht="16.4" hidden="false" customHeight="false" outlineLevel="0" collapsed="false">
      <c r="A129" s="15" t="s">
        <v>715</v>
      </c>
      <c r="B129" s="3" t="s">
        <v>699</v>
      </c>
      <c r="C129" s="3" t="s">
        <v>49</v>
      </c>
      <c r="D129" s="16" t="n">
        <v>11</v>
      </c>
      <c r="E129" s="6" t="n">
        <f aca="false">VLOOKUP(D129,'[1]REF Tables'!$A$2:$B$40,2)</f>
        <v>7200</v>
      </c>
      <c r="F129" s="3" t="s">
        <v>50</v>
      </c>
      <c r="G129" s="3" t="n">
        <v>18</v>
      </c>
      <c r="H129" s="3" t="s">
        <v>689</v>
      </c>
      <c r="I129" s="3" t="s">
        <v>433</v>
      </c>
      <c r="J129" s="3" t="n">
        <v>22</v>
      </c>
      <c r="K129" s="1" t="str">
        <f aca="false">IF(J129=1,"-5",IF(OR(J129=2,J129=3),"-4",IF(OR(J129=4,J129=5),"-3",IF(OR(J129=6,J129=7),"-2",IF(OR(J129=8,J129=9),"-1",IF(OR(J129=10,J129=11),"0",IF(OR(J129=12,J129=13),"+1",IF(OR(J129=14,J129=15),"+2",IF(OR(J129=16,J129=17),"+3",IF(OR(J129=18,J129=19),"+4",IF(OR(J129=20,J129=21),"+5",IF(OR(J129=22,J129=23),"+6",IF(OR(J129=24,J129=25),"+7",IF(OR(J129=26,J129=27),"+8",IF(OR(J129=28,J129=29),"+9",IF(J129=30,"+10"," "))))))))))))))))</f>
        <v>+6</v>
      </c>
      <c r="L129" s="3" t="n">
        <v>17</v>
      </c>
      <c r="M129" s="1" t="str">
        <f aca="false">IF(L129=1,"-5",IF(OR(L129=2,L129=3),"-4",IF(OR(L129=4,L129=5),"-3",IF(OR(L129=6,L129=7),"-2",IF(OR(L129=8,L129=9),"-1",IF(OR(L129=10,L129=11),"0",IF(OR(L129=12,L129=13),"+1",IF(OR(L129=14,L129=15),"+2",IF(OR(L129=16,L129=17),"+3",IF(OR(L129=18,L129=19),"+4",IF(OR(L129=20,L129=21),"+5",IF(OR(L129=22,L129=23),"+6",IF(OR(L129=24,L129=25),"+7",IF(OR(L129=26,L129=27),"+8",IF(OR(L129=28,L129=29),"+9",IF(L129=30,"+10"," "))))))))))))))))</f>
        <v>+3</v>
      </c>
      <c r="N129" s="3" t="n">
        <v>21</v>
      </c>
      <c r="O129" s="1" t="str">
        <f aca="false">IF(N129=1,"-5",IF(OR(N129=2,N129=3),"-4",IF(OR(N129=4,N129=5),"-3",IF(OR(N129=6,N129=7),"-2",IF(OR(N129=8,N129=9),"-1",IF(OR(N129=10,N129=11),"0",IF(OR(N129=12,N129=13),"+1",IF(OR(N129=14,N129=15),"+2",IF(OR(N129=16,N129=17),"+3",IF(OR(N129=18,N129=19),"+4",IF(OR(N129=20,N129=21),"+5",IF(OR(N129=22,N129=23),"+6",IF(OR(N129=24,N129=25),"+7",IF(OR(N129=26,N129=27),"+8",IF(OR(N129=28,N129=29),"+9",IF(N129=30,"+10"," "))))))))))))))))</f>
        <v>+5</v>
      </c>
      <c r="P129" s="3" t="n">
        <v>12</v>
      </c>
      <c r="Q129" s="1" t="str">
        <f aca="false">IF(P129=1,"-5",IF(OR(P129=2,P129=3),"-4",IF(OR(P129=4,P129=5),"-3",IF(OR(P129=6,P129=7),"-2",IF(OR(P129=8,P129=9),"-1",IF(OR(P129=10,P129=11),"0",IF(OR(P129=12,P129=13),"+1",IF(OR(P129=14,P129=15),"+2",IF(OR(P129=16,P129=17),"+3",IF(OR(P129=18,P129=19),"+4",IF(OR(P129=20,P129=21),"+5",IF(OR(P129=22,P129=23),"+6",IF(OR(P129=24,P129=25),"+7",IF(OR(P129=26,P129=27),"+8",IF(OR(P129=28,P129=29),"+9",IF(P129=30,"+10"," "))))))))))))))))</f>
        <v>+1</v>
      </c>
      <c r="R129" s="3" t="n">
        <v>16</v>
      </c>
      <c r="S129" s="1" t="str">
        <f aca="false">IF(R129=1,"-5",IF(OR(R129=2,R129=3),"-4",IF(OR(R129=4,R129=5),"-3",IF(OR(R129=6,R129=7),"-2",IF(OR(R129=8,R129=9),"-1",IF(OR(R129=10,R129=11),"0",IF(OR(R129=12,R129=13),"+1",IF(OR(R129=14,R129=15),"+2",IF(OR(R129=16,R129=17),"+3",IF(OR(R129=18,R129=19),"+4",IF(OR(R129=20,R129=21),"+5",IF(OR(R129=22,R129=23),"+6",IF(OR(R129=24,R129=25),"+7",IF(OR(R129=26,R129=27),"+8",IF(OR(R129=28,R129=29),"+9",IF(R129=30,"+10"," "))))))))))))))))</f>
        <v>+3</v>
      </c>
      <c r="T129" s="3" t="n">
        <v>17</v>
      </c>
      <c r="U129" s="1" t="str">
        <f aca="false">IF(T129=1,"-5",IF(OR(T129=2,T129=3),"-4",IF(OR(T129=4,T129=5),"-3",IF(OR(T129=6,T129=7),"-2",IF(OR(T129=8,T129=9),"-1",IF(OR(T129=10,T129=11),"0",IF(OR(T129=12,T129=13),"+1",IF(OR(T129=14,T129=15),"+2",IF(OR(T129=16,T129=17),"+3",IF(OR(T129=18,T129=19),"+4",IF(OR(T129=20,T129=21),"+5",IF(OR(T129=22,T129=23),"+6",IF(OR(T129=24,T129=25),"+7",IF(OR(T129=26,T129=27),"+8",IF(OR(T129=28,T129=29),"+9",IF(T129=30,"+10"," "))))))))))))))))</f>
        <v>+3</v>
      </c>
      <c r="V129" s="3" t="s">
        <v>716</v>
      </c>
      <c r="W129" s="3" t="s">
        <v>702</v>
      </c>
      <c r="X129" s="11" t="s">
        <v>717</v>
      </c>
      <c r="Y129" s="11" t="s">
        <v>718</v>
      </c>
      <c r="Z129" s="11" t="s">
        <v>37</v>
      </c>
      <c r="AA129" s="12" t="s">
        <v>37</v>
      </c>
    </row>
    <row r="130" customFormat="false" ht="16.4" hidden="false" customHeight="false" outlineLevel="0" collapsed="false">
      <c r="A130" s="15" t="s">
        <v>719</v>
      </c>
      <c r="B130" s="3" t="s">
        <v>699</v>
      </c>
      <c r="C130" s="3" t="s">
        <v>49</v>
      </c>
      <c r="D130" s="16" t="n">
        <v>2</v>
      </c>
      <c r="E130" s="3" t="n">
        <f aca="false">VLOOKUP(D130,'[1]REF Tables'!$A$2:$B$40,2)</f>
        <v>450</v>
      </c>
      <c r="F130" s="3" t="s">
        <v>315</v>
      </c>
      <c r="G130" s="3" t="n">
        <v>13</v>
      </c>
      <c r="H130" s="3" t="s">
        <v>720</v>
      </c>
      <c r="I130" s="3" t="s">
        <v>540</v>
      </c>
      <c r="J130" s="3" t="n">
        <v>10</v>
      </c>
      <c r="K130" s="1" t="str">
        <f aca="false">IF(J130=1,"-5",IF(OR(J130=2,J130=3),"-4",IF(OR(J130=4,J130=5),"-3",IF(OR(J130=6,J130=7),"-2",IF(OR(J130=8,J130=9),"-1",IF(OR(J130=10,J130=11),"0",IF(OR(J130=12,J130=13),"+1",IF(OR(J130=14,J130=15),"+2",IF(OR(J130=16,J130=17),"+3",IF(OR(J130=18,J130=19),"+4",IF(OR(J130=20,J130=21),"+5",IF(OR(J130=22,J130=23),"+6",IF(OR(J130=24,J130=25),"+7",IF(OR(J130=26,J130=27),"+8",IF(OR(J130=28,J130=29),"+9",IF(J130=30,"+10"," "))))))))))))))))</f>
        <v>0</v>
      </c>
      <c r="L130" s="3" t="n">
        <v>15</v>
      </c>
      <c r="M130" s="1" t="str">
        <f aca="false">IF(L130=1,"-5",IF(OR(L130=2,L130=3),"-4",IF(OR(L130=4,L130=5),"-3",IF(OR(L130=6,L130=7),"-2",IF(OR(L130=8,L130=9),"-1",IF(OR(L130=10,L130=11),"0",IF(OR(L130=12,L130=13),"+1",IF(OR(L130=14,L130=15),"+2",IF(OR(L130=16,L130=17),"+3",IF(OR(L130=18,L130=19),"+4",IF(OR(L130=20,L130=21),"+5",IF(OR(L130=22,L130=23),"+6",IF(OR(L130=24,L130=25),"+7",IF(OR(L130=26,L130=27),"+8",IF(OR(L130=28,L130=29),"+9",IF(L130=30,"+10"," "))))))))))))))))</f>
        <v>+2</v>
      </c>
      <c r="N130" s="3" t="n">
        <v>12</v>
      </c>
      <c r="O130" s="1" t="str">
        <f aca="false">IF(N130=1,"-5",IF(OR(N130=2,N130=3),"-4",IF(OR(N130=4,N130=5),"-3",IF(OR(N130=6,N130=7),"-2",IF(OR(N130=8,N130=9),"-1",IF(OR(N130=10,N130=11),"0",IF(OR(N130=12,N130=13),"+1",IF(OR(N130=14,N130=15),"+2",IF(OR(N130=16,N130=17),"+3",IF(OR(N130=18,N130=19),"+4",IF(OR(N130=20,N130=21),"+5",IF(OR(N130=22,N130=23),"+6",IF(OR(N130=24,N130=25),"+7",IF(OR(N130=26,N130=27),"+8",IF(OR(N130=28,N130=29),"+9",IF(N130=30,"+10"," "))))))))))))))))</f>
        <v>+1</v>
      </c>
      <c r="P130" s="3" t="n">
        <v>11</v>
      </c>
      <c r="Q130" s="1" t="str">
        <f aca="false">IF(P130=1,"-5",IF(OR(P130=2,P130=3),"-4",IF(OR(P130=4,P130=5),"-3",IF(OR(P130=6,P130=7),"-2",IF(OR(P130=8,P130=9),"-1",IF(OR(P130=10,P130=11),"0",IF(OR(P130=12,P130=13),"+1",IF(OR(P130=14,P130=15),"+2",IF(OR(P130=16,P130=17),"+3",IF(OR(P130=18,P130=19),"+4",IF(OR(P130=20,P130=21),"+5",IF(OR(P130=22,P130=23),"+6",IF(OR(P130=24,P130=25),"+7",IF(OR(P130=26,P130=27),"+8",IF(OR(P130=28,P130=29),"+9",IF(P130=30,"+10"," "))))))))))))))))</f>
        <v>0</v>
      </c>
      <c r="R130" s="3" t="n">
        <v>14</v>
      </c>
      <c r="S130" s="1" t="str">
        <f aca="false">IF(R130=1,"-5",IF(OR(R130=2,R130=3),"-4",IF(OR(R130=4,R130=5),"-3",IF(OR(R130=6,R130=7),"-2",IF(OR(R130=8,R130=9),"-1",IF(OR(R130=10,R130=11),"0",IF(OR(R130=12,R130=13),"+1",IF(OR(R130=14,R130=15),"+2",IF(OR(R130=16,R130=17),"+3",IF(OR(R130=18,R130=19),"+4",IF(OR(R130=20,R130=21),"+5",IF(OR(R130=22,R130=23),"+6",IF(OR(R130=24,R130=25),"+7",IF(OR(R130=26,R130=27),"+8",IF(OR(R130=28,R130=29),"+9",IF(R130=30,"+10"," "))))))))))))))))</f>
        <v>+2</v>
      </c>
      <c r="T130" s="3" t="n">
        <v>8</v>
      </c>
      <c r="U130" s="1" t="str">
        <f aca="false">IF(T130=1,"-5",IF(OR(T130=2,T130=3),"-4",IF(OR(T130=4,T130=5),"-3",IF(OR(T130=6,T130=7),"-2",IF(OR(T130=8,T130=9),"-1",IF(OR(T130=10,T130=11),"0",IF(OR(T130=12,T130=13),"+1",IF(OR(T130=14,T130=15),"+2",IF(OR(T130=16,T130=17),"+3",IF(OR(T130=18,T130=19),"+4",IF(OR(T130=20,T130=21),"+5",IF(OR(T130=22,T130=23),"+6",IF(OR(T130=24,T130=25),"+7",IF(OR(T130=26,T130=27),"+8",IF(OR(T130=28,T130=29),"+9",IF(T130=30,"+10"," "))))))))))))))))</f>
        <v>-1</v>
      </c>
      <c r="V130" s="3" t="s">
        <v>37</v>
      </c>
      <c r="W130" s="3" t="s">
        <v>702</v>
      </c>
      <c r="X130" s="11" t="s">
        <v>721</v>
      </c>
      <c r="Y130" s="11" t="s">
        <v>722</v>
      </c>
      <c r="Z130" s="11" t="s">
        <v>37</v>
      </c>
      <c r="AA130" s="12" t="s">
        <v>37</v>
      </c>
    </row>
    <row r="131" customFormat="false" ht="16.4" hidden="false" customHeight="false" outlineLevel="0" collapsed="false">
      <c r="A131" s="15" t="s">
        <v>723</v>
      </c>
      <c r="B131" s="3" t="s">
        <v>699</v>
      </c>
      <c r="C131" s="3" t="s">
        <v>49</v>
      </c>
      <c r="D131" s="16" t="n">
        <v>14</v>
      </c>
      <c r="E131" s="6" t="n">
        <f aca="false">VLOOKUP(D131,'[1]REF Tables'!$A$2:$B$40,2)</f>
        <v>11500</v>
      </c>
      <c r="F131" s="3" t="s">
        <v>50</v>
      </c>
      <c r="G131" s="3" t="n">
        <v>18</v>
      </c>
      <c r="H131" s="3" t="s">
        <v>724</v>
      </c>
      <c r="I131" s="3" t="s">
        <v>224</v>
      </c>
      <c r="J131" s="3" t="n">
        <v>21</v>
      </c>
      <c r="K131" s="1" t="str">
        <f aca="false">IF(J131=1,"-5",IF(OR(J131=2,J131=3),"-4",IF(OR(J131=4,J131=5),"-3",IF(OR(J131=6,J131=7),"-2",IF(OR(J131=8,J131=9),"-1",IF(OR(J131=10,J131=11),"0",IF(OR(J131=12,J131=13),"+1",IF(OR(J131=14,J131=15),"+2",IF(OR(J131=16,J131=17),"+3",IF(OR(J131=18,J131=19),"+4",IF(OR(J131=20,J131=21),"+5",IF(OR(J131=22,J131=23),"+6",IF(OR(J131=24,J131=25),"+7",IF(OR(J131=26,J131=27),"+8",IF(OR(J131=28,J131=29),"+9",IF(J131=30,"+10"," "))))))))))))))))</f>
        <v>+5</v>
      </c>
      <c r="L131" s="3" t="n">
        <v>14</v>
      </c>
      <c r="M131" s="1" t="str">
        <f aca="false">IF(L131=1,"-5",IF(OR(L131=2,L131=3),"-4",IF(OR(L131=4,L131=5),"-3",IF(OR(L131=6,L131=7),"-2",IF(OR(L131=8,L131=9),"-1",IF(OR(L131=10,L131=11),"0",IF(OR(L131=12,L131=13),"+1",IF(OR(L131=14,L131=15),"+2",IF(OR(L131=16,L131=17),"+3",IF(OR(L131=18,L131=19),"+4",IF(OR(L131=20,L131=21),"+5",IF(OR(L131=22,L131=23),"+6",IF(OR(L131=24,L131=25),"+7",IF(OR(L131=26,L131=27),"+8",IF(OR(L131=28,L131=29),"+9",IF(L131=30,"+10"," "))))))))))))))))</f>
        <v>+2</v>
      </c>
      <c r="N131" s="3" t="n">
        <v>18</v>
      </c>
      <c r="O131" s="1" t="str">
        <f aca="false">IF(N131=1,"-5",IF(OR(N131=2,N131=3),"-4",IF(OR(N131=4,N131=5),"-3",IF(OR(N131=6,N131=7),"-2",IF(OR(N131=8,N131=9),"-1",IF(OR(N131=10,N131=11),"0",IF(OR(N131=12,N131=13),"+1",IF(OR(N131=14,N131=15),"+2",IF(OR(N131=16,N131=17),"+3",IF(OR(N131=18,N131=19),"+4",IF(OR(N131=20,N131=21),"+5",IF(OR(N131=22,N131=23),"+6",IF(OR(N131=24,N131=25),"+7",IF(OR(N131=26,N131=27),"+8",IF(OR(N131=28,N131=29),"+9",IF(N131=30,"+10"," "))))))))))))))))</f>
        <v>+4</v>
      </c>
      <c r="P131" s="3" t="n">
        <v>18</v>
      </c>
      <c r="Q131" s="1" t="str">
        <f aca="false">IF(P131=1,"-5",IF(OR(P131=2,P131=3),"-4",IF(OR(P131=4,P131=5),"-3",IF(OR(P131=6,P131=7),"-2",IF(OR(P131=8,P131=9),"-1",IF(OR(P131=10,P131=11),"0",IF(OR(P131=12,P131=13),"+1",IF(OR(P131=14,P131=15),"+2",IF(OR(P131=16,P131=17),"+3",IF(OR(P131=18,P131=19),"+4",IF(OR(P131=20,P131=21),"+5",IF(OR(P131=22,P131=23),"+6",IF(OR(P131=24,P131=25),"+7",IF(OR(P131=26,P131=27),"+8",IF(OR(P131=28,P131=29),"+9",IF(P131=30,"+10"," "))))))))))))))))</f>
        <v>+4</v>
      </c>
      <c r="R131" s="3" t="n">
        <v>15</v>
      </c>
      <c r="S131" s="1" t="str">
        <f aca="false">IF(R131=1,"-5",IF(OR(R131=2,R131=3),"-4",IF(OR(R131=4,R131=5),"-3",IF(OR(R131=6,R131=7),"-2",IF(OR(R131=8,R131=9),"-1",IF(OR(R131=10,R131=11),"0",IF(OR(R131=12,R131=13),"+1",IF(OR(R131=14,R131=15),"+2",IF(OR(R131=16,R131=17),"+3",IF(OR(R131=18,R131=19),"+4",IF(OR(R131=20,R131=21),"+5",IF(OR(R131=22,R131=23),"+6",IF(OR(R131=24,R131=25),"+7",IF(OR(R131=26,R131=27),"+8",IF(OR(R131=28,R131=29),"+9",IF(R131=30,"+10"," "))))))))))))))))</f>
        <v>+2</v>
      </c>
      <c r="T131" s="3" t="n">
        <v>18</v>
      </c>
      <c r="U131" s="1" t="str">
        <f aca="false">IF(T131=1,"-5",IF(OR(T131=2,T131=3),"-4",IF(OR(T131=4,T131=5),"-3",IF(OR(T131=6,T131=7),"-2",IF(OR(T131=8,T131=9),"-1",IF(OR(T131=10,T131=11),"0",IF(OR(T131=12,T131=13),"+1",IF(OR(T131=14,T131=15),"+2",IF(OR(T131=16,T131=17),"+3",IF(OR(T131=18,T131=19),"+4",IF(OR(T131=20,T131=21),"+5",IF(OR(T131=22,T131=23),"+6",IF(OR(T131=24,T131=25),"+7",IF(OR(T131=26,T131=27),"+8",IF(OR(T131=28,T131=29),"+9",IF(T131=30,"+10"," "))))))))))))))))</f>
        <v>+4</v>
      </c>
      <c r="V131" s="3" t="s">
        <v>725</v>
      </c>
      <c r="W131" s="3" t="s">
        <v>702</v>
      </c>
      <c r="X131" s="11" t="s">
        <v>726</v>
      </c>
      <c r="Y131" s="11" t="s">
        <v>727</v>
      </c>
      <c r="Z131" s="11" t="s">
        <v>37</v>
      </c>
      <c r="AA131" s="12" t="s">
        <v>37</v>
      </c>
    </row>
    <row r="132" customFormat="false" ht="16.4" hidden="false" customHeight="false" outlineLevel="0" collapsed="false">
      <c r="A132" s="15" t="s">
        <v>728</v>
      </c>
      <c r="B132" s="3" t="s">
        <v>699</v>
      </c>
      <c r="C132" s="3" t="s">
        <v>49</v>
      </c>
      <c r="D132" s="16" t="n">
        <v>9</v>
      </c>
      <c r="E132" s="6" t="n">
        <f aca="false">VLOOKUP(D132,'[1]REF Tables'!$A$2:$B$40,2)</f>
        <v>5000</v>
      </c>
      <c r="F132" s="3" t="s">
        <v>50</v>
      </c>
      <c r="G132" s="3" t="n">
        <v>19</v>
      </c>
      <c r="H132" s="3" t="s">
        <v>729</v>
      </c>
      <c r="I132" s="3" t="s">
        <v>730</v>
      </c>
      <c r="J132" s="3" t="n">
        <v>18</v>
      </c>
      <c r="K132" s="1" t="str">
        <f aca="false">IF(J132=1,"-5",IF(OR(J132=2,J132=3),"-4",IF(OR(J132=4,J132=5),"-3",IF(OR(J132=6,J132=7),"-2",IF(OR(J132=8,J132=9),"-1",IF(OR(J132=10,J132=11),"0",IF(OR(J132=12,J132=13),"+1",IF(OR(J132=14,J132=15),"+2",IF(OR(J132=16,J132=17),"+3",IF(OR(J132=18,J132=19),"+4",IF(OR(J132=20,J132=21),"+5",IF(OR(J132=22,J132=23),"+6",IF(OR(J132=24,J132=25),"+7",IF(OR(J132=26,J132=27),"+8",IF(OR(J132=28,J132=29),"+9",IF(J132=30,"+10"," "))))))))))))))))</f>
        <v>+4</v>
      </c>
      <c r="L132" s="3" t="n">
        <v>16</v>
      </c>
      <c r="M132" s="1" t="str">
        <f aca="false">IF(L132=1,"-5",IF(OR(L132=2,L132=3),"-4",IF(OR(L132=4,L132=5),"-3",IF(OR(L132=6,L132=7),"-2",IF(OR(L132=8,L132=9),"-1",IF(OR(L132=10,L132=11),"0",IF(OR(L132=12,L132=13),"+1",IF(OR(L132=14,L132=15),"+2",IF(OR(L132=16,L132=17),"+3",IF(OR(L132=18,L132=19),"+4",IF(OR(L132=20,L132=21),"+5",IF(OR(L132=22,L132=23),"+6",IF(OR(L132=24,L132=25),"+7",IF(OR(L132=26,L132=27),"+8",IF(OR(L132=28,L132=29),"+9",IF(L132=30,"+10"," "))))))))))))))))</f>
        <v>+3</v>
      </c>
      <c r="N132" s="3" t="n">
        <v>18</v>
      </c>
      <c r="O132" s="1" t="str">
        <f aca="false">IF(N132=1,"-5",IF(OR(N132=2,N132=3),"-4",IF(OR(N132=4,N132=5),"-3",IF(OR(N132=6,N132=7),"-2",IF(OR(N132=8,N132=9),"-1",IF(OR(N132=10,N132=11),"0",IF(OR(N132=12,N132=13),"+1",IF(OR(N132=14,N132=15),"+2",IF(OR(N132=16,N132=17),"+3",IF(OR(N132=18,N132=19),"+4",IF(OR(N132=20,N132=21),"+5",IF(OR(N132=22,N132=23),"+6",IF(OR(N132=24,N132=25),"+7",IF(OR(N132=26,N132=27),"+8",IF(OR(N132=28,N132=29),"+9",IF(N132=30,"+10"," "))))))))))))))))</f>
        <v>+4</v>
      </c>
      <c r="P132" s="3" t="n">
        <v>13</v>
      </c>
      <c r="Q132" s="1" t="str">
        <f aca="false">IF(P132=1,"-5",IF(OR(P132=2,P132=3),"-4",IF(OR(P132=4,P132=5),"-3",IF(OR(P132=6,P132=7),"-2",IF(OR(P132=8,P132=9),"-1",IF(OR(P132=10,P132=11),"0",IF(OR(P132=12,P132=13),"+1",IF(OR(P132=14,P132=15),"+2",IF(OR(P132=16,P132=17),"+3",IF(OR(P132=18,P132=19),"+4",IF(OR(P132=20,P132=21),"+5",IF(OR(P132=22,P132=23),"+6",IF(OR(P132=24,P132=25),"+7",IF(OR(P132=26,P132=27),"+8",IF(OR(P132=28,P132=29),"+9",IF(P132=30,"+10"," "))))))))))))))))</f>
        <v>+1</v>
      </c>
      <c r="R132" s="3" t="n">
        <v>14</v>
      </c>
      <c r="S132" s="1" t="str">
        <f aca="false">IF(R132=1,"-5",IF(OR(R132=2,R132=3),"-4",IF(OR(R132=4,R132=5),"-3",IF(OR(R132=6,R132=7),"-2",IF(OR(R132=8,R132=9),"-1",IF(OR(R132=10,R132=11),"0",IF(OR(R132=12,R132=13),"+1",IF(OR(R132=14,R132=15),"+2",IF(OR(R132=16,R132=17),"+3",IF(OR(R132=18,R132=19),"+4",IF(OR(R132=20,R132=21),"+5",IF(OR(R132=22,R132=23),"+6",IF(OR(R132=24,R132=25),"+7",IF(OR(R132=26,R132=27),"+8",IF(OR(R132=28,R132=29),"+9",IF(R132=30,"+10"," "))))))))))))))))</f>
        <v>+2</v>
      </c>
      <c r="T132" s="3" t="n">
        <v>16</v>
      </c>
      <c r="U132" s="1" t="str">
        <f aca="false">IF(T132=1,"-5",IF(OR(T132=2,T132=3),"-4",IF(OR(T132=4,T132=5),"-3",IF(OR(T132=6,T132=7),"-2",IF(OR(T132=8,T132=9),"-1",IF(OR(T132=10,T132=11),"0",IF(OR(T132=12,T132=13),"+1",IF(OR(T132=14,T132=15),"+2",IF(OR(T132=16,T132=17),"+3",IF(OR(T132=18,T132=19),"+4",IF(OR(T132=20,T132=21),"+5",IF(OR(T132=22,T132=23),"+6",IF(OR(T132=24,T132=25),"+7",IF(OR(T132=26,T132=27),"+8",IF(OR(T132=28,T132=29),"+9",IF(T132=30,"+10"," "))))))))))))))))</f>
        <v>+3</v>
      </c>
      <c r="V132" s="3" t="s">
        <v>731</v>
      </c>
      <c r="W132" s="3" t="s">
        <v>702</v>
      </c>
      <c r="X132" s="11" t="s">
        <v>732</v>
      </c>
      <c r="Y132" s="11" t="s">
        <v>733</v>
      </c>
      <c r="Z132" s="11" t="s">
        <v>37</v>
      </c>
      <c r="AA132" s="12" t="s">
        <v>37</v>
      </c>
    </row>
    <row r="133" customFormat="false" ht="16.4" hidden="false" customHeight="false" outlineLevel="0" collapsed="false">
      <c r="A133" s="15" t="s">
        <v>734</v>
      </c>
      <c r="B133" s="3" t="s">
        <v>735</v>
      </c>
      <c r="C133" s="3" t="s">
        <v>49</v>
      </c>
      <c r="D133" s="16" t="n">
        <v>1</v>
      </c>
      <c r="E133" s="3" t="n">
        <f aca="false">VLOOKUP(D133,'[1]REF Tables'!$A$2:$B$40,2)</f>
        <v>200</v>
      </c>
      <c r="F133" s="3" t="s">
        <v>315</v>
      </c>
      <c r="G133" s="3" t="n">
        <v>13</v>
      </c>
      <c r="H133" s="3" t="s">
        <v>736</v>
      </c>
      <c r="I133" s="3" t="s">
        <v>540</v>
      </c>
      <c r="J133" s="3" t="n">
        <v>6</v>
      </c>
      <c r="K133" s="1" t="str">
        <f aca="false">IF(J133=1,"-5",IF(OR(J133=2,J133=3),"-4",IF(OR(J133=4,J133=5),"-3",IF(OR(J133=6,J133=7),"-2",IF(OR(J133=8,J133=9),"-1",IF(OR(J133=10,J133=11),"0",IF(OR(J133=12,J133=13),"+1",IF(OR(J133=14,J133=15),"+2",IF(OR(J133=16,J133=17),"+3",IF(OR(J133=18,J133=19),"+4",IF(OR(J133=20,J133=21),"+5",IF(OR(J133=22,J133=23),"+6",IF(OR(J133=24,J133=25),"+7",IF(OR(J133=26,J133=27),"+8",IF(OR(J133=28,J133=29),"+9",IF(J133=30,"+10"," "))))))))))))))))</f>
        <v>-2</v>
      </c>
      <c r="L133" s="3" t="n">
        <v>17</v>
      </c>
      <c r="M133" s="1" t="str">
        <f aca="false">IF(L133=1,"-5",IF(OR(L133=2,L133=3),"-4",IF(OR(L133=4,L133=5),"-3",IF(OR(L133=6,L133=7),"-2",IF(OR(L133=8,L133=9),"-1",IF(OR(L133=10,L133=11),"0",IF(OR(L133=12,L133=13),"+1",IF(OR(L133=14,L133=15),"+2",IF(OR(L133=16,L133=17),"+3",IF(OR(L133=18,L133=19),"+4",IF(OR(L133=20,L133=21),"+5",IF(OR(L133=22,L133=23),"+6",IF(OR(L133=24,L133=25),"+7",IF(OR(L133=26,L133=27),"+8",IF(OR(L133=28,L133=29),"+9",IF(L133=30,"+10"," "))))))))))))))))</f>
        <v>+3</v>
      </c>
      <c r="N133" s="3" t="n">
        <v>13</v>
      </c>
      <c r="O133" s="1" t="str">
        <f aca="false">IF(N133=1,"-5",IF(OR(N133=2,N133=3),"-4",IF(OR(N133=4,N133=5),"-3",IF(OR(N133=6,N133=7),"-2",IF(OR(N133=8,N133=9),"-1",IF(OR(N133=10,N133=11),"0",IF(OR(N133=12,N133=13),"+1",IF(OR(N133=14,N133=15),"+2",IF(OR(N133=16,N133=17),"+3",IF(OR(N133=18,N133=19),"+4",IF(OR(N133=20,N133=21),"+5",IF(OR(N133=22,N133=23),"+6",IF(OR(N133=24,N133=25),"+7",IF(OR(N133=26,N133=27),"+8",IF(OR(N133=28,N133=29),"+9",IF(N133=30,"+10"," "))))))))))))))))</f>
        <v>+1</v>
      </c>
      <c r="P133" s="3" t="n">
        <v>11</v>
      </c>
      <c r="Q133" s="1" t="str">
        <f aca="false">IF(P133=1,"-5",IF(OR(P133=2,P133=3),"-4",IF(OR(P133=4,P133=5),"-3",IF(OR(P133=6,P133=7),"-2",IF(OR(P133=8,P133=9),"-1",IF(OR(P133=10,P133=11),"0",IF(OR(P133=12,P133=13),"+1",IF(OR(P133=14,P133=15),"+2",IF(OR(P133=16,P133=17),"+3",IF(OR(P133=18,P133=19),"+4",IF(OR(P133=20,P133=21),"+5",IF(OR(P133=22,P133=23),"+6",IF(OR(P133=24,P133=25),"+7",IF(OR(P133=26,P133=27),"+8",IF(OR(P133=28,P133=29),"+9",IF(P133=30,"+10"," "))))))))))))))))</f>
        <v>0</v>
      </c>
      <c r="R133" s="3" t="n">
        <v>12</v>
      </c>
      <c r="S133" s="1" t="str">
        <f aca="false">IF(R133=1,"-5",IF(OR(R133=2,R133=3),"-4",IF(OR(R133=4,R133=5),"-3",IF(OR(R133=6,R133=7),"-2",IF(OR(R133=8,R133=9),"-1",IF(OR(R133=10,R133=11),"0",IF(OR(R133=12,R133=13),"+1",IF(OR(R133=14,R133=15),"+2",IF(OR(R133=16,R133=17),"+3",IF(OR(R133=18,R133=19),"+4",IF(OR(R133=20,R133=21),"+5",IF(OR(R133=22,R133=23),"+6",IF(OR(R133=24,R133=25),"+7",IF(OR(R133=26,R133=27),"+8",IF(OR(R133=28,R133=29),"+9",IF(R133=30,"+10"," "))))))))))))))))</f>
        <v>+1</v>
      </c>
      <c r="T133" s="3" t="n">
        <v>14</v>
      </c>
      <c r="U133" s="1" t="str">
        <f aca="false">IF(T133=1,"-5",IF(OR(T133=2,T133=3),"-4",IF(OR(T133=4,T133=5),"-3",IF(OR(T133=6,T133=7),"-2",IF(OR(T133=8,T133=9),"-1",IF(OR(T133=10,T133=11),"0",IF(OR(T133=12,T133=13),"+1",IF(OR(T133=14,T133=15),"+2",IF(OR(T133=16,T133=17),"+3",IF(OR(T133=18,T133=19),"+4",IF(OR(T133=20,T133=21),"+5",IF(OR(T133=22,T133=23),"+6",IF(OR(T133=24,T133=25),"+7",IF(OR(T133=26,T133=27),"+8",IF(OR(T133=28,T133=29),"+9",IF(T133=30,"+10"," "))))))))))))))))</f>
        <v>+2</v>
      </c>
      <c r="V133" s="3" t="s">
        <v>737</v>
      </c>
      <c r="W133" s="3" t="s">
        <v>738</v>
      </c>
      <c r="X133" s="11" t="s">
        <v>739</v>
      </c>
      <c r="Y133" s="11" t="s">
        <v>740</v>
      </c>
      <c r="Z133" s="11" t="s">
        <v>37</v>
      </c>
      <c r="AA133" s="12" t="s">
        <v>37</v>
      </c>
    </row>
    <row r="134" customFormat="false" ht="16.4" hidden="false" customHeight="false" outlineLevel="0" collapsed="false">
      <c r="A134" s="15" t="s">
        <v>741</v>
      </c>
      <c r="B134" s="3" t="s">
        <v>699</v>
      </c>
      <c r="C134" s="3" t="s">
        <v>49</v>
      </c>
      <c r="D134" s="16" t="n">
        <v>20</v>
      </c>
      <c r="E134" s="6" t="n">
        <f aca="false">VLOOKUP(D134,'[1]REF Tables'!$A$2:$B$40,2)</f>
        <v>25000</v>
      </c>
      <c r="F134" s="3" t="s">
        <v>50</v>
      </c>
      <c r="G134" s="3" t="n">
        <v>19</v>
      </c>
      <c r="H134" s="3" t="s">
        <v>742</v>
      </c>
      <c r="I134" s="3" t="s">
        <v>743</v>
      </c>
      <c r="J134" s="3" t="n">
        <v>26</v>
      </c>
      <c r="K134" s="1" t="str">
        <f aca="false">IF(J134=1,"-5",IF(OR(J134=2,J134=3),"-4",IF(OR(J134=4,J134=5),"-3",IF(OR(J134=6,J134=7),"-2",IF(OR(J134=8,J134=9),"-1",IF(OR(J134=10,J134=11),"0",IF(OR(J134=12,J134=13),"+1",IF(OR(J134=14,J134=15),"+2",IF(OR(J134=16,J134=17),"+3",IF(OR(J134=18,J134=19),"+4",IF(OR(J134=20,J134=21),"+5",IF(OR(J134=22,J134=23),"+6",IF(OR(J134=24,J134=25),"+7",IF(OR(J134=26,J134=27),"+8",IF(OR(J134=28,J134=29),"+9",IF(J134=30,"+10"," "))))))))))))))))</f>
        <v>+8</v>
      </c>
      <c r="L134" s="3" t="n">
        <v>14</v>
      </c>
      <c r="M134" s="1" t="str">
        <f aca="false">IF(L134=1,"-5",IF(OR(L134=2,L134=3),"-4",IF(OR(L134=4,L134=5),"-3",IF(OR(L134=6,L134=7),"-2",IF(OR(L134=8,L134=9),"-1",IF(OR(L134=10,L134=11),"0",IF(OR(L134=12,L134=13),"+1",IF(OR(L134=14,L134=15),"+2",IF(OR(L134=16,L134=17),"+3",IF(OR(L134=18,L134=19),"+4",IF(OR(L134=20,L134=21),"+5",IF(OR(L134=22,L134=23),"+6",IF(OR(L134=24,L134=25),"+7",IF(OR(L134=26,L134=27),"+8",IF(OR(L134=28,L134=29),"+9",IF(L134=30,"+10"," "))))))))))))))))</f>
        <v>+2</v>
      </c>
      <c r="N134" s="3" t="n">
        <v>24</v>
      </c>
      <c r="O134" s="1" t="str">
        <f aca="false">IF(N134=1,"-5",IF(OR(N134=2,N134=3),"-4",IF(OR(N134=4,N134=5),"-3",IF(OR(N134=6,N134=7),"-2",IF(OR(N134=8,N134=9),"-1",IF(OR(N134=10,N134=11),"0",IF(OR(N134=12,N134=13),"+1",IF(OR(N134=14,N134=15),"+2",IF(OR(N134=16,N134=17),"+3",IF(OR(N134=18,N134=19),"+4",IF(OR(N134=20,N134=21),"+5",IF(OR(N134=22,N134=23),"+6",IF(OR(N134=24,N134=25),"+7",IF(OR(N134=26,N134=27),"+8",IF(OR(N134=28,N134=29),"+9",IF(N134=30,"+10"," "))))))))))))))))</f>
        <v>+7</v>
      </c>
      <c r="P134" s="3" t="n">
        <v>22</v>
      </c>
      <c r="Q134" s="1" t="str">
        <f aca="false">IF(P134=1,"-5",IF(OR(P134=2,P134=3),"-4",IF(OR(P134=4,P134=5),"-3",IF(OR(P134=6,P134=7),"-2",IF(OR(P134=8,P134=9),"-1",IF(OR(P134=10,P134=11),"0",IF(OR(P134=12,P134=13),"+1",IF(OR(P134=14,P134=15),"+2",IF(OR(P134=16,P134=17),"+3",IF(OR(P134=18,P134=19),"+4",IF(OR(P134=20,P134=21),"+5",IF(OR(P134=22,P134=23),"+6",IF(OR(P134=24,P134=25),"+7",IF(OR(P134=26,P134=27),"+8",IF(OR(P134=28,P134=29),"+9",IF(P134=30,"+10"," "))))))))))))))))</f>
        <v>+6</v>
      </c>
      <c r="R134" s="3" t="n">
        <v>18</v>
      </c>
      <c r="S134" s="1" t="str">
        <f aca="false">IF(R134=1,"-5",IF(OR(R134=2,R134=3),"-4",IF(OR(R134=4,R134=5),"-3",IF(OR(R134=6,R134=7),"-2",IF(OR(R134=8,R134=9),"-1",IF(OR(R134=10,R134=11),"0",IF(OR(R134=12,R134=13),"+1",IF(OR(R134=14,R134=15),"+2",IF(OR(R134=16,R134=17),"+3",IF(OR(R134=18,R134=19),"+4",IF(OR(R134=20,R134=21),"+5",IF(OR(R134=22,R134=23),"+6",IF(OR(R134=24,R134=25),"+7",IF(OR(R134=26,R134=27),"+8",IF(OR(R134=28,R134=29),"+9",IF(R134=30,"+10"," "))))))))))))))))</f>
        <v>+4</v>
      </c>
      <c r="T134" s="3" t="n">
        <v>24</v>
      </c>
      <c r="U134" s="1" t="str">
        <f aca="false">IF(T134=1,"-5",IF(OR(T134=2,T134=3),"-4",IF(OR(T134=4,T134=5),"-3",IF(OR(T134=6,T134=7),"-2",IF(OR(T134=8,T134=9),"-1",IF(OR(T134=10,T134=11),"0",IF(OR(T134=12,T134=13),"+1",IF(OR(T134=14,T134=15),"+2",IF(OR(T134=16,T134=17),"+3",IF(OR(T134=18,T134=19),"+4",IF(OR(T134=20,T134=21),"+5",IF(OR(T134=22,T134=23),"+6",IF(OR(T134=24,T134=25),"+7",IF(OR(T134=26,T134=27),"+8",IF(OR(T134=28,T134=29),"+9",IF(T134=30,"+10"," "))))))))))))))))</f>
        <v>+7</v>
      </c>
      <c r="V134" s="3" t="s">
        <v>744</v>
      </c>
      <c r="W134" s="3" t="s">
        <v>702</v>
      </c>
      <c r="X134" s="11" t="s">
        <v>745</v>
      </c>
      <c r="Y134" s="11" t="s">
        <v>746</v>
      </c>
      <c r="Z134" s="11" t="s">
        <v>37</v>
      </c>
      <c r="AA134" s="12" t="s">
        <v>37</v>
      </c>
    </row>
    <row r="135" customFormat="false" ht="16.4" hidden="false" customHeight="false" outlineLevel="0" collapsed="false">
      <c r="A135" s="15" t="s">
        <v>747</v>
      </c>
      <c r="B135" s="3" t="s">
        <v>214</v>
      </c>
      <c r="C135" s="3" t="s">
        <v>748</v>
      </c>
      <c r="D135" s="16" t="n">
        <v>11</v>
      </c>
      <c r="E135" s="6" t="n">
        <f aca="false">VLOOKUP(D135,'[1]REF Tables'!$A$2:$B$40,2)</f>
        <v>7200</v>
      </c>
      <c r="F135" s="3" t="s">
        <v>50</v>
      </c>
      <c r="G135" s="3" t="n">
        <v>17</v>
      </c>
      <c r="H135" s="3" t="s">
        <v>749</v>
      </c>
      <c r="I135" s="3" t="s">
        <v>750</v>
      </c>
      <c r="J135" s="3" t="n">
        <v>21</v>
      </c>
      <c r="K135" s="1" t="str">
        <f aca="false">IF(J135=1,"-5",IF(OR(J135=2,J135=3),"-4",IF(OR(J135=4,J135=5),"-3",IF(OR(J135=6,J135=7),"-2",IF(OR(J135=8,J135=9),"-1",IF(OR(J135=10,J135=11),"0",IF(OR(J135=12,J135=13),"+1",IF(OR(J135=14,J135=15),"+2",IF(OR(J135=16,J135=17),"+3",IF(OR(J135=18,J135=19),"+4",IF(OR(J135=20,J135=21),"+5",IF(OR(J135=22,J135=23),"+6",IF(OR(J135=24,J135=25),"+7",IF(OR(J135=26,J135=27),"+8",IF(OR(J135=28,J135=29),"+9",IF(J135=30,"+10"," "))))))))))))))))</f>
        <v>+5</v>
      </c>
      <c r="L135" s="3" t="n">
        <v>15</v>
      </c>
      <c r="M135" s="1" t="str">
        <f aca="false">IF(L135=1,"-5",IF(OR(L135=2,L135=3),"-4",IF(OR(L135=4,L135=5),"-3",IF(OR(L135=6,L135=7),"-2",IF(OR(L135=8,L135=9),"-1",IF(OR(L135=10,L135=11),"0",IF(OR(L135=12,L135=13),"+1",IF(OR(L135=14,L135=15),"+2",IF(OR(L135=16,L135=17),"+3",IF(OR(L135=18,L135=19),"+4",IF(OR(L135=20,L135=21),"+5",IF(OR(L135=22,L135=23),"+6",IF(OR(L135=24,L135=25),"+7",IF(OR(L135=26,L135=27),"+8",IF(OR(L135=28,L135=29),"+9",IF(L135=30,"+10"," "))))))))))))))))</f>
        <v>+2</v>
      </c>
      <c r="N135" s="3" t="n">
        <v>22</v>
      </c>
      <c r="O135" s="1" t="str">
        <f aca="false">IF(N135=1,"-5",IF(OR(N135=2,N135=3),"-4",IF(OR(N135=4,N135=5),"-3",IF(OR(N135=6,N135=7),"-2",IF(OR(N135=8,N135=9),"-1",IF(OR(N135=10,N135=11),"0",IF(OR(N135=12,N135=13),"+1",IF(OR(N135=14,N135=15),"+2",IF(OR(N135=16,N135=17),"+3",IF(OR(N135=18,N135=19),"+4",IF(OR(N135=20,N135=21),"+5",IF(OR(N135=22,N135=23),"+6",IF(OR(N135=24,N135=25),"+7",IF(OR(N135=26,N135=27),"+8",IF(OR(N135=28,N135=29),"+9",IF(N135=30,"+10"," "))))))))))))))))</f>
        <v>+6</v>
      </c>
      <c r="P135" s="3" t="n">
        <v>15</v>
      </c>
      <c r="Q135" s="1" t="str">
        <f aca="false">IF(P135=1,"-5",IF(OR(P135=2,P135=3),"-4",IF(OR(P135=4,P135=5),"-3",IF(OR(P135=6,P135=7),"-2",IF(OR(P135=8,P135=9),"-1",IF(OR(P135=10,P135=11),"0",IF(OR(P135=12,P135=13),"+1",IF(OR(P135=14,P135=15),"+2",IF(OR(P135=16,P135=17),"+3",IF(OR(P135=18,P135=19),"+4",IF(OR(P135=20,P135=21),"+5",IF(OR(P135=22,P135=23),"+6",IF(OR(P135=24,P135=25),"+7",IF(OR(P135=26,P135=27),"+8",IF(OR(P135=28,P135=29),"+9",IF(P135=30,"+10"," "))))))))))))))))</f>
        <v>+2</v>
      </c>
      <c r="R135" s="3" t="n">
        <v>16</v>
      </c>
      <c r="S135" s="1" t="str">
        <f aca="false">IF(R135=1,"-5",IF(OR(R135=2,R135=3),"-4",IF(OR(R135=4,R135=5),"-3",IF(OR(R135=6,R135=7),"-2",IF(OR(R135=8,R135=9),"-1",IF(OR(R135=10,R135=11),"0",IF(OR(R135=12,R135=13),"+1",IF(OR(R135=14,R135=15),"+2",IF(OR(R135=16,R135=17),"+3",IF(OR(R135=18,R135=19),"+4",IF(OR(R135=20,R135=21),"+5",IF(OR(R135=22,R135=23),"+6",IF(OR(R135=24,R135=25),"+7",IF(OR(R135=26,R135=27),"+8",IF(OR(R135=28,R135=29),"+9",IF(R135=30,"+10"," "))))))))))))))))</f>
        <v>+3</v>
      </c>
      <c r="T135" s="3" t="n">
        <v>20</v>
      </c>
      <c r="U135" s="1" t="str">
        <f aca="false">IF(T135=1,"-5",IF(OR(T135=2,T135=3),"-4",IF(OR(T135=4,T135=5),"-3",IF(OR(T135=6,T135=7),"-2",IF(OR(T135=8,T135=9),"-1",IF(OR(T135=10,T135=11),"0",IF(OR(T135=12,T135=13),"+1",IF(OR(T135=14,T135=15),"+2",IF(OR(T135=16,T135=17),"+3",IF(OR(T135=18,T135=19),"+4",IF(OR(T135=20,T135=21),"+5",IF(OR(T135=22,T135=23),"+6",IF(OR(T135=24,T135=25),"+7",IF(OR(T135=26,T135=27),"+8",IF(OR(T135=28,T135=29),"+9",IF(T135=30,"+10"," "))))))))))))))))</f>
        <v>+5</v>
      </c>
      <c r="V135" s="3" t="s">
        <v>751</v>
      </c>
      <c r="W135" s="3" t="s">
        <v>752</v>
      </c>
      <c r="X135" s="11" t="s">
        <v>753</v>
      </c>
      <c r="Y135" s="11" t="s">
        <v>754</v>
      </c>
      <c r="Z135" s="11" t="s">
        <v>37</v>
      </c>
      <c r="AA135" s="12" t="s">
        <v>37</v>
      </c>
    </row>
    <row r="136" customFormat="false" ht="16.4" hidden="false" customHeight="false" outlineLevel="0" collapsed="false">
      <c r="A136" s="14" t="s">
        <v>755</v>
      </c>
      <c r="B136" s="1" t="s">
        <v>756</v>
      </c>
      <c r="C136" s="1" t="s">
        <v>230</v>
      </c>
      <c r="D136" s="5" t="n">
        <v>3</v>
      </c>
      <c r="E136" s="3" t="n">
        <f aca="false">VLOOKUP(D136,'[1]REF Tables'!$A$2:$B$40,2)</f>
        <v>700</v>
      </c>
      <c r="F136" s="1" t="s">
        <v>30</v>
      </c>
      <c r="G136" s="1" t="n">
        <v>14</v>
      </c>
      <c r="H136" s="1" t="s">
        <v>300</v>
      </c>
      <c r="I136" s="3" t="s">
        <v>42</v>
      </c>
      <c r="J136" s="1" t="n">
        <v>11</v>
      </c>
      <c r="K136" s="1" t="str">
        <f aca="false">IF(J136=1,"-5",IF(OR(J136=2,J136=3),"-4",IF(OR(J136=4,J136=5),"-3",IF(OR(J136=6,J136=7),"-2",IF(OR(J136=8,J136=9),"-1",IF(OR(J136=10,J136=11),"0",IF(OR(J136=12,J136=13),"+1",IF(OR(J136=14,J136=15),"+2",IF(OR(J136=16,J136=17),"+3",IF(OR(J136=18,J136=19),"+4",IF(OR(J136=20,J136=21),"+5",IF(OR(J136=22,J136=23),"+6",IF(OR(J136=24,J136=25),"+7",IF(OR(J136=26,J136=27),"+8",IF(OR(J136=28,J136=29),"+9",IF(J136=30,"+10"," "))))))))))))))))</f>
        <v>0</v>
      </c>
      <c r="L136" s="1" t="n">
        <v>18</v>
      </c>
      <c r="M136" s="1" t="str">
        <f aca="false">IF(L136=1,"-5",IF(OR(L136=2,L136=3),"-4",IF(OR(L136=4,L136=5),"-3",IF(OR(L136=6,L136=7),"-2",IF(OR(L136=8,L136=9),"-1",IF(OR(L136=10,L136=11),"0",IF(OR(L136=12,L136=13),"+1",IF(OR(L136=14,L136=15),"+2",IF(OR(L136=16,L136=17),"+3",IF(OR(L136=18,L136=19),"+4",IF(OR(L136=20,L136=21),"+5",IF(OR(L136=22,L136=23),"+6",IF(OR(L136=24,L136=25),"+7",IF(OR(L136=26,L136=27),"+8",IF(OR(L136=28,L136=29),"+9",IF(L136=30,"+10"," "))))))))))))))))</f>
        <v>+4</v>
      </c>
      <c r="N136" s="1" t="n">
        <v>14</v>
      </c>
      <c r="O136" s="1" t="str">
        <f aca="false">IF(N136=1,"-5",IF(OR(N136=2,N136=3),"-4",IF(OR(N136=4,N136=5),"-3",IF(OR(N136=6,N136=7),"-2",IF(OR(N136=8,N136=9),"-1",IF(OR(N136=10,N136=11),"0",IF(OR(N136=12,N136=13),"+1",IF(OR(N136=14,N136=15),"+2",IF(OR(N136=16,N136=17),"+3",IF(OR(N136=18,N136=19),"+4",IF(OR(N136=20,N136=21),"+5",IF(OR(N136=22,N136=23),"+6",IF(OR(N136=24,N136=25),"+7",IF(OR(N136=26,N136=27),"+8",IF(OR(N136=28,N136=29),"+9",IF(N136=30,"+10"," "))))))))))))))))</f>
        <v>+2</v>
      </c>
      <c r="P136" s="1" t="n">
        <v>11</v>
      </c>
      <c r="Q136" s="1" t="str">
        <f aca="false">IF(P136=1,"-5",IF(OR(P136=2,P136=3),"-4",IF(OR(P136=4,P136=5),"-3",IF(OR(P136=6,P136=7),"-2",IF(OR(P136=8,P136=9),"-1",IF(OR(P136=10,P136=11),"0",IF(OR(P136=12,P136=13),"+1",IF(OR(P136=14,P136=15),"+2",IF(OR(P136=16,P136=17),"+3",IF(OR(P136=18,P136=19),"+4",IF(OR(P136=20,P136=21),"+5",IF(OR(P136=22,P136=23),"+6",IF(OR(P136=24,P136=25),"+7",IF(OR(P136=26,P136=27),"+8",IF(OR(P136=28,P136=29),"+9",IF(P136=30,"+10"," "))))))))))))))))</f>
        <v>0</v>
      </c>
      <c r="R136" s="1" t="n">
        <v>12</v>
      </c>
      <c r="S136" s="1" t="str">
        <f aca="false">IF(R136=1,"-5",IF(OR(R136=2,R136=3),"-4",IF(OR(R136=4,R136=5),"-3",IF(OR(R136=6,R136=7),"-2",IF(OR(R136=8,R136=9),"-1",IF(OR(R136=10,R136=11),"0",IF(OR(R136=12,R136=13),"+1",IF(OR(R136=14,R136=15),"+2",IF(OR(R136=16,R136=17),"+3",IF(OR(R136=18,R136=19),"+4",IF(OR(R136=20,R136=21),"+5",IF(OR(R136=22,R136=23),"+6",IF(OR(R136=24,R136=25),"+7",IF(OR(R136=26,R136=27),"+8",IF(OR(R136=28,R136=29),"+9",IF(R136=30,"+10"," "))))))))))))))))</f>
        <v>+1</v>
      </c>
      <c r="T136" s="1" t="n">
        <v>14</v>
      </c>
      <c r="U136" s="1" t="str">
        <f aca="false">IF(T136=1,"-5",IF(OR(T136=2,T136=3),"-4",IF(OR(T136=4,T136=5),"-3",IF(OR(T136=6,T136=7),"-2",IF(OR(T136=8,T136=9),"-1",IF(OR(T136=10,T136=11),"0",IF(OR(T136=12,T136=13),"+1",IF(OR(T136=14,T136=15),"+2",IF(OR(T136=16,T136=17),"+3",IF(OR(T136=18,T136=19),"+4",IF(OR(T136=20,T136=21),"+5",IF(OR(T136=22,T136=23),"+6",IF(OR(T136=24,T136=25),"+7",IF(OR(T136=26,T136=27),"+8",IF(OR(T136=28,T136=29),"+9",IF(T136=30,"+10"," "))))))))))))))))</f>
        <v>+2</v>
      </c>
      <c r="V136" s="1" t="s">
        <v>757</v>
      </c>
      <c r="W136" s="1" t="s">
        <v>570</v>
      </c>
      <c r="X136" s="2" t="s">
        <v>758</v>
      </c>
      <c r="Y136" s="2" t="s">
        <v>759</v>
      </c>
      <c r="Z136" s="2" t="s">
        <v>37</v>
      </c>
      <c r="AA136" s="1" t="s">
        <v>37</v>
      </c>
    </row>
    <row r="137" customFormat="false" ht="16.4" hidden="false" customHeight="false" outlineLevel="0" collapsed="false">
      <c r="A137" s="15" t="s">
        <v>760</v>
      </c>
      <c r="B137" s="3" t="s">
        <v>77</v>
      </c>
      <c r="C137" s="3" t="s">
        <v>49</v>
      </c>
      <c r="D137" s="16" t="n">
        <v>17</v>
      </c>
      <c r="E137" s="6" t="n">
        <f aca="false">VLOOKUP(D137,'[1]REF Tables'!$A$2:$B$40,2)</f>
        <v>18000</v>
      </c>
      <c r="F137" s="3" t="s">
        <v>121</v>
      </c>
      <c r="G137" s="3" t="n">
        <v>19</v>
      </c>
      <c r="H137" s="3" t="s">
        <v>761</v>
      </c>
      <c r="I137" s="3" t="s">
        <v>629</v>
      </c>
      <c r="J137" s="3" t="n">
        <v>25</v>
      </c>
      <c r="K137" s="1" t="str">
        <f aca="false">IF(J137=1,"-5",IF(OR(J137=2,J137=3),"-4",IF(OR(J137=4,J137=5),"-3",IF(OR(J137=6,J137=7),"-2",IF(OR(J137=8,J137=9),"-1",IF(OR(J137=10,J137=11),"0",IF(OR(J137=12,J137=13),"+1",IF(OR(J137=14,J137=15),"+2",IF(OR(J137=16,J137=17),"+3",IF(OR(J137=18,J137=19),"+4",IF(OR(J137=20,J137=21),"+5",IF(OR(J137=22,J137=23),"+6",IF(OR(J137=24,J137=25),"+7",IF(OR(J137=26,J137=27),"+8",IF(OR(J137=28,J137=29),"+9",IF(J137=30,"+10"," "))))))))))))))))</f>
        <v>+7</v>
      </c>
      <c r="L137" s="3" t="n">
        <v>10</v>
      </c>
      <c r="M137" s="1" t="str">
        <f aca="false">IF(L137=1,"-5",IF(OR(L137=2,L137=3),"-4",IF(OR(L137=4,L137=5),"-3",IF(OR(L137=6,L137=7),"-2",IF(OR(L137=8,L137=9),"-1",IF(OR(L137=10,L137=11),"0",IF(OR(L137=12,L137=13),"+1",IF(OR(L137=14,L137=15),"+2",IF(OR(L137=16,L137=17),"+3",IF(OR(L137=18,L137=19),"+4",IF(OR(L137=20,L137=21),"+5",IF(OR(L137=22,L137=23),"+6",IF(OR(L137=24,L137=25),"+7",IF(OR(L137=26,L137=27),"+8",IF(OR(L137=28,L137=29),"+9",IF(L137=30,"+10"," "))))))))))))))))</f>
        <v>0</v>
      </c>
      <c r="N137" s="3" t="n">
        <v>23</v>
      </c>
      <c r="O137" s="1" t="str">
        <f aca="false">IF(N137=1,"-5",IF(OR(N137=2,N137=3),"-4",IF(OR(N137=4,N137=5),"-3",IF(OR(N137=6,N137=7),"-2",IF(OR(N137=8,N137=9),"-1",IF(OR(N137=10,N137=11),"0",IF(OR(N137=12,N137=13),"+1",IF(OR(N137=14,N137=15),"+2",IF(OR(N137=16,N137=17),"+3",IF(OR(N137=18,N137=19),"+4",IF(OR(N137=20,N137=21),"+5",IF(OR(N137=22,N137=23),"+6",IF(OR(N137=24,N137=25),"+7",IF(OR(N137=26,N137=27),"+8",IF(OR(N137=28,N137=29),"+9",IF(N137=30,"+10"," "))))))))))))))))</f>
        <v>+6</v>
      </c>
      <c r="P137" s="3" t="n">
        <v>16</v>
      </c>
      <c r="Q137" s="1" t="str">
        <f aca="false">IF(P137=1,"-5",IF(OR(P137=2,P137=3),"-4",IF(OR(P137=4,P137=5),"-3",IF(OR(P137=6,P137=7),"-2",IF(OR(P137=8,P137=9),"-1",IF(OR(P137=10,P137=11),"0",IF(OR(P137=12,P137=13),"+1",IF(OR(P137=14,P137=15),"+2",IF(OR(P137=16,P137=17),"+3",IF(OR(P137=18,P137=19),"+4",IF(OR(P137=20,P137=21),"+5",IF(OR(P137=22,P137=23),"+6",IF(OR(P137=24,P137=25),"+7",IF(OR(P137=26,P137=27),"+8",IF(OR(P137=28,P137=29),"+9",IF(P137=30,"+10"," "))))))))))))))))</f>
        <v>+3</v>
      </c>
      <c r="R137" s="3" t="n">
        <v>15</v>
      </c>
      <c r="S137" s="1" t="str">
        <f aca="false">IF(R137=1,"-5",IF(OR(R137=2,R137=3),"-4",IF(OR(R137=4,R137=5),"-3",IF(OR(R137=6,R137=7),"-2",IF(OR(R137=8,R137=9),"-1",IF(OR(R137=10,R137=11),"0",IF(OR(R137=12,R137=13),"+1",IF(OR(R137=14,R137=15),"+2",IF(OR(R137=16,R137=17),"+3",IF(OR(R137=18,R137=19),"+4",IF(OR(R137=20,R137=21),"+5",IF(OR(R137=22,R137=23),"+6",IF(OR(R137=24,R137=25),"+7",IF(OR(R137=26,R137=27),"+8",IF(OR(R137=28,R137=29),"+9",IF(R137=30,"+10"," "))))))))))))))))</f>
        <v>+2</v>
      </c>
      <c r="T137" s="3" t="n">
        <v>19</v>
      </c>
      <c r="U137" s="1" t="str">
        <f aca="false">IF(T137=1,"-5",IF(OR(T137=2,T137=3),"-4",IF(OR(T137=4,T137=5),"-3",IF(OR(T137=6,T137=7),"-2",IF(OR(T137=8,T137=9),"-1",IF(OR(T137=10,T137=11),"0",IF(OR(T137=12,T137=13),"+1",IF(OR(T137=14,T137=15),"+2",IF(OR(T137=16,T137=17),"+3",IF(OR(T137=18,T137=19),"+4",IF(OR(T137=20,T137=21),"+5",IF(OR(T137=22,T137=23),"+6",IF(OR(T137=24,T137=25),"+7",IF(OR(T137=26,T137=27),"+8",IF(OR(T137=28,T137=29),"+9",IF(T137=30,"+10"," "))))))))))))))))</f>
        <v>+4</v>
      </c>
      <c r="V137" s="3" t="s">
        <v>762</v>
      </c>
      <c r="W137" s="3" t="s">
        <v>643</v>
      </c>
      <c r="X137" s="11" t="s">
        <v>763</v>
      </c>
      <c r="Y137" s="11" t="s">
        <v>764</v>
      </c>
      <c r="Z137" s="11" t="s">
        <v>100</v>
      </c>
      <c r="AA137" s="12" t="s">
        <v>765</v>
      </c>
    </row>
    <row r="138" customFormat="false" ht="16.4" hidden="false" customHeight="false" outlineLevel="0" collapsed="false">
      <c r="A138" s="7" t="s">
        <v>766</v>
      </c>
      <c r="B138" s="1" t="s">
        <v>105</v>
      </c>
      <c r="C138" s="1" t="s">
        <v>40</v>
      </c>
      <c r="D138" s="8" t="n">
        <v>0.5</v>
      </c>
      <c r="E138" s="10" t="n">
        <f aca="false">VLOOKUP(D138,'[1]REF Tables'!$A$2:$B$40,2)</f>
        <v>100</v>
      </c>
      <c r="F138" s="1" t="s">
        <v>30</v>
      </c>
      <c r="G138" s="10" t="n">
        <v>14</v>
      </c>
      <c r="H138" s="1" t="s">
        <v>503</v>
      </c>
      <c r="I138" s="1" t="s">
        <v>42</v>
      </c>
      <c r="J138" s="10" t="n">
        <v>13</v>
      </c>
      <c r="K138" s="1" t="str">
        <f aca="false">IF(J138=1,"-5",IF(OR(J138=2,J138=3),"-4",IF(OR(J138=4,J138=5),"-3",IF(OR(J138=6,J138=7),"-2",IF(OR(J138=8,J138=9),"-1",IF(OR(J138=10,J138=11),"0",IF(OR(J138=12,J138=13),"+1",IF(OR(J138=14,J138=15),"+2",IF(OR(J138=16,J138=17),"+3",IF(OR(J138=18,J138=19),"+4",IF(OR(J138=20,J138=21),"+5",IF(OR(J138=22,J138=23),"+6",IF(OR(J138=24,J138=25),"+7",IF(OR(J138=26,J138=27),"+8",IF(OR(J138=28,J138=29),"+9",IF(J138=30,"+10"," "))))))))))))))))</f>
        <v>+1</v>
      </c>
      <c r="L138" s="10" t="n">
        <v>11</v>
      </c>
      <c r="M138" s="1" t="str">
        <f aca="false">IF(L138=1,"-5",IF(OR(L138=2,L138=3),"-4",IF(OR(L138=4,L138=5),"-3",IF(OR(L138=6,L138=7),"-2",IF(OR(L138=8,L138=9),"-1",IF(OR(L138=10,L138=11),"0",IF(OR(L138=12,L138=13),"+1",IF(OR(L138=14,L138=15),"+2",IF(OR(L138=16,L138=17),"+3",IF(OR(L138=18,L138=19),"+4",IF(OR(L138=20,L138=21),"+5",IF(OR(L138=22,L138=23),"+6",IF(OR(L138=24,L138=25),"+7",IF(OR(L138=26,L138=27),"+8",IF(OR(L138=28,L138=29),"+9",IF(L138=30,"+10"," "))))))))))))))))</f>
        <v>0</v>
      </c>
      <c r="N138" s="10" t="n">
        <v>13</v>
      </c>
      <c r="O138" s="1" t="str">
        <f aca="false">IF(N138=1,"-5",IF(OR(N138=2,N138=3),"-4",IF(OR(N138=4,N138=5),"-3",IF(OR(N138=6,N138=7),"-2",IF(OR(N138=8,N138=9),"-1",IF(OR(N138=10,N138=11),"0",IF(OR(N138=12,N138=13),"+1",IF(OR(N138=14,N138=15),"+2",IF(OR(N138=16,N138=17),"+3",IF(OR(N138=18,N138=19),"+4",IF(OR(N138=20,N138=21),"+5",IF(OR(N138=22,N138=23),"+6",IF(OR(N138=24,N138=25),"+7",IF(OR(N138=26,N138=27),"+8",IF(OR(N138=28,N138=29),"+9",IF(N138=30,"+10"," "))))))))))))))))</f>
        <v>+1</v>
      </c>
      <c r="P138" s="10" t="n">
        <v>8</v>
      </c>
      <c r="Q138" s="1" t="str">
        <f aca="false">IF(P138=1,"-5",IF(OR(P138=2,P138=3),"-4",IF(OR(P138=4,P138=5),"-3",IF(OR(P138=6,P138=7),"-2",IF(OR(P138=8,P138=9),"-1",IF(OR(P138=10,P138=11),"0",IF(OR(P138=12,P138=13),"+1",IF(OR(P138=14,P138=15),"+2",IF(OR(P138=16,P138=17),"+3",IF(OR(P138=18,P138=19),"+4",IF(OR(P138=20,P138=21),"+5",IF(OR(P138=22,P138=23),"+6",IF(OR(P138=24,P138=25),"+7",IF(OR(P138=26,P138=27),"+8",IF(OR(P138=28,P138=29),"+9",IF(P138=30,"+10"," "))))))))))))))))</f>
        <v>-1</v>
      </c>
      <c r="R138" s="10" t="n">
        <v>8</v>
      </c>
      <c r="S138" s="1" t="str">
        <f aca="false">IF(R138=1,"-5",IF(OR(R138=2,R138=3),"-4",IF(OR(R138=4,R138=5),"-3",IF(OR(R138=6,R138=7),"-2",IF(OR(R138=8,R138=9),"-1",IF(OR(R138=10,R138=11),"0",IF(OR(R138=12,R138=13),"+1",IF(OR(R138=14,R138=15),"+2",IF(OR(R138=16,R138=17),"+3",IF(OR(R138=18,R138=19),"+4",IF(OR(R138=20,R138=21),"+5",IF(OR(R138=22,R138=23),"+6",IF(OR(R138=24,R138=25),"+7",IF(OR(R138=26,R138=27),"+8",IF(OR(R138=28,R138=29),"+9",IF(R138=30,"+10"," "))))))))))))))))</f>
        <v>-1</v>
      </c>
      <c r="T138" s="10" t="n">
        <v>10</v>
      </c>
      <c r="U138" s="1" t="str">
        <f aca="false">IF(T138=1,"-5",IF(OR(T138=2,T138=3),"-4",IF(OR(T138=4,T138=5),"-3",IF(OR(T138=6,T138=7),"-2",IF(OR(T138=8,T138=9),"-1",IF(OR(T138=10,T138=11),"0",IF(OR(T138=12,T138=13),"+1",IF(OR(T138=14,T138=15),"+2",IF(OR(T138=16,T138=17),"+3",IF(OR(T138=18,T138=19),"+4",IF(OR(T138=20,T138=21),"+5",IF(OR(T138=22,T138=23),"+6",IF(OR(T138=24,T138=25),"+7",IF(OR(T138=26,T138=27),"+8",IF(OR(T138=28,T138=29),"+9",IF(T138=30,"+10"," "))))))))))))))))</f>
        <v>0</v>
      </c>
      <c r="V138" s="1" t="s">
        <v>37</v>
      </c>
      <c r="W138" s="1" t="s">
        <v>643</v>
      </c>
      <c r="X138" s="11" t="s">
        <v>767</v>
      </c>
      <c r="Y138" s="11" t="s">
        <v>768</v>
      </c>
      <c r="Z138" s="11" t="s">
        <v>37</v>
      </c>
      <c r="AA138" s="12" t="s">
        <v>37</v>
      </c>
      <c r="AB138" s="1"/>
      <c r="AC138" s="1"/>
      <c r="AD138" s="1"/>
      <c r="AE138" s="1"/>
      <c r="AF138" s="1"/>
    </row>
    <row r="139" customFormat="false" ht="16.4" hidden="false" customHeight="false" outlineLevel="0" collapsed="false">
      <c r="A139" s="15" t="s">
        <v>769</v>
      </c>
      <c r="B139" s="3" t="s">
        <v>221</v>
      </c>
      <c r="C139" s="3" t="s">
        <v>222</v>
      </c>
      <c r="D139" s="16" t="n">
        <v>7</v>
      </c>
      <c r="E139" s="6" t="n">
        <f aca="false">VLOOKUP(D139,'[1]REF Tables'!$A$2:$B$40,2)</f>
        <v>2900</v>
      </c>
      <c r="F139" s="3" t="s">
        <v>50</v>
      </c>
      <c r="G139" s="3" t="n">
        <v>15</v>
      </c>
      <c r="H139" s="3" t="s">
        <v>770</v>
      </c>
      <c r="I139" s="3" t="s">
        <v>42</v>
      </c>
      <c r="J139" s="3" t="n">
        <v>20</v>
      </c>
      <c r="K139" s="1" t="str">
        <f aca="false">IF(J139=1,"-5",IF(OR(J139=2,J139=3),"-4",IF(OR(J139=4,J139=5),"-3",IF(OR(J139=6,J139=7),"-2",IF(OR(J139=8,J139=9),"-1",IF(OR(J139=10,J139=11),"0",IF(OR(J139=12,J139=13),"+1",IF(OR(J139=14,J139=15),"+2",IF(OR(J139=16,J139=17),"+3",IF(OR(J139=18,J139=19),"+4",IF(OR(J139=20,J139=21),"+5",IF(OR(J139=22,J139=23),"+6",IF(OR(J139=24,J139=25),"+7",IF(OR(J139=26,J139=27),"+8",IF(OR(J139=28,J139=29),"+9",IF(J139=30,"+10"," "))))))))))))))))</f>
        <v>+5</v>
      </c>
      <c r="L139" s="3" t="n">
        <v>15</v>
      </c>
      <c r="M139" s="1" t="str">
        <f aca="false">IF(L139=1,"-5",IF(OR(L139=2,L139=3),"-4",IF(OR(L139=4,L139=5),"-3",IF(OR(L139=6,L139=7),"-2",IF(OR(L139=8,L139=9),"-1",IF(OR(L139=10,L139=11),"0",IF(OR(L139=12,L139=13),"+1",IF(OR(L139=14,L139=15),"+2",IF(OR(L139=16,L139=17),"+3",IF(OR(L139=18,L139=19),"+4",IF(OR(L139=20,L139=21),"+5",IF(OR(L139=22,L139=23),"+6",IF(OR(L139=24,L139=25),"+7",IF(OR(L139=26,L139=27),"+8",IF(OR(L139=28,L139=29),"+9",IF(L139=30,"+10"," "))))))))))))))))</f>
        <v>+2</v>
      </c>
      <c r="N139" s="3" t="n">
        <v>18</v>
      </c>
      <c r="O139" s="1" t="str">
        <f aca="false">IF(N139=1,"-5",IF(OR(N139=2,N139=3),"-4",IF(OR(N139=4,N139=5),"-3",IF(OR(N139=6,N139=7),"-2",IF(OR(N139=8,N139=9),"-1",IF(OR(N139=10,N139=11),"0",IF(OR(N139=12,N139=13),"+1",IF(OR(N139=14,N139=15),"+2",IF(OR(N139=16,N139=17),"+3",IF(OR(N139=18,N139=19),"+4",IF(OR(N139=20,N139=21),"+5",IF(OR(N139=22,N139=23),"+6",IF(OR(N139=24,N139=25),"+7",IF(OR(N139=26,N139=27),"+8",IF(OR(N139=28,N139=29),"+9",IF(N139=30,"+10"," "))))))))))))))))</f>
        <v>+4</v>
      </c>
      <c r="P139" s="3" t="n">
        <v>13</v>
      </c>
      <c r="Q139" s="1" t="str">
        <f aca="false">IF(P139=1,"-5",IF(OR(P139=2,P139=3),"-4",IF(OR(P139=4,P139=5),"-3",IF(OR(P139=6,P139=7),"-2",IF(OR(P139=8,P139=9),"-1",IF(OR(P139=10,P139=11),"0",IF(OR(P139=12,P139=13),"+1",IF(OR(P139=14,P139=15),"+2",IF(OR(P139=16,P139=17),"+3",IF(OR(P139=18,P139=19),"+4",IF(OR(P139=20,P139=21),"+5",IF(OR(P139=22,P139=23),"+6",IF(OR(P139=24,P139=25),"+7",IF(OR(P139=26,P139=27),"+8",IF(OR(P139=28,P139=29),"+9",IF(P139=30,"+10"," "))))))))))))))))</f>
        <v>+1</v>
      </c>
      <c r="R139" s="3" t="n">
        <v>11</v>
      </c>
      <c r="S139" s="1" t="str">
        <f aca="false">IF(R139=1,"-5",IF(OR(R139=2,R139=3),"-4",IF(OR(R139=4,R139=5),"-3",IF(OR(R139=6,R139=7),"-2",IF(OR(R139=8,R139=9),"-1",IF(OR(R139=10,R139=11),"0",IF(OR(R139=12,R139=13),"+1",IF(OR(R139=14,R139=15),"+2",IF(OR(R139=16,R139=17),"+3",IF(OR(R139=18,R139=19),"+4",IF(OR(R139=20,R139=21),"+5",IF(OR(R139=22,R139=23),"+6",IF(OR(R139=24,R139=25),"+7",IF(OR(R139=26,R139=27),"+8",IF(OR(R139=28,R139=29),"+9",IF(R139=30,"+10"," "))))))))))))))))</f>
        <v>0</v>
      </c>
      <c r="T139" s="3" t="n">
        <v>11</v>
      </c>
      <c r="U139" s="1" t="str">
        <f aca="false">IF(T139=1,"-5",IF(OR(T139=2,T139=3),"-4",IF(OR(T139=4,T139=5),"-3",IF(OR(T139=6,T139=7),"-2",IF(OR(T139=8,T139=9),"-1",IF(OR(T139=10,T139=11),"0",IF(OR(T139=12,T139=13),"+1",IF(OR(T139=14,T139=15),"+2",IF(OR(T139=16,T139=17),"+3",IF(OR(T139=18,T139=19),"+4",IF(OR(T139=20,T139=21),"+5",IF(OR(T139=22,T139=23),"+6",IF(OR(T139=24,T139=25),"+7",IF(OR(T139=26,T139=27),"+8",IF(OR(T139=28,T139=29),"+9",IF(T139=30,"+10"," "))))))))))))))))</f>
        <v>0</v>
      </c>
      <c r="V139" s="3" t="s">
        <v>771</v>
      </c>
      <c r="W139" s="3" t="s">
        <v>772</v>
      </c>
      <c r="X139" s="11" t="s">
        <v>773</v>
      </c>
      <c r="Y139" s="11" t="s">
        <v>774</v>
      </c>
      <c r="Z139" s="11" t="s">
        <v>37</v>
      </c>
      <c r="AA139" s="12" t="s">
        <v>37</v>
      </c>
    </row>
    <row r="140" customFormat="false" ht="16.4" hidden="false" customHeight="false" outlineLevel="0" collapsed="false">
      <c r="A140" s="15" t="s">
        <v>775</v>
      </c>
      <c r="B140" s="3" t="s">
        <v>776</v>
      </c>
      <c r="C140" s="3" t="s">
        <v>222</v>
      </c>
      <c r="D140" s="16" t="n">
        <v>13</v>
      </c>
      <c r="E140" s="6" t="n">
        <f aca="false">VLOOKUP(D140,'[1]REF Tables'!$A$2:$B$40,2)</f>
        <v>10000</v>
      </c>
      <c r="F140" s="3" t="s">
        <v>121</v>
      </c>
      <c r="G140" s="3" t="n">
        <v>13</v>
      </c>
      <c r="H140" s="3" t="s">
        <v>777</v>
      </c>
      <c r="I140" s="3" t="s">
        <v>629</v>
      </c>
      <c r="J140" s="3" t="n">
        <v>22</v>
      </c>
      <c r="K140" s="1" t="str">
        <f aca="false">IF(J140=1,"-5",IF(OR(J140=2,J140=3),"-4",IF(OR(J140=4,J140=5),"-3",IF(OR(J140=6,J140=7),"-2",IF(OR(J140=8,J140=9),"-1",IF(OR(J140=10,J140=11),"0",IF(OR(J140=12,J140=13),"+1",IF(OR(J140=14,J140=15),"+2",IF(OR(J140=16,J140=17),"+3",IF(OR(J140=18,J140=19),"+4",IF(OR(J140=20,J140=21),"+5",IF(OR(J140=22,J140=23),"+6",IF(OR(J140=24,J140=25),"+7",IF(OR(J140=26,J140=27),"+8",IF(OR(J140=28,J140=29),"+9",IF(J140=30,"+10"," "))))))))))))))))</f>
        <v>+6</v>
      </c>
      <c r="L140" s="3" t="n">
        <v>10</v>
      </c>
      <c r="M140" s="1" t="str">
        <f aca="false">IF(L140=1,"-5",IF(OR(L140=2,L140=3),"-4",IF(OR(L140=4,L140=5),"-3",IF(OR(L140=6,L140=7),"-2",IF(OR(L140=8,L140=9),"-1",IF(OR(L140=10,L140=11),"0",IF(OR(L140=12,L140=13),"+1",IF(OR(L140=14,L140=15),"+2",IF(OR(L140=16,L140=17),"+3",IF(OR(L140=18,L140=19),"+4",IF(OR(L140=20,L140=21),"+5",IF(OR(L140=22,L140=23),"+6",IF(OR(L140=24,L140=25),"+7",IF(OR(L140=26,L140=27),"+8",IF(OR(L140=28,L140=29),"+9",IF(L140=30,"+10"," "))))))))))))))))</f>
        <v>0</v>
      </c>
      <c r="N140" s="3" t="n">
        <v>22</v>
      </c>
      <c r="O140" s="1" t="str">
        <f aca="false">IF(N140=1,"-5",IF(OR(N140=2,N140=3),"-4",IF(OR(N140=4,N140=5),"-3",IF(OR(N140=6,N140=7),"-2",IF(OR(N140=8,N140=9),"-1",IF(OR(N140=10,N140=11),"0",IF(OR(N140=12,N140=13),"+1",IF(OR(N140=14,N140=15),"+2",IF(OR(N140=16,N140=17),"+3",IF(OR(N140=18,N140=19),"+4",IF(OR(N140=20,N140=21),"+5",IF(OR(N140=22,N140=23),"+6",IF(OR(N140=24,N140=25),"+7",IF(OR(N140=26,N140=27),"+8",IF(OR(N140=28,N140=29),"+9",IF(N140=30,"+10"," "))))))))))))))))</f>
        <v>+6</v>
      </c>
      <c r="P140" s="3" t="n">
        <v>8</v>
      </c>
      <c r="Q140" s="1" t="str">
        <f aca="false">IF(P140=1,"-5",IF(OR(P140=2,P140=3),"-4",IF(OR(P140=4,P140=5),"-3",IF(OR(P140=6,P140=7),"-2",IF(OR(P140=8,P140=9),"-1",IF(OR(P140=10,P140=11),"0",IF(OR(P140=12,P140=13),"+1",IF(OR(P140=14,P140=15),"+2",IF(OR(P140=16,P140=17),"+3",IF(OR(P140=18,P140=19),"+4",IF(OR(P140=20,P140=21),"+5",IF(OR(P140=22,P140=23),"+6",IF(OR(P140=24,P140=25),"+7",IF(OR(P140=26,P140=27),"+8",IF(OR(P140=28,P140=29),"+9",IF(P140=30,"+10"," "))))))))))))))))</f>
        <v>-1</v>
      </c>
      <c r="R140" s="3" t="n">
        <v>12</v>
      </c>
      <c r="S140" s="1" t="str">
        <f aca="false">IF(R140=1,"-5",IF(OR(R140=2,R140=3),"-4",IF(OR(R140=4,R140=5),"-3",IF(OR(R140=6,R140=7),"-2",IF(OR(R140=8,R140=9),"-1",IF(OR(R140=10,R140=11),"0",IF(OR(R140=12,R140=13),"+1",IF(OR(R140=14,R140=15),"+2",IF(OR(R140=16,R140=17),"+3",IF(OR(R140=18,R140=19),"+4",IF(OR(R140=20,R140=21),"+5",IF(OR(R140=22,R140=23),"+6",IF(OR(R140=24,R140=25),"+7",IF(OR(R140=26,R140=27),"+8",IF(OR(R140=28,R140=29),"+9",IF(R140=30,"+10"," "))))))))))))))))</f>
        <v>+1</v>
      </c>
      <c r="T140" s="3" t="n">
        <v>12</v>
      </c>
      <c r="U140" s="1" t="str">
        <f aca="false">IF(T140=1,"-5",IF(OR(T140=2,T140=3),"-4",IF(OR(T140=4,T140=5),"-3",IF(OR(T140=6,T140=7),"-2",IF(OR(T140=8,T140=9),"-1",IF(OR(T140=10,T140=11),"0",IF(OR(T140=12,T140=13),"+1",IF(OR(T140=14,T140=15),"+2",IF(OR(T140=16,T140=17),"+3",IF(OR(T140=18,T140=19),"+4",IF(OR(T140=20,T140=21),"+5",IF(OR(T140=22,T140=23),"+6",IF(OR(T140=24,T140=25),"+7",IF(OR(T140=26,T140=27),"+8",IF(OR(T140=28,T140=29),"+9",IF(T140=30,"+10"," "))))))))))))))))</f>
        <v>+1</v>
      </c>
      <c r="V140" s="3" t="s">
        <v>778</v>
      </c>
      <c r="W140" s="3" t="s">
        <v>643</v>
      </c>
      <c r="X140" s="11" t="s">
        <v>779</v>
      </c>
      <c r="Y140" s="11" t="s">
        <v>780</v>
      </c>
      <c r="Z140" s="11" t="s">
        <v>37</v>
      </c>
      <c r="AA140" s="12" t="s">
        <v>781</v>
      </c>
    </row>
    <row r="141" customFormat="false" ht="16.4" hidden="false" customHeight="false" outlineLevel="0" collapsed="false">
      <c r="A141" s="15" t="s">
        <v>782</v>
      </c>
      <c r="B141" s="3" t="s">
        <v>776</v>
      </c>
      <c r="C141" s="3" t="s">
        <v>222</v>
      </c>
      <c r="D141" s="16" t="n">
        <v>20</v>
      </c>
      <c r="E141" s="6" t="n">
        <f aca="false">VLOOKUP(D141,'[1]REF Tables'!$A$2:$B$40,2)</f>
        <v>25000</v>
      </c>
      <c r="F141" s="3" t="s">
        <v>601</v>
      </c>
      <c r="G141" s="3" t="n">
        <v>20</v>
      </c>
      <c r="H141" s="3" t="s">
        <v>783</v>
      </c>
      <c r="I141" s="3" t="s">
        <v>784</v>
      </c>
      <c r="J141" s="3" t="n">
        <v>26</v>
      </c>
      <c r="K141" s="1" t="str">
        <f aca="false">IF(J141=1,"-5",IF(OR(J141=2,J141=3),"-4",IF(OR(J141=4,J141=5),"-3",IF(OR(J141=6,J141=7),"-2",IF(OR(J141=8,J141=9),"-1",IF(OR(J141=10,J141=11),"0",IF(OR(J141=12,J141=13),"+1",IF(OR(J141=14,J141=15),"+2",IF(OR(J141=16,J141=17),"+3",IF(OR(J141=18,J141=19),"+4",IF(OR(J141=20,J141=21),"+5",IF(OR(J141=22,J141=23),"+6",IF(OR(J141=24,J141=25),"+7",IF(OR(J141=26,J141=27),"+8",IF(OR(J141=28,J141=29),"+9",IF(J141=30,"+10"," "))))))))))))))))</f>
        <v>+8</v>
      </c>
      <c r="L141" s="3" t="n">
        <v>10</v>
      </c>
      <c r="M141" s="1" t="str">
        <f aca="false">IF(L141=1,"-5",IF(OR(L141=2,L141=3),"-4",IF(OR(L141=4,L141=5),"-3",IF(OR(L141=6,L141=7),"-2",IF(OR(L141=8,L141=9),"-1",IF(OR(L141=10,L141=11),"0",IF(OR(L141=12,L141=13),"+1",IF(OR(L141=14,L141=15),"+2",IF(OR(L141=16,L141=17),"+3",IF(OR(L141=18,L141=19),"+4",IF(OR(L141=20,L141=21),"+5",IF(OR(L141=22,L141=23),"+6",IF(OR(L141=24,L141=25),"+7",IF(OR(L141=26,L141=27),"+8",IF(OR(L141=28,L141=29),"+9",IF(L141=30,"+10"," "))))))))))))))))</f>
        <v>0</v>
      </c>
      <c r="N141" s="3" t="n">
        <v>26</v>
      </c>
      <c r="O141" s="1" t="str">
        <f aca="false">IF(N141=1,"-5",IF(OR(N141=2,N141=3),"-4",IF(OR(N141=4,N141=5),"-3",IF(OR(N141=6,N141=7),"-2",IF(OR(N141=8,N141=9),"-1",IF(OR(N141=10,N141=11),"0",IF(OR(N141=12,N141=13),"+1",IF(OR(N141=14,N141=15),"+2",IF(OR(N141=16,N141=17),"+3",IF(OR(N141=18,N141=19),"+4",IF(OR(N141=20,N141=21),"+5",IF(OR(N141=22,N141=23),"+6",IF(OR(N141=24,N141=25),"+7",IF(OR(N141=26,N141=27),"+8",IF(OR(N141=28,N141=29),"+9",IF(N141=30,"+10"," "))))))))))))))))</f>
        <v>+8</v>
      </c>
      <c r="P141" s="3" t="n">
        <v>10</v>
      </c>
      <c r="Q141" s="1" t="str">
        <f aca="false">IF(P141=1,"-5",IF(OR(P141=2,P141=3),"-4",IF(OR(P141=4,P141=5),"-3",IF(OR(P141=6,P141=7),"-2",IF(OR(P141=8,P141=9),"-1",IF(OR(P141=10,P141=11),"0",IF(OR(P141=12,P141=13),"+1",IF(OR(P141=14,P141=15),"+2",IF(OR(P141=16,P141=17),"+3",IF(OR(P141=18,P141=19),"+4",IF(OR(P141=20,P141=21),"+5",IF(OR(P141=22,P141=23),"+6",IF(OR(P141=24,P141=25),"+7",IF(OR(P141=26,P141=27),"+8",IF(OR(P141=28,P141=29),"+9",IF(P141=30,"+10"," "))))))))))))))))</f>
        <v>0</v>
      </c>
      <c r="R141" s="3" t="n">
        <v>13</v>
      </c>
      <c r="S141" s="1" t="str">
        <f aca="false">IF(R141=1,"-5",IF(OR(R141=2,R141=3),"-4",IF(OR(R141=4,R141=5),"-3",IF(OR(R141=6,R141=7),"-2",IF(OR(R141=8,R141=9),"-1",IF(OR(R141=10,R141=11),"0",IF(OR(R141=12,R141=13),"+1",IF(OR(R141=14,R141=15),"+2",IF(OR(R141=16,R141=17),"+3",IF(OR(R141=18,R141=19),"+4",IF(OR(R141=20,R141=21),"+5",IF(OR(R141=22,R141=23),"+6",IF(OR(R141=24,R141=25),"+7",IF(OR(R141=26,R141=27),"+8",IF(OR(R141=28,R141=29),"+9",IF(R141=30,"+10"," "))))))))))))))))</f>
        <v>+1</v>
      </c>
      <c r="T141" s="3" t="n">
        <v>14</v>
      </c>
      <c r="U141" s="1" t="str">
        <f aca="false">IF(T141=1,"-5",IF(OR(T141=2,T141=3),"-4",IF(OR(T141=4,T141=5),"-3",IF(OR(T141=6,T141=7),"-2",IF(OR(T141=8,T141=9),"-1",IF(OR(T141=10,T141=11),"0",IF(OR(T141=12,T141=13),"+1",IF(OR(T141=14,T141=15),"+2",IF(OR(T141=16,T141=17),"+3",IF(OR(T141=18,T141=19),"+4",IF(OR(T141=20,T141=21),"+5",IF(OR(T141=22,T141=23),"+6",IF(OR(T141=24,T141=25),"+7",IF(OR(T141=26,T141=27),"+8",IF(OR(T141=28,T141=29),"+9",IF(T141=30,"+10"," "))))))))))))))))</f>
        <v>+2</v>
      </c>
      <c r="V141" s="3" t="s">
        <v>785</v>
      </c>
      <c r="W141" s="3" t="s">
        <v>643</v>
      </c>
      <c r="X141" s="11" t="s">
        <v>786</v>
      </c>
      <c r="Y141" s="11" t="s">
        <v>787</v>
      </c>
      <c r="Z141" s="11" t="s">
        <v>37</v>
      </c>
      <c r="AA141" s="12" t="s">
        <v>788</v>
      </c>
    </row>
    <row r="142" customFormat="false" ht="16.4" hidden="false" customHeight="false" outlineLevel="0" collapsed="false">
      <c r="A142" s="15" t="s">
        <v>789</v>
      </c>
      <c r="B142" s="3" t="s">
        <v>776</v>
      </c>
      <c r="C142" s="3" t="s">
        <v>222</v>
      </c>
      <c r="D142" s="16" t="n">
        <v>2</v>
      </c>
      <c r="E142" s="3" t="n">
        <f aca="false">VLOOKUP(D142,'[1]REF Tables'!$A$2:$B$40,2)</f>
        <v>450</v>
      </c>
      <c r="F142" s="3" t="s">
        <v>30</v>
      </c>
      <c r="G142" s="3" t="n">
        <v>16</v>
      </c>
      <c r="H142" s="3" t="s">
        <v>790</v>
      </c>
      <c r="I142" s="3" t="s">
        <v>791</v>
      </c>
      <c r="J142" s="3" t="n">
        <v>14</v>
      </c>
      <c r="K142" s="1" t="str">
        <f aca="false">IF(J142=1,"-5",IF(OR(J142=2,J142=3),"-4",IF(OR(J142=4,J142=5),"-3",IF(OR(J142=6,J142=7),"-2",IF(OR(J142=8,J142=9),"-1",IF(OR(J142=10,J142=11),"0",IF(OR(J142=12,J142=13),"+1",IF(OR(J142=14,J142=15),"+2",IF(OR(J142=16,J142=17),"+3",IF(OR(J142=18,J142=19),"+4",IF(OR(J142=20,J142=21),"+5",IF(OR(J142=22,J142=23),"+6",IF(OR(J142=24,J142=25),"+7",IF(OR(J142=26,J142=27),"+8",IF(OR(J142=28,J142=29),"+9",IF(J142=30,"+10"," "))))))))))))))))</f>
        <v>+2</v>
      </c>
      <c r="L142" s="3" t="n">
        <v>10</v>
      </c>
      <c r="M142" s="1" t="str">
        <f aca="false">IF(L142=1,"-5",IF(OR(L142=2,L142=3),"-4",IF(OR(L142=4,L142=5),"-3",IF(OR(L142=6,L142=7),"-2",IF(OR(L142=8,L142=9),"-1",IF(OR(L142=10,L142=11),"0",IF(OR(L142=12,L142=13),"+1",IF(OR(L142=14,L142=15),"+2",IF(OR(L142=16,L142=17),"+3",IF(OR(L142=18,L142=19),"+4",IF(OR(L142=20,L142=21),"+5",IF(OR(L142=22,L142=23),"+6",IF(OR(L142=24,L142=25),"+7",IF(OR(L142=26,L142=27),"+8",IF(OR(L142=28,L142=29),"+9",IF(L142=30,"+10"," "))))))))))))))))</f>
        <v>0</v>
      </c>
      <c r="N142" s="3" t="n">
        <v>14</v>
      </c>
      <c r="O142" s="1" t="str">
        <f aca="false">IF(N142=1,"-5",IF(OR(N142=2,N142=3),"-4",IF(OR(N142=4,N142=5),"-3",IF(OR(N142=6,N142=7),"-2",IF(OR(N142=8,N142=9),"-1",IF(OR(N142=10,N142=11),"0",IF(OR(N142=12,N142=13),"+1",IF(OR(N142=14,N142=15),"+2",IF(OR(N142=16,N142=17),"+3",IF(OR(N142=18,N142=19),"+4",IF(OR(N142=20,N142=21),"+5",IF(OR(N142=22,N142=23),"+6",IF(OR(N142=24,N142=25),"+7",IF(OR(N142=26,N142=27),"+8",IF(OR(N142=28,N142=29),"+9",IF(N142=30,"+10"," "))))))))))))))))</f>
        <v>+2</v>
      </c>
      <c r="P142" s="3" t="n">
        <v>5</v>
      </c>
      <c r="Q142" s="1" t="str">
        <f aca="false">IF(P142=1,"-5",IF(OR(P142=2,P142=3),"-4",IF(OR(P142=4,P142=5),"-3",IF(OR(P142=6,P142=7),"-2",IF(OR(P142=8,P142=9),"-1",IF(OR(P142=10,P142=11),"0",IF(OR(P142=12,P142=13),"+1",IF(OR(P142=14,P142=15),"+2",IF(OR(P142=16,P142=17),"+3",IF(OR(P142=18,P142=19),"+4",IF(OR(P142=20,P142=21),"+5",IF(OR(P142=22,P142=23),"+6",IF(OR(P142=24,P142=25),"+7",IF(OR(P142=26,P142=27),"+8",IF(OR(P142=28,P142=29),"+9",IF(P142=30,"+10"," "))))))))))))))))</f>
        <v>-3</v>
      </c>
      <c r="R142" s="3" t="n">
        <v>10</v>
      </c>
      <c r="S142" s="1" t="str">
        <f aca="false">IF(R142=1,"-5",IF(OR(R142=2,R142=3),"-4",IF(OR(R142=4,R142=5),"-3",IF(OR(R142=6,R142=7),"-2",IF(OR(R142=8,R142=9),"-1",IF(OR(R142=10,R142=11),"0",IF(OR(R142=12,R142=13),"+1",IF(OR(R142=14,R142=15),"+2",IF(OR(R142=16,R142=17),"+3",IF(OR(R142=18,R142=19),"+4",IF(OR(R142=20,R142=21),"+5",IF(OR(R142=22,R142=23),"+6",IF(OR(R142=24,R142=25),"+7",IF(OR(R142=26,R142=27),"+8",IF(OR(R142=28,R142=29),"+9",IF(R142=30,"+10"," "))))))))))))))))</f>
        <v>0</v>
      </c>
      <c r="T142" s="3" t="n">
        <v>11</v>
      </c>
      <c r="U142" s="1" t="str">
        <f aca="false">IF(T142=1,"-5",IF(OR(T142=2,T142=3),"-4",IF(OR(T142=4,T142=5),"-3",IF(OR(T142=6,T142=7),"-2",IF(OR(T142=8,T142=9),"-1",IF(OR(T142=10,T142=11),"0",IF(OR(T142=12,T142=13),"+1",IF(OR(T142=14,T142=15),"+2",IF(OR(T142=16,T142=17),"+3",IF(OR(T142=18,T142=19),"+4",IF(OR(T142=20,T142=21),"+5",IF(OR(T142=22,T142=23),"+6",IF(OR(T142=24,T142=25),"+7",IF(OR(T142=26,T142=27),"+8",IF(OR(T142=28,T142=29),"+9",IF(T142=30,"+10"," "))))))))))))))))</f>
        <v>0</v>
      </c>
      <c r="V142" s="3" t="s">
        <v>792</v>
      </c>
      <c r="W142" s="3" t="s">
        <v>311</v>
      </c>
      <c r="X142" s="11" t="s">
        <v>793</v>
      </c>
      <c r="Y142" s="11" t="s">
        <v>794</v>
      </c>
      <c r="Z142" s="11" t="s">
        <v>37</v>
      </c>
      <c r="AA142" s="12" t="s">
        <v>37</v>
      </c>
    </row>
    <row r="143" customFormat="false" ht="16.4" hidden="false" customHeight="false" outlineLevel="0" collapsed="false">
      <c r="A143" s="15" t="s">
        <v>795</v>
      </c>
      <c r="B143" s="3" t="s">
        <v>776</v>
      </c>
      <c r="C143" s="3" t="s">
        <v>222</v>
      </c>
      <c r="D143" s="16" t="n">
        <v>6</v>
      </c>
      <c r="E143" s="6" t="n">
        <f aca="false">VLOOKUP(D143,'[1]REF Tables'!$A$2:$B$40,2)</f>
        <v>2300</v>
      </c>
      <c r="F143" s="3" t="s">
        <v>50</v>
      </c>
      <c r="G143" s="3" t="n">
        <v>17</v>
      </c>
      <c r="H143" s="3" t="s">
        <v>796</v>
      </c>
      <c r="I143" s="3" t="s">
        <v>797</v>
      </c>
      <c r="J143" s="3" t="n">
        <v>18</v>
      </c>
      <c r="K143" s="1" t="str">
        <f aca="false">IF(J143=1,"-5",IF(OR(J143=2,J143=3),"-4",IF(OR(J143=4,J143=5),"-3",IF(OR(J143=6,J143=7),"-2",IF(OR(J143=8,J143=9),"-1",IF(OR(J143=10,J143=11),"0",IF(OR(J143=12,J143=13),"+1",IF(OR(J143=14,J143=15),"+2",IF(OR(J143=16,J143=17),"+3",IF(OR(J143=18,J143=19),"+4",IF(OR(J143=20,J143=21),"+5",IF(OR(J143=22,J143=23),"+6",IF(OR(J143=24,J143=25),"+7",IF(OR(J143=26,J143=27),"+8",IF(OR(J143=28,J143=29),"+9",IF(J143=30,"+10"," "))))))))))))))))</f>
        <v>+4</v>
      </c>
      <c r="L143" s="3" t="n">
        <v>10</v>
      </c>
      <c r="M143" s="1" t="str">
        <f aca="false">IF(L143=1,"-5",IF(OR(L143=2,L143=3),"-4",IF(OR(L143=4,L143=5),"-3",IF(OR(L143=6,L143=7),"-2",IF(OR(L143=8,L143=9),"-1",IF(OR(L143=10,L143=11),"0",IF(OR(L143=12,L143=13),"+1",IF(OR(L143=14,L143=15),"+2",IF(OR(L143=16,L143=17),"+3",IF(OR(L143=18,L143=19),"+4",IF(OR(L143=20,L143=21),"+5",IF(OR(L143=22,L143=23),"+6",IF(OR(L143=24,L143=25),"+7",IF(OR(L143=26,L143=27),"+8",IF(OR(L143=28,L143=29),"+9",IF(L143=30,"+10"," "))))))))))))))))</f>
        <v>0</v>
      </c>
      <c r="N143" s="3" t="n">
        <v>18</v>
      </c>
      <c r="O143" s="1" t="str">
        <f aca="false">IF(N143=1,"-5",IF(OR(N143=2,N143=3),"-4",IF(OR(N143=4,N143=5),"-3",IF(OR(N143=6,N143=7),"-2",IF(OR(N143=8,N143=9),"-1",IF(OR(N143=10,N143=11),"0",IF(OR(N143=12,N143=13),"+1",IF(OR(N143=14,N143=15),"+2",IF(OR(N143=16,N143=17),"+3",IF(OR(N143=18,N143=19),"+4",IF(OR(N143=20,N143=21),"+5",IF(OR(N143=22,N143=23),"+6",IF(OR(N143=24,N143=25),"+7",IF(OR(N143=26,N143=27),"+8",IF(OR(N143=28,N143=29),"+9",IF(N143=30,"+10"," "))))))))))))))))</f>
        <v>+4</v>
      </c>
      <c r="P143" s="3" t="n">
        <v>6</v>
      </c>
      <c r="Q143" s="1" t="str">
        <f aca="false">IF(P143=1,"-5",IF(OR(P143=2,P143=3),"-4",IF(OR(P143=4,P143=5),"-3",IF(OR(P143=6,P143=7),"-2",IF(OR(P143=8,P143=9),"-1",IF(OR(P143=10,P143=11),"0",IF(OR(P143=12,P143=13),"+1",IF(OR(P143=14,P143=15),"+2",IF(OR(P143=16,P143=17),"+3",IF(OR(P143=18,P143=19),"+4",IF(OR(P143=20,P143=21),"+5",IF(OR(P143=22,P143=23),"+6",IF(OR(P143=24,P143=25),"+7",IF(OR(P143=26,P143=27),"+8",IF(OR(P143=28,P143=29),"+9",IF(P143=30,"+10"," "))))))))))))))))</f>
        <v>-2</v>
      </c>
      <c r="R143" s="3" t="n">
        <v>11</v>
      </c>
      <c r="S143" s="1" t="str">
        <f aca="false">IF(R143=1,"-5",IF(OR(R143=2,R143=3),"-4",IF(OR(R143=4,R143=5),"-3",IF(OR(R143=6,R143=7),"-2",IF(OR(R143=8,R143=9),"-1",IF(OR(R143=10,R143=11),"0",IF(OR(R143=12,R143=13),"+1",IF(OR(R143=14,R143=15),"+2",IF(OR(R143=16,R143=17),"+3",IF(OR(R143=18,R143=19),"+4",IF(OR(R143=20,R143=21),"+5",IF(OR(R143=22,R143=23),"+6",IF(OR(R143=24,R143=25),"+7",IF(OR(R143=26,R143=27),"+8",IF(OR(R143=28,R143=29),"+9",IF(R143=30,"+10"," "))))))))))))))))</f>
        <v>0</v>
      </c>
      <c r="T143" s="3" t="n">
        <v>12</v>
      </c>
      <c r="U143" s="1" t="str">
        <f aca="false">IF(T143=1,"-5",IF(OR(T143=2,T143=3),"-4",IF(OR(T143=4,T143=5),"-3",IF(OR(T143=6,T143=7),"-2",IF(OR(T143=8,T143=9),"-1",IF(OR(T143=10,T143=11),"0",IF(OR(T143=12,T143=13),"+1",IF(OR(T143=14,T143=15),"+2",IF(OR(T143=16,T143=17),"+3",IF(OR(T143=18,T143=19),"+4",IF(OR(T143=20,T143=21),"+5",IF(OR(T143=22,T143=23),"+6",IF(OR(T143=24,T143=25),"+7",IF(OR(T143=26,T143=27),"+8",IF(OR(T143=28,T143=29),"+9",IF(T143=30,"+10"," "))))))))))))))))</f>
        <v>+1</v>
      </c>
      <c r="V143" s="3" t="s">
        <v>798</v>
      </c>
      <c r="W143" s="3" t="s">
        <v>643</v>
      </c>
      <c r="X143" s="11" t="s">
        <v>799</v>
      </c>
      <c r="Y143" s="11" t="s">
        <v>800</v>
      </c>
      <c r="Z143" s="11" t="s">
        <v>37</v>
      </c>
      <c r="AA143" s="12" t="s">
        <v>37</v>
      </c>
    </row>
    <row r="144" customFormat="false" ht="16.4" hidden="false" customHeight="false" outlineLevel="0" collapsed="false">
      <c r="A144" s="15" t="s">
        <v>801</v>
      </c>
      <c r="B144" s="3" t="s">
        <v>776</v>
      </c>
      <c r="C144" s="3" t="s">
        <v>49</v>
      </c>
      <c r="D144" s="16" t="n">
        <v>16</v>
      </c>
      <c r="E144" s="6" t="n">
        <f aca="false">VLOOKUP(D144,'[1]REF Tables'!$A$2:$B$40,2)</f>
        <v>15000</v>
      </c>
      <c r="F144" s="3" t="s">
        <v>121</v>
      </c>
      <c r="G144" s="3" t="n">
        <v>19</v>
      </c>
      <c r="H144" s="3" t="s">
        <v>761</v>
      </c>
      <c r="I144" s="3" t="s">
        <v>629</v>
      </c>
      <c r="J144" s="3" t="n">
        <v>25</v>
      </c>
      <c r="K144" s="1" t="str">
        <f aca="false">IF(J144=1,"-5",IF(OR(J144=2,J144=3),"-4",IF(OR(J144=4,J144=5),"-3",IF(OR(J144=6,J144=7),"-2",IF(OR(J144=8,J144=9),"-1",IF(OR(J144=10,J144=11),"0",IF(OR(J144=12,J144=13),"+1",IF(OR(J144=14,J144=15),"+2",IF(OR(J144=16,J144=17),"+3",IF(OR(J144=18,J144=19),"+4",IF(OR(J144=20,J144=21),"+5",IF(OR(J144=22,J144=23),"+6",IF(OR(J144=24,J144=25),"+7",IF(OR(J144=26,J144=27),"+8",IF(OR(J144=28,J144=29),"+9",IF(J144=30,"+10"," "))))))))))))))))</f>
        <v>+7</v>
      </c>
      <c r="L144" s="3" t="n">
        <v>10</v>
      </c>
      <c r="M144" s="1" t="str">
        <f aca="false">IF(L144=1,"-5",IF(OR(L144=2,L144=3),"-4",IF(OR(L144=4,L144=5),"-3",IF(OR(L144=6,L144=7),"-2",IF(OR(L144=8,L144=9),"-1",IF(OR(L144=10,L144=11),"0",IF(OR(L144=12,L144=13),"+1",IF(OR(L144=14,L144=15),"+2",IF(OR(L144=16,L144=17),"+3",IF(OR(L144=18,L144=19),"+4",IF(OR(L144=20,L144=21),"+5",IF(OR(L144=22,L144=23),"+6",IF(OR(L144=24,L144=25),"+7",IF(OR(L144=26,L144=27),"+8",IF(OR(L144=28,L144=29),"+9",IF(L144=30,"+10"," "))))))))))))))))</f>
        <v>0</v>
      </c>
      <c r="N144" s="3" t="n">
        <v>23</v>
      </c>
      <c r="O144" s="1" t="str">
        <f aca="false">IF(N144=1,"-5",IF(OR(N144=2,N144=3),"-4",IF(OR(N144=4,N144=5),"-3",IF(OR(N144=6,N144=7),"-2",IF(OR(N144=8,N144=9),"-1",IF(OR(N144=10,N144=11),"0",IF(OR(N144=12,N144=13),"+1",IF(OR(N144=14,N144=15),"+2",IF(OR(N144=16,N144=17),"+3",IF(OR(N144=18,N144=19),"+4",IF(OR(N144=20,N144=21),"+5",IF(OR(N144=22,N144=23),"+6",IF(OR(N144=24,N144=25),"+7",IF(OR(N144=26,N144=27),"+8",IF(OR(N144=28,N144=29),"+9",IF(N144=30,"+10"," "))))))))))))))))</f>
        <v>+6</v>
      </c>
      <c r="P144" s="3" t="n">
        <v>16</v>
      </c>
      <c r="Q144" s="1" t="str">
        <f aca="false">IF(P144=1,"-5",IF(OR(P144=2,P144=3),"-4",IF(OR(P144=4,P144=5),"-3",IF(OR(P144=6,P144=7),"-2",IF(OR(P144=8,P144=9),"-1",IF(OR(P144=10,P144=11),"0",IF(OR(P144=12,P144=13),"+1",IF(OR(P144=14,P144=15),"+2",IF(OR(P144=16,P144=17),"+3",IF(OR(P144=18,P144=19),"+4",IF(OR(P144=20,P144=21),"+5",IF(OR(P144=22,P144=23),"+6",IF(OR(P144=24,P144=25),"+7",IF(OR(P144=26,P144=27),"+8",IF(OR(P144=28,P144=29),"+9",IF(P144=30,"+10"," "))))))))))))))))</f>
        <v>+3</v>
      </c>
      <c r="R144" s="3" t="n">
        <v>15</v>
      </c>
      <c r="S144" s="1" t="str">
        <f aca="false">IF(R144=1,"-5",IF(OR(R144=2,R144=3),"-4",IF(OR(R144=4,R144=5),"-3",IF(OR(R144=6,R144=7),"-2",IF(OR(R144=8,R144=9),"-1",IF(OR(R144=10,R144=11),"0",IF(OR(R144=12,R144=13),"+1",IF(OR(R144=14,R144=15),"+2",IF(OR(R144=16,R144=17),"+3",IF(OR(R144=18,R144=19),"+4",IF(OR(R144=20,R144=21),"+5",IF(OR(R144=22,R144=23),"+6",IF(OR(R144=24,R144=25),"+7",IF(OR(R144=26,R144=27),"+8",IF(OR(R144=28,R144=29),"+9",IF(R144=30,"+10"," "))))))))))))))))</f>
        <v>+2</v>
      </c>
      <c r="T144" s="3" t="n">
        <v>19</v>
      </c>
      <c r="U144" s="1" t="str">
        <f aca="false">IF(T144=1,"-5",IF(OR(T144=2,T144=3),"-4",IF(OR(T144=4,T144=5),"-3",IF(OR(T144=6,T144=7),"-2",IF(OR(T144=8,T144=9),"-1",IF(OR(T144=10,T144=11),"0",IF(OR(T144=12,T144=13),"+1",IF(OR(T144=14,T144=15),"+2",IF(OR(T144=16,T144=17),"+3",IF(OR(T144=18,T144=19),"+4",IF(OR(T144=20,T144=21),"+5",IF(OR(T144=22,T144=23),"+6",IF(OR(T144=24,T144=25),"+7",IF(OR(T144=26,T144=27),"+8",IF(OR(T144=28,T144=29),"+9",IF(T144=30,"+10"," "))))))))))))))))</f>
        <v>+4</v>
      </c>
      <c r="V144" s="3" t="s">
        <v>802</v>
      </c>
      <c r="W144" s="3" t="s">
        <v>643</v>
      </c>
      <c r="X144" s="11" t="s">
        <v>803</v>
      </c>
      <c r="Y144" s="11" t="s">
        <v>804</v>
      </c>
      <c r="Z144" s="11" t="s">
        <v>37</v>
      </c>
      <c r="AA144" s="12" t="s">
        <v>805</v>
      </c>
    </row>
    <row r="145" customFormat="false" ht="16.4" hidden="false" customHeight="false" outlineLevel="0" collapsed="false">
      <c r="A145" s="15" t="s">
        <v>806</v>
      </c>
      <c r="B145" s="3" t="s">
        <v>776</v>
      </c>
      <c r="C145" s="3" t="s">
        <v>49</v>
      </c>
      <c r="D145" s="16" t="n">
        <v>23</v>
      </c>
      <c r="E145" s="6" t="n">
        <f aca="false">VLOOKUP(D145,'[1]REF Tables'!$A$2:$B$40,2)</f>
        <v>50000</v>
      </c>
      <c r="F145" s="3" t="s">
        <v>601</v>
      </c>
      <c r="G145" s="3" t="n">
        <v>22</v>
      </c>
      <c r="H145" s="3" t="s">
        <v>807</v>
      </c>
      <c r="I145" s="3" t="s">
        <v>808</v>
      </c>
      <c r="J145" s="3" t="n">
        <v>29</v>
      </c>
      <c r="K145" s="1" t="str">
        <f aca="false">IF(J145=1,"-5",IF(OR(J145=2,J145=3),"-4",IF(OR(J145=4,J145=5),"-3",IF(OR(J145=6,J145=7),"-2",IF(OR(J145=8,J145=9),"-1",IF(OR(J145=10,J145=11),"0",IF(OR(J145=12,J145=13),"+1",IF(OR(J145=14,J145=15),"+2",IF(OR(J145=16,J145=17),"+3",IF(OR(J145=18,J145=19),"+4",IF(OR(J145=20,J145=21),"+5",IF(OR(J145=22,J145=23),"+6",IF(OR(J145=24,J145=25),"+7",IF(OR(J145=26,J145=27),"+8",IF(OR(J145=28,J145=29),"+9",IF(J145=30,"+10"," "))))))))))))))))</f>
        <v>+9</v>
      </c>
      <c r="L145" s="3" t="n">
        <v>10</v>
      </c>
      <c r="M145" s="1" t="str">
        <f aca="false">IF(L145=1,"-5",IF(OR(L145=2,L145=3),"-4",IF(OR(L145=4,L145=5),"-3",IF(OR(L145=6,L145=7),"-2",IF(OR(L145=8,L145=9),"-1",IF(OR(L145=10,L145=11),"0",IF(OR(L145=12,L145=13),"+1",IF(OR(L145=14,L145=15),"+2",IF(OR(L145=16,L145=17),"+3",IF(OR(L145=18,L145=19),"+4",IF(OR(L145=20,L145=21),"+5",IF(OR(L145=22,L145=23),"+6",IF(OR(L145=24,L145=25),"+7",IF(OR(L145=26,L145=27),"+8",IF(OR(L145=28,L145=29),"+9",IF(L145=30,"+10"," "))))))))))))))))</f>
        <v>0</v>
      </c>
      <c r="N145" s="3" t="n">
        <v>27</v>
      </c>
      <c r="O145" s="1" t="str">
        <f aca="false">IF(N145=1,"-5",IF(OR(N145=2,N145=3),"-4",IF(OR(N145=4,N145=5),"-3",IF(OR(N145=6,N145=7),"-2",IF(OR(N145=8,N145=9),"-1",IF(OR(N145=10,N145=11),"0",IF(OR(N145=12,N145=13),"+1",IF(OR(N145=14,N145=15),"+2",IF(OR(N145=16,N145=17),"+3",IF(OR(N145=18,N145=19),"+4",IF(OR(N145=20,N145=21),"+5",IF(OR(N145=22,N145=23),"+6",IF(OR(N145=24,N145=25),"+7",IF(OR(N145=26,N145=27),"+8",IF(OR(N145=28,N145=29),"+9",IF(N145=30,"+10"," "))))))))))))))))</f>
        <v>+8</v>
      </c>
      <c r="P145" s="3" t="n">
        <v>18</v>
      </c>
      <c r="Q145" s="1" t="str">
        <f aca="false">IF(P145=1,"-5",IF(OR(P145=2,P145=3),"-4",IF(OR(P145=4,P145=5),"-3",IF(OR(P145=6,P145=7),"-2",IF(OR(P145=8,P145=9),"-1",IF(OR(P145=10,P145=11),"0",IF(OR(P145=12,P145=13),"+1",IF(OR(P145=14,P145=15),"+2",IF(OR(P145=16,P145=17),"+3",IF(OR(P145=18,P145=19),"+4",IF(OR(P145=20,P145=21),"+5",IF(OR(P145=22,P145=23),"+6",IF(OR(P145=24,P145=25),"+7",IF(OR(P145=26,P145=27),"+8",IF(OR(P145=28,P145=29),"+9",IF(P145=30,"+10"," "))))))))))))))))</f>
        <v>+4</v>
      </c>
      <c r="R145" s="3" t="n">
        <v>17</v>
      </c>
      <c r="S145" s="1" t="str">
        <f aca="false">IF(R145=1,"-5",IF(OR(R145=2,R145=3),"-4",IF(OR(R145=4,R145=5),"-3",IF(OR(R145=6,R145=7),"-2",IF(OR(R145=8,R145=9),"-1",IF(OR(R145=10,R145=11),"0",IF(OR(R145=12,R145=13),"+1",IF(OR(R145=14,R145=15),"+2",IF(OR(R145=16,R145=17),"+3",IF(OR(R145=18,R145=19),"+4",IF(OR(R145=20,R145=21),"+5",IF(OR(R145=22,R145=23),"+6",IF(OR(R145=24,R145=25),"+7",IF(OR(R145=26,R145=27),"+8",IF(OR(R145=28,R145=29),"+9",IF(R145=30,"+10"," "))))))))))))))))</f>
        <v>+3</v>
      </c>
      <c r="T145" s="3" t="n">
        <v>21</v>
      </c>
      <c r="U145" s="1" t="str">
        <f aca="false">IF(T145=1,"-5",IF(OR(T145=2,T145=3),"-4",IF(OR(T145=4,T145=5),"-3",IF(OR(T145=6,T145=7),"-2",IF(OR(T145=8,T145=9),"-1",IF(OR(T145=10,T145=11),"0",IF(OR(T145=12,T145=13),"+1",IF(OR(T145=14,T145=15),"+2",IF(OR(T145=16,T145=17),"+3",IF(OR(T145=18,T145=19),"+4",IF(OR(T145=20,T145=21),"+5",IF(OR(T145=22,T145=23),"+6",IF(OR(T145=24,T145=25),"+7",IF(OR(T145=26,T145=27),"+8",IF(OR(T145=28,T145=29),"+9",IF(T145=30,"+10"," "))))))))))))))))</f>
        <v>+5</v>
      </c>
      <c r="V145" s="3" t="s">
        <v>809</v>
      </c>
      <c r="W145" s="3" t="s">
        <v>643</v>
      </c>
      <c r="X145" s="11" t="s">
        <v>810</v>
      </c>
      <c r="Y145" s="11" t="s">
        <v>811</v>
      </c>
      <c r="Z145" s="11" t="s">
        <v>37</v>
      </c>
      <c r="AA145" s="12" t="s">
        <v>812</v>
      </c>
    </row>
    <row r="146" customFormat="false" ht="16.4" hidden="false" customHeight="false" outlineLevel="0" collapsed="false">
      <c r="A146" s="15" t="s">
        <v>813</v>
      </c>
      <c r="B146" s="3" t="s">
        <v>776</v>
      </c>
      <c r="C146" s="3" t="s">
        <v>49</v>
      </c>
      <c r="D146" s="16" t="n">
        <v>3</v>
      </c>
      <c r="E146" s="3" t="n">
        <f aca="false">VLOOKUP(D146,'[1]REF Tables'!$A$2:$B$40,2)</f>
        <v>700</v>
      </c>
      <c r="F146" s="3" t="s">
        <v>30</v>
      </c>
      <c r="G146" s="3" t="n">
        <v>17</v>
      </c>
      <c r="H146" s="3" t="s">
        <v>300</v>
      </c>
      <c r="I146" s="3" t="s">
        <v>814</v>
      </c>
      <c r="J146" s="3" t="n">
        <v>17</v>
      </c>
      <c r="K146" s="1" t="str">
        <f aca="false">IF(J146=1,"-5",IF(OR(J146=2,J146=3),"-4",IF(OR(J146=4,J146=5),"-3",IF(OR(J146=6,J146=7),"-2",IF(OR(J146=8,J146=9),"-1",IF(OR(J146=10,J146=11),"0",IF(OR(J146=12,J146=13),"+1",IF(OR(J146=14,J146=15),"+2",IF(OR(J146=16,J146=17),"+3",IF(OR(J146=18,J146=19),"+4",IF(OR(J146=20,J146=21),"+5",IF(OR(J146=22,J146=23),"+6",IF(OR(J146=24,J146=25),"+7",IF(OR(J146=26,J146=27),"+8",IF(OR(J146=28,J146=29),"+9",IF(J146=30,"+10"," "))))))))))))))))</f>
        <v>+3</v>
      </c>
      <c r="L146" s="3" t="n">
        <v>10</v>
      </c>
      <c r="M146" s="1" t="str">
        <f aca="false">IF(L146=1,"-5",IF(OR(L146=2,L146=3),"-4",IF(OR(L146=4,L146=5),"-3",IF(OR(L146=6,L146=7),"-2",IF(OR(L146=8,L146=9),"-1",IF(OR(L146=10,L146=11),"0",IF(OR(L146=12,L146=13),"+1",IF(OR(L146=14,L146=15),"+2",IF(OR(L146=16,L146=17),"+3",IF(OR(L146=18,L146=19),"+4",IF(OR(L146=20,L146=21),"+5",IF(OR(L146=22,L146=23),"+6",IF(OR(L146=24,L146=25),"+7",IF(OR(L146=26,L146=27),"+8",IF(OR(L146=28,L146=29),"+9",IF(L146=30,"+10"," "))))))))))))))))</f>
        <v>0</v>
      </c>
      <c r="N146" s="3" t="n">
        <v>15</v>
      </c>
      <c r="O146" s="1" t="str">
        <f aca="false">IF(N146=1,"-5",IF(OR(N146=2,N146=3),"-4",IF(OR(N146=4,N146=5),"-3",IF(OR(N146=6,N146=7),"-2",IF(OR(N146=8,N146=9),"-1",IF(OR(N146=10,N146=11),"0",IF(OR(N146=12,N146=13),"+1",IF(OR(N146=14,N146=15),"+2",IF(OR(N146=16,N146=17),"+3",IF(OR(N146=18,N146=19),"+4",IF(OR(N146=20,N146=21),"+5",IF(OR(N146=22,N146=23),"+6",IF(OR(N146=24,N146=25),"+7",IF(OR(N146=26,N146=27),"+8",IF(OR(N146=28,N146=29),"+9",IF(N146=30,"+10"," "))))))))))))))))</f>
        <v>+2</v>
      </c>
      <c r="P146" s="3" t="n">
        <v>12</v>
      </c>
      <c r="Q146" s="1" t="str">
        <f aca="false">IF(P146=1,"-5",IF(OR(P146=2,P146=3),"-4",IF(OR(P146=4,P146=5),"-3",IF(OR(P146=6,P146=7),"-2",IF(OR(P146=8,P146=9),"-1",IF(OR(P146=10,P146=11),"0",IF(OR(P146=12,P146=13),"+1",IF(OR(P146=14,P146=15),"+2",IF(OR(P146=16,P146=17),"+3",IF(OR(P146=18,P146=19),"+4",IF(OR(P146=20,P146=21),"+5",IF(OR(P146=22,P146=23),"+6",IF(OR(P146=24,P146=25),"+7",IF(OR(P146=26,P146=27),"+8",IF(OR(P146=28,P146=29),"+9",IF(P146=30,"+10"," "))))))))))))))))</f>
        <v>+1</v>
      </c>
      <c r="R146" s="3" t="n">
        <v>11</v>
      </c>
      <c r="S146" s="1" t="str">
        <f aca="false">IF(R146=1,"-5",IF(OR(R146=2,R146=3),"-4",IF(OR(R146=4,R146=5),"-3",IF(OR(R146=6,R146=7),"-2",IF(OR(R146=8,R146=9),"-1",IF(OR(R146=10,R146=11),"0",IF(OR(R146=12,R146=13),"+1",IF(OR(R146=14,R146=15),"+2",IF(OR(R146=16,R146=17),"+3",IF(OR(R146=18,R146=19),"+4",IF(OR(R146=20,R146=21),"+5",IF(OR(R146=22,R146=23),"+6",IF(OR(R146=24,R146=25),"+7",IF(OR(R146=26,R146=27),"+8",IF(OR(R146=28,R146=29),"+9",IF(R146=30,"+10"," "))))))))))))))))</f>
        <v>0</v>
      </c>
      <c r="T146" s="3" t="n">
        <v>15</v>
      </c>
      <c r="U146" s="1" t="str">
        <f aca="false">IF(T146=1,"-5",IF(OR(T146=2,T146=3),"-4",IF(OR(T146=4,T146=5),"-3",IF(OR(T146=6,T146=7),"-2",IF(OR(T146=8,T146=9),"-1",IF(OR(T146=10,T146=11),"0",IF(OR(T146=12,T146=13),"+1",IF(OR(T146=14,T146=15),"+2",IF(OR(T146=16,T146=17),"+3",IF(OR(T146=18,T146=19),"+4",IF(OR(T146=20,T146=21),"+5",IF(OR(T146=22,T146=23),"+6",IF(OR(T146=24,T146=25),"+7",IF(OR(T146=26,T146=27),"+8",IF(OR(T146=28,T146=29),"+9",IF(T146=30,"+10"," "))))))))))))))))</f>
        <v>+2</v>
      </c>
      <c r="V146" s="3" t="s">
        <v>815</v>
      </c>
      <c r="W146" s="3" t="s">
        <v>311</v>
      </c>
      <c r="X146" s="11" t="s">
        <v>816</v>
      </c>
      <c r="Y146" s="11" t="s">
        <v>817</v>
      </c>
      <c r="Z146" s="11" t="s">
        <v>37</v>
      </c>
      <c r="AA146" s="12" t="s">
        <v>37</v>
      </c>
    </row>
    <row r="147" customFormat="false" ht="16.4" hidden="false" customHeight="false" outlineLevel="0" collapsed="false">
      <c r="A147" s="15" t="s">
        <v>818</v>
      </c>
      <c r="B147" s="3" t="s">
        <v>776</v>
      </c>
      <c r="C147" s="3" t="s">
        <v>49</v>
      </c>
      <c r="D147" s="16" t="n">
        <v>9</v>
      </c>
      <c r="E147" s="6" t="n">
        <f aca="false">VLOOKUP(D147,'[1]REF Tables'!$A$2:$B$40,2)</f>
        <v>5000</v>
      </c>
      <c r="F147" s="3" t="s">
        <v>50</v>
      </c>
      <c r="G147" s="3" t="n">
        <v>18</v>
      </c>
      <c r="H147" s="3" t="s">
        <v>819</v>
      </c>
      <c r="I147" s="3" t="s">
        <v>820</v>
      </c>
      <c r="J147" s="3" t="n">
        <v>21</v>
      </c>
      <c r="K147" s="1" t="str">
        <f aca="false">IF(J147=1,"-5",IF(OR(J147=2,J147=3),"-4",IF(OR(J147=4,J147=5),"-3",IF(OR(J147=6,J147=7),"-2",IF(OR(J147=8,J147=9),"-1",IF(OR(J147=10,J147=11),"0",IF(OR(J147=12,J147=13),"+1",IF(OR(J147=14,J147=15),"+2",IF(OR(J147=16,J147=17),"+3",IF(OR(J147=18,J147=19),"+4",IF(OR(J147=20,J147=21),"+5",IF(OR(J147=22,J147=23),"+6",IF(OR(J147=24,J147=25),"+7",IF(OR(J147=26,J147=27),"+8",IF(OR(J147=28,J147=29),"+9",IF(J147=30,"+10"," "))))))))))))))))</f>
        <v>+5</v>
      </c>
      <c r="L147" s="3" t="n">
        <v>10</v>
      </c>
      <c r="M147" s="1" t="str">
        <f aca="false">IF(L147=1,"-5",IF(OR(L147=2,L147=3),"-4",IF(OR(L147=4,L147=5),"-3",IF(OR(L147=6,L147=7),"-2",IF(OR(L147=8,L147=9),"-1",IF(OR(L147=10,L147=11),"0",IF(OR(L147=12,L147=13),"+1",IF(OR(L147=14,L147=15),"+2",IF(OR(L147=16,L147=17),"+3",IF(OR(L147=18,L147=19),"+4",IF(OR(L147=20,L147=21),"+5",IF(OR(L147=22,L147=23),"+6",IF(OR(L147=24,L147=25),"+7",IF(OR(L147=26,L147=27),"+8",IF(OR(L147=28,L147=29),"+9",IF(L147=30,"+10"," "))))))))))))))))</f>
        <v>0</v>
      </c>
      <c r="N147" s="3" t="n">
        <v>19</v>
      </c>
      <c r="O147" s="1" t="str">
        <f aca="false">IF(N147=1,"-5",IF(OR(N147=2,N147=3),"-4",IF(OR(N147=4,N147=5),"-3",IF(OR(N147=6,N147=7),"-2",IF(OR(N147=8,N147=9),"-1",IF(OR(N147=10,N147=11),"0",IF(OR(N147=12,N147=13),"+1",IF(OR(N147=14,N147=15),"+2",IF(OR(N147=16,N147=17),"+3",IF(OR(N147=18,N147=19),"+4",IF(OR(N147=20,N147=21),"+5",IF(OR(N147=22,N147=23),"+6",IF(OR(N147=24,N147=25),"+7",IF(OR(N147=26,N147=27),"+8",IF(OR(N147=28,N147=29),"+9",IF(N147=30,"+10"," "))))))))))))))))</f>
        <v>+4</v>
      </c>
      <c r="P147" s="3" t="n">
        <v>14</v>
      </c>
      <c r="Q147" s="1" t="str">
        <f aca="false">IF(P147=1,"-5",IF(OR(P147=2,P147=3),"-4",IF(OR(P147=4,P147=5),"-3",IF(OR(P147=6,P147=7),"-2",IF(OR(P147=8,P147=9),"-1",IF(OR(P147=10,P147=11),"0",IF(OR(P147=12,P147=13),"+1",IF(OR(P147=14,P147=15),"+2",IF(OR(P147=16,P147=17),"+3",IF(OR(P147=18,P147=19),"+4",IF(OR(P147=20,P147=21),"+5",IF(OR(P147=22,P147=23),"+6",IF(OR(P147=24,P147=25),"+7",IF(OR(P147=26,P147=27),"+8",IF(OR(P147=28,P147=29),"+9",IF(P147=30,"+10"," "))))))))))))))))</f>
        <v>+2</v>
      </c>
      <c r="R147" s="3" t="n">
        <v>13</v>
      </c>
      <c r="S147" s="1" t="str">
        <f aca="false">IF(R147=1,"-5",IF(OR(R147=2,R147=3),"-4",IF(OR(R147=4,R147=5),"-3",IF(OR(R147=6,R147=7),"-2",IF(OR(R147=8,R147=9),"-1",IF(OR(R147=10,R147=11),"0",IF(OR(R147=12,R147=13),"+1",IF(OR(R147=14,R147=15),"+2",IF(OR(R147=16,R147=17),"+3",IF(OR(R147=18,R147=19),"+4",IF(OR(R147=20,R147=21),"+5",IF(OR(R147=22,R147=23),"+6",IF(OR(R147=24,R147=25),"+7",IF(OR(R147=26,R147=27),"+8",IF(OR(R147=28,R147=29),"+9",IF(R147=30,"+10"," "))))))))))))))))</f>
        <v>+1</v>
      </c>
      <c r="T147" s="3" t="n">
        <v>17</v>
      </c>
      <c r="U147" s="1" t="str">
        <f aca="false">IF(T147=1,"-5",IF(OR(T147=2,T147=3),"-4",IF(OR(T147=4,T147=5),"-3",IF(OR(T147=6,T147=7),"-2",IF(OR(T147=8,T147=9),"-1",IF(OR(T147=10,T147=11),"0",IF(OR(T147=12,T147=13),"+1",IF(OR(T147=14,T147=15),"+2",IF(OR(T147=16,T147=17),"+3",IF(OR(T147=18,T147=19),"+4",IF(OR(T147=20,T147=21),"+5",IF(OR(T147=22,T147=23),"+6",IF(OR(T147=24,T147=25),"+7",IF(OR(T147=26,T147=27),"+8",IF(OR(T147=28,T147=29),"+9",IF(T147=30,"+10"," "))))))))))))))))</f>
        <v>+3</v>
      </c>
      <c r="V147" s="3" t="s">
        <v>821</v>
      </c>
      <c r="W147" s="3" t="s">
        <v>643</v>
      </c>
      <c r="X147" s="11" t="s">
        <v>822</v>
      </c>
      <c r="Y147" s="11" t="s">
        <v>823</v>
      </c>
      <c r="Z147" s="11" t="s">
        <v>37</v>
      </c>
      <c r="AA147" s="12" t="s">
        <v>37</v>
      </c>
    </row>
    <row r="148" customFormat="false" ht="16.4" hidden="false" customHeight="false" outlineLevel="0" collapsed="false">
      <c r="A148" s="15" t="s">
        <v>824</v>
      </c>
      <c r="B148" s="3" t="s">
        <v>825</v>
      </c>
      <c r="C148" s="3" t="s">
        <v>502</v>
      </c>
      <c r="D148" s="16" t="n">
        <v>23</v>
      </c>
      <c r="E148" s="6" t="n">
        <f aca="false">VLOOKUP(D148,'[1]REF Tables'!$A$2:$B$40,2)</f>
        <v>50000</v>
      </c>
      <c r="F148" s="3" t="s">
        <v>601</v>
      </c>
      <c r="G148" s="3" t="n">
        <v>22</v>
      </c>
      <c r="H148" s="3" t="s">
        <v>826</v>
      </c>
      <c r="I148" s="3" t="s">
        <v>247</v>
      </c>
      <c r="J148" s="3" t="n">
        <v>30</v>
      </c>
      <c r="K148" s="1" t="str">
        <f aca="false">IF(J148=1,"-5",IF(OR(J148=2,J148=3),"-4",IF(OR(J148=4,J148=5),"-3",IF(OR(J148=6,J148=7),"-2",IF(OR(J148=8,J148=9),"-1",IF(OR(J148=10,J148=11),"0",IF(OR(J148=12,J148=13),"+1",IF(OR(J148=14,J148=15),"+2",IF(OR(J148=16,J148=17),"+3",IF(OR(J148=18,J148=19),"+4",IF(OR(J148=20,J148=21),"+5",IF(OR(J148=22,J148=23),"+6",IF(OR(J148=24,J148=25),"+7",IF(OR(J148=26,J148=27),"+8",IF(OR(J148=28,J148=29),"+9",IF(J148=30,"+10"," "))))))))))))))))</f>
        <v>+10</v>
      </c>
      <c r="L148" s="3" t="n">
        <v>10</v>
      </c>
      <c r="M148" s="1" t="str">
        <f aca="false">IF(L148=1,"-5",IF(OR(L148=2,L148=3),"-4",IF(OR(L148=4,L148=5),"-3",IF(OR(L148=6,L148=7),"-2",IF(OR(L148=8,L148=9),"-1",IF(OR(L148=10,L148=11),"0",IF(OR(L148=12,L148=13),"+1",IF(OR(L148=14,L148=15),"+2",IF(OR(L148=16,L148=17),"+3",IF(OR(L148=18,L148=19),"+4",IF(OR(L148=20,L148=21),"+5",IF(OR(L148=22,L148=23),"+6",IF(OR(L148=24,L148=25),"+7",IF(OR(L148=26,L148=27),"+8",IF(OR(L148=28,L148=29),"+9",IF(L148=30,"+10"," "))))))))))))))))</f>
        <v>0</v>
      </c>
      <c r="N148" s="3" t="n">
        <v>29</v>
      </c>
      <c r="O148" s="1" t="str">
        <f aca="false">IF(N148=1,"-5",IF(OR(N148=2,N148=3),"-4",IF(OR(N148=4,N148=5),"-3",IF(OR(N148=6,N148=7),"-2",IF(OR(N148=8,N148=9),"-1",IF(OR(N148=10,N148=11),"0",IF(OR(N148=12,N148=13),"+1",IF(OR(N148=14,N148=15),"+2",IF(OR(N148=16,N148=17),"+3",IF(OR(N148=18,N148=19),"+4",IF(OR(N148=20,N148=21),"+5",IF(OR(N148=22,N148=23),"+6",IF(OR(N148=24,N148=25),"+7",IF(OR(N148=26,N148=27),"+8",IF(OR(N148=28,N148=29),"+9",IF(N148=30,"+10"," "))))))))))))))))</f>
        <v>+9</v>
      </c>
      <c r="P148" s="3" t="n">
        <v>18</v>
      </c>
      <c r="Q148" s="1" t="str">
        <f aca="false">IF(P148=1,"-5",IF(OR(P148=2,P148=3),"-4",IF(OR(P148=4,P148=5),"-3",IF(OR(P148=6,P148=7),"-2",IF(OR(P148=8,P148=9),"-1",IF(OR(P148=10,P148=11),"0",IF(OR(P148=12,P148=13),"+1",IF(OR(P148=14,P148=15),"+2",IF(OR(P148=16,P148=17),"+3",IF(OR(P148=18,P148=19),"+4",IF(OR(P148=20,P148=21),"+5",IF(OR(P148=22,P148=23),"+6",IF(OR(P148=24,P148=25),"+7",IF(OR(P148=26,P148=27),"+8",IF(OR(P148=28,P148=29),"+9",IF(P148=30,"+10"," "))))))))))))))))</f>
        <v>+4</v>
      </c>
      <c r="R148" s="3" t="n">
        <v>15</v>
      </c>
      <c r="S148" s="1" t="str">
        <f aca="false">IF(R148=1,"-5",IF(OR(R148=2,R148=3),"-4",IF(OR(R148=4,R148=5),"-3",IF(OR(R148=6,R148=7),"-2",IF(OR(R148=8,R148=9),"-1",IF(OR(R148=10,R148=11),"0",IF(OR(R148=12,R148=13),"+1",IF(OR(R148=14,R148=15),"+2",IF(OR(R148=16,R148=17),"+3",IF(OR(R148=18,R148=19),"+4",IF(OR(R148=20,R148=21),"+5",IF(OR(R148=22,R148=23),"+6",IF(OR(R148=24,R148=25),"+7",IF(OR(R148=26,R148=27),"+8",IF(OR(R148=28,R148=29),"+9",IF(R148=30,"+10"," "))))))))))))))))</f>
        <v>+2</v>
      </c>
      <c r="T148" s="3" t="n">
        <v>23</v>
      </c>
      <c r="U148" s="1" t="str">
        <f aca="false">IF(T148=1,"-5",IF(OR(T148=2,T148=3),"-4",IF(OR(T148=4,T148=5),"-3",IF(OR(T148=6,T148=7),"-2",IF(OR(T148=8,T148=9),"-1",IF(OR(T148=10,T148=11),"0",IF(OR(T148=12,T148=13),"+1",IF(OR(T148=14,T148=15),"+2",IF(OR(T148=16,T148=17),"+3",IF(OR(T148=18,T148=19),"+4",IF(OR(T148=20,T148=21),"+5",IF(OR(T148=22,T148=23),"+6",IF(OR(T148=24,T148=25),"+7",IF(OR(T148=26,T148=27),"+8",IF(OR(T148=28,T148=29),"+9",IF(T148=30,"+10"," "))))))))))))))))</f>
        <v>+6</v>
      </c>
      <c r="V148" s="3" t="s">
        <v>827</v>
      </c>
      <c r="W148" s="3" t="s">
        <v>828</v>
      </c>
      <c r="X148" s="11" t="s">
        <v>829</v>
      </c>
      <c r="Y148" s="11" t="s">
        <v>830</v>
      </c>
      <c r="Z148" s="11" t="s">
        <v>37</v>
      </c>
      <c r="AA148" s="12" t="s">
        <v>831</v>
      </c>
    </row>
    <row r="149" customFormat="false" ht="16.4" hidden="false" customHeight="false" outlineLevel="0" collapsed="false">
      <c r="A149" s="15" t="s">
        <v>832</v>
      </c>
      <c r="B149" s="3" t="s">
        <v>825</v>
      </c>
      <c r="C149" s="3" t="s">
        <v>748</v>
      </c>
      <c r="D149" s="16" t="n">
        <v>13</v>
      </c>
      <c r="E149" s="6" t="n">
        <f aca="false">VLOOKUP(D149,'[1]REF Tables'!$A$2:$B$40,2)</f>
        <v>10000</v>
      </c>
      <c r="F149" s="3" t="s">
        <v>121</v>
      </c>
      <c r="G149" s="3" t="n">
        <v>18</v>
      </c>
      <c r="H149" s="3" t="s">
        <v>833</v>
      </c>
      <c r="I149" s="3" t="s">
        <v>629</v>
      </c>
      <c r="J149" s="3" t="n">
        <v>23</v>
      </c>
      <c r="K149" s="1" t="str">
        <f aca="false">IF(J149=1,"-5",IF(OR(J149=2,J149=3),"-4",IF(OR(J149=4,J149=5),"-3",IF(OR(J149=6,J149=7),"-2",IF(OR(J149=8,J149=9),"-1",IF(OR(J149=10,J149=11),"0",IF(OR(J149=12,J149=13),"+1",IF(OR(J149=14,J149=15),"+2",IF(OR(J149=16,J149=17),"+3",IF(OR(J149=18,J149=19),"+4",IF(OR(J149=20,J149=21),"+5",IF(OR(J149=22,J149=23),"+6",IF(OR(J149=24,J149=25),"+7",IF(OR(J149=26,J149=27),"+8",IF(OR(J149=28,J149=29),"+9",IF(J149=30,"+10"," "))))))))))))))))</f>
        <v>+6</v>
      </c>
      <c r="L149" s="3" t="n">
        <v>10</v>
      </c>
      <c r="M149" s="1" t="str">
        <f aca="false">IF(L149=1,"-5",IF(OR(L149=2,L149=3),"-4",IF(OR(L149=4,L149=5),"-3",IF(OR(L149=6,L149=7),"-2",IF(OR(L149=8,L149=9),"-1",IF(OR(L149=10,L149=11),"0",IF(OR(L149=12,L149=13),"+1",IF(OR(L149=14,L149=15),"+2",IF(OR(L149=16,L149=17),"+3",IF(OR(L149=18,L149=19),"+4",IF(OR(L149=20,L149=21),"+5",IF(OR(L149=22,L149=23),"+6",IF(OR(L149=24,L149=25),"+7",IF(OR(L149=26,L149=27),"+8",IF(OR(L149=28,L149=29),"+9",IF(L149=30,"+10"," "))))))))))))))))</f>
        <v>0</v>
      </c>
      <c r="N149" s="3" t="n">
        <v>21</v>
      </c>
      <c r="O149" s="1" t="str">
        <f aca="false">IF(N149=1,"-5",IF(OR(N149=2,N149=3),"-4",IF(OR(N149=4,N149=5),"-3",IF(OR(N149=6,N149=7),"-2",IF(OR(N149=8,N149=9),"-1",IF(OR(N149=10,N149=11),"0",IF(OR(N149=12,N149=13),"+1",IF(OR(N149=14,N149=15),"+2",IF(OR(N149=16,N149=17),"+3",IF(OR(N149=18,N149=19),"+4",IF(OR(N149=20,N149=21),"+5",IF(OR(N149=22,N149=23),"+6",IF(OR(N149=24,N149=25),"+7",IF(OR(N149=26,N149=27),"+8",IF(OR(N149=28,N149=29),"+9",IF(N149=30,"+10"," "))))))))))))))))</f>
        <v>+5</v>
      </c>
      <c r="P149" s="3" t="n">
        <v>14</v>
      </c>
      <c r="Q149" s="1" t="str">
        <f aca="false">IF(P149=1,"-5",IF(OR(P149=2,P149=3),"-4",IF(OR(P149=4,P149=5),"-3",IF(OR(P149=6,P149=7),"-2",IF(OR(P149=8,P149=9),"-1",IF(OR(P149=10,P149=11),"0",IF(OR(P149=12,P149=13),"+1",IF(OR(P149=14,P149=15),"+2",IF(OR(P149=16,P149=17),"+3",IF(OR(P149=18,P149=19),"+4",IF(OR(P149=20,P149=21),"+5",IF(OR(P149=22,P149=23),"+6",IF(OR(P149=24,P149=25),"+7",IF(OR(P149=26,P149=27),"+8",IF(OR(P149=28,P149=29),"+9",IF(P149=30,"+10"," "))))))))))))))))</f>
        <v>+2</v>
      </c>
      <c r="R149" s="3" t="n">
        <v>13</v>
      </c>
      <c r="S149" s="1" t="str">
        <f aca="false">IF(R149=1,"-5",IF(OR(R149=2,R149=3),"-4",IF(OR(R149=4,R149=5),"-3",IF(OR(R149=6,R149=7),"-2",IF(OR(R149=8,R149=9),"-1",IF(OR(R149=10,R149=11),"0",IF(OR(R149=12,R149=13),"+1",IF(OR(R149=14,R149=15),"+2",IF(OR(R149=16,R149=17),"+3",IF(OR(R149=18,R149=19),"+4",IF(OR(R149=20,R149=21),"+5",IF(OR(R149=22,R149=23),"+6",IF(OR(R149=24,R149=25),"+7",IF(OR(R149=26,R149=27),"+8",IF(OR(R149=28,R149=29),"+9",IF(R149=30,"+10"," "))))))))))))))))</f>
        <v>+1</v>
      </c>
      <c r="T149" s="3" t="n">
        <v>17</v>
      </c>
      <c r="U149" s="1" t="str">
        <f aca="false">IF(T149=1,"-5",IF(OR(T149=2,T149=3),"-4",IF(OR(T149=4,T149=5),"-3",IF(OR(T149=6,T149=7),"-2",IF(OR(T149=8,T149=9),"-1",IF(OR(T149=10,T149=11),"0",IF(OR(T149=12,T149=13),"+1",IF(OR(T149=14,T149=15),"+2",IF(OR(T149=16,T149=17),"+3",IF(OR(T149=18,T149=19),"+4",IF(OR(T149=20,T149=21),"+5",IF(OR(T149=22,T149=23),"+6",IF(OR(T149=24,T149=25),"+7",IF(OR(T149=26,T149=27),"+8",IF(OR(T149=28,T149=29),"+9",IF(T149=30,"+10"," "))))))))))))))))</f>
        <v>+3</v>
      </c>
      <c r="V149" s="3" t="s">
        <v>834</v>
      </c>
      <c r="W149" s="3" t="s">
        <v>643</v>
      </c>
      <c r="X149" s="11" t="s">
        <v>835</v>
      </c>
      <c r="Y149" s="11" t="s">
        <v>836</v>
      </c>
      <c r="Z149" s="11" t="s">
        <v>37</v>
      </c>
      <c r="AA149" s="12" t="s">
        <v>837</v>
      </c>
    </row>
    <row r="150" customFormat="false" ht="16.4" hidden="false" customHeight="false" outlineLevel="0" collapsed="false">
      <c r="A150" s="15" t="s">
        <v>838</v>
      </c>
      <c r="B150" s="3" t="s">
        <v>825</v>
      </c>
      <c r="C150" s="3" t="s">
        <v>748</v>
      </c>
      <c r="D150" s="16" t="n">
        <v>20</v>
      </c>
      <c r="E150" s="6" t="n">
        <f aca="false">VLOOKUP(D150,'[1]REF Tables'!$A$2:$B$40,2)</f>
        <v>25000</v>
      </c>
      <c r="F150" s="3" t="s">
        <v>601</v>
      </c>
      <c r="G150" s="3" t="n">
        <v>20</v>
      </c>
      <c r="H150" s="3" t="s">
        <v>602</v>
      </c>
      <c r="I150" s="3" t="s">
        <v>839</v>
      </c>
      <c r="J150" s="3" t="n">
        <v>27</v>
      </c>
      <c r="K150" s="1" t="str">
        <f aca="false">IF(J150=1,"-5",IF(OR(J150=2,J150=3),"-4",IF(OR(J150=4,J150=5),"-3",IF(OR(J150=6,J150=7),"-2",IF(OR(J150=8,J150=9),"-1",IF(OR(J150=10,J150=11),"0",IF(OR(J150=12,J150=13),"+1",IF(OR(J150=14,J150=15),"+2",IF(OR(J150=16,J150=17),"+3",IF(OR(J150=18,J150=19),"+4",IF(OR(J150=20,J150=21),"+5",IF(OR(J150=22,J150=23),"+6",IF(OR(J150=24,J150=25),"+7",IF(OR(J150=26,J150=27),"+8",IF(OR(J150=28,J150=29),"+9",IF(J150=30,"+10"," "))))))))))))))))</f>
        <v>+8</v>
      </c>
      <c r="L150" s="3" t="n">
        <v>10</v>
      </c>
      <c r="M150" s="1" t="str">
        <f aca="false">IF(L150=1,"-5",IF(OR(L150=2,L150=3),"-4",IF(OR(L150=4,L150=5),"-3",IF(OR(L150=6,L150=7),"-2",IF(OR(L150=8,L150=9),"-1",IF(OR(L150=10,L150=11),"0",IF(OR(L150=12,L150=13),"+1",IF(OR(L150=14,L150=15),"+2",IF(OR(L150=16,L150=17),"+3",IF(OR(L150=18,L150=19),"+4",IF(OR(L150=20,L150=21),"+5",IF(OR(L150=22,L150=23),"+6",IF(OR(L150=24,L150=25),"+7",IF(OR(L150=26,L150=27),"+8",IF(OR(L150=28,L150=29),"+9",IF(L150=30,"+10"," "))))))))))))))))</f>
        <v>0</v>
      </c>
      <c r="N150" s="3" t="n">
        <v>25</v>
      </c>
      <c r="O150" s="1" t="str">
        <f aca="false">IF(N150=1,"-5",IF(OR(N150=2,N150=3),"-4",IF(OR(N150=4,N150=5),"-3",IF(OR(N150=6,N150=7),"-2",IF(OR(N150=8,N150=9),"-1",IF(OR(N150=10,N150=11),"0",IF(OR(N150=12,N150=13),"+1",IF(OR(N150=14,N150=15),"+2",IF(OR(N150=16,N150=17),"+3",IF(OR(N150=18,N150=19),"+4",IF(OR(N150=20,N150=21),"+5",IF(OR(N150=22,N150=23),"+6",IF(OR(N150=24,N150=25),"+7",IF(OR(N150=26,N150=27),"+8",IF(OR(N150=28,N150=29),"+9",IF(N150=30,"+10"," "))))))))))))))))</f>
        <v>+7</v>
      </c>
      <c r="P150" s="3" t="n">
        <v>16</v>
      </c>
      <c r="Q150" s="1" t="str">
        <f aca="false">IF(P150=1,"-5",IF(OR(P150=2,P150=3),"-4",IF(OR(P150=4,P150=5),"-3",IF(OR(P150=6,P150=7),"-2",IF(OR(P150=8,P150=9),"-1",IF(OR(P150=10,P150=11),"0",IF(OR(P150=12,P150=13),"+1",IF(OR(P150=14,P150=15),"+2",IF(OR(P150=16,P150=17),"+3",IF(OR(P150=18,P150=19),"+4",IF(OR(P150=20,P150=21),"+5",IF(OR(P150=22,P150=23),"+6",IF(OR(P150=24,P150=25),"+7",IF(OR(P150=26,P150=27),"+8",IF(OR(P150=28,P150=29),"+9",IF(P150=30,"+10"," "))))))))))))))))</f>
        <v>+3</v>
      </c>
      <c r="R150" s="3" t="n">
        <v>15</v>
      </c>
      <c r="S150" s="1" t="str">
        <f aca="false">IF(R150=1,"-5",IF(OR(R150=2,R150=3),"-4",IF(OR(R150=4,R150=5),"-3",IF(OR(R150=6,R150=7),"-2",IF(OR(R150=8,R150=9),"-1",IF(OR(R150=10,R150=11),"0",IF(OR(R150=12,R150=13),"+1",IF(OR(R150=14,R150=15),"+2",IF(OR(R150=16,R150=17),"+3",IF(OR(R150=18,R150=19),"+4",IF(OR(R150=20,R150=21),"+5",IF(OR(R150=22,R150=23),"+6",IF(OR(R150=24,R150=25),"+7",IF(OR(R150=26,R150=27),"+8",IF(OR(R150=28,R150=29),"+9",IF(R150=30,"+10"," "))))))))))))))))</f>
        <v>+2</v>
      </c>
      <c r="T150" s="3" t="n">
        <v>19</v>
      </c>
      <c r="U150" s="1" t="str">
        <f aca="false">IF(T150=1,"-5",IF(OR(T150=2,T150=3),"-4",IF(OR(T150=4,T150=5),"-3",IF(OR(T150=6,T150=7),"-2",IF(OR(T150=8,T150=9),"-1",IF(OR(T150=10,T150=11),"0",IF(OR(T150=12,T150=13),"+1",IF(OR(T150=14,T150=15),"+2",IF(OR(T150=16,T150=17),"+3",IF(OR(T150=18,T150=19),"+4",IF(OR(T150=20,T150=21),"+5",IF(OR(T150=22,T150=23),"+6",IF(OR(T150=24,T150=25),"+7",IF(OR(T150=26,T150=27),"+8",IF(OR(T150=28,T150=29),"+9",IF(T150=30,"+10"," "))))))))))))))))</f>
        <v>+4</v>
      </c>
      <c r="V150" s="3" t="s">
        <v>840</v>
      </c>
      <c r="W150" s="3" t="s">
        <v>643</v>
      </c>
      <c r="X150" s="11" t="s">
        <v>841</v>
      </c>
      <c r="Y150" s="11" t="s">
        <v>842</v>
      </c>
      <c r="Z150" s="11" t="s">
        <v>37</v>
      </c>
      <c r="AA150" s="12" t="s">
        <v>788</v>
      </c>
    </row>
    <row r="151" customFormat="false" ht="16.4" hidden="false" customHeight="false" outlineLevel="0" collapsed="false">
      <c r="A151" s="15" t="s">
        <v>843</v>
      </c>
      <c r="B151" s="3" t="s">
        <v>825</v>
      </c>
      <c r="C151" s="3" t="s">
        <v>748</v>
      </c>
      <c r="D151" s="16" t="n">
        <v>1</v>
      </c>
      <c r="E151" s="3" t="n">
        <f aca="false">VLOOKUP(D151,'[1]REF Tables'!$A$2:$B$40,2)</f>
        <v>200</v>
      </c>
      <c r="F151" s="3" t="s">
        <v>30</v>
      </c>
      <c r="G151" s="3" t="n">
        <v>16</v>
      </c>
      <c r="H151" s="3" t="s">
        <v>269</v>
      </c>
      <c r="I151" s="3" t="s">
        <v>814</v>
      </c>
      <c r="J151" s="3" t="n">
        <v>15</v>
      </c>
      <c r="K151" s="1" t="str">
        <f aca="false">IF(J151=1,"-5",IF(OR(J151=2,J151=3),"-4",IF(OR(J151=4,J151=5),"-3",IF(OR(J151=6,J151=7),"-2",IF(OR(J151=8,J151=9),"-1",IF(OR(J151=10,J151=11),"0",IF(OR(J151=12,J151=13),"+1",IF(OR(J151=14,J151=15),"+2",IF(OR(J151=16,J151=17),"+3",IF(OR(J151=18,J151=19),"+4",IF(OR(J151=20,J151=21),"+5",IF(OR(J151=22,J151=23),"+6",IF(OR(J151=24,J151=25),"+7",IF(OR(J151=26,J151=27),"+8",IF(OR(J151=28,J151=29),"+9",IF(J151=30,"+10"," "))))))))))))))))</f>
        <v>+2</v>
      </c>
      <c r="L151" s="3" t="n">
        <v>10</v>
      </c>
      <c r="M151" s="1" t="str">
        <f aca="false">IF(L151=1,"-5",IF(OR(L151=2,L151=3),"-4",IF(OR(L151=4,L151=5),"-3",IF(OR(L151=6,L151=7),"-2",IF(OR(L151=8,L151=9),"-1",IF(OR(L151=10,L151=11),"0",IF(OR(L151=12,L151=13),"+1",IF(OR(L151=14,L151=15),"+2",IF(OR(L151=16,L151=17),"+3",IF(OR(L151=18,L151=19),"+4",IF(OR(L151=20,L151=21),"+5",IF(OR(L151=22,L151=23),"+6",IF(OR(L151=24,L151=25),"+7",IF(OR(L151=26,L151=27),"+8",IF(OR(L151=28,L151=29),"+9",IF(L151=30,"+10"," "))))))))))))))))</f>
        <v>0</v>
      </c>
      <c r="N151" s="3" t="n">
        <v>13</v>
      </c>
      <c r="O151" s="1" t="str">
        <f aca="false">IF(N151=1,"-5",IF(OR(N151=2,N151=3),"-4",IF(OR(N151=4,N151=5),"-3",IF(OR(N151=6,N151=7),"-2",IF(OR(N151=8,N151=9),"-1",IF(OR(N151=10,N151=11),"0",IF(OR(N151=12,N151=13),"+1",IF(OR(N151=14,N151=15),"+2",IF(OR(N151=16,N151=17),"+3",IF(OR(N151=18,N151=19),"+4",IF(OR(N151=20,N151=21),"+5",IF(OR(N151=22,N151=23),"+6",IF(OR(N151=24,N151=25),"+7",IF(OR(N151=26,N151=27),"+8",IF(OR(N151=28,N151=29),"+9",IF(N151=30,"+10"," "))))))))))))))))</f>
        <v>+1</v>
      </c>
      <c r="P151" s="3" t="n">
        <v>10</v>
      </c>
      <c r="Q151" s="1" t="str">
        <f aca="false">IF(P151=1,"-5",IF(OR(P151=2,P151=3),"-4",IF(OR(P151=4,P151=5),"-3",IF(OR(P151=6,P151=7),"-2",IF(OR(P151=8,P151=9),"-1",IF(OR(P151=10,P151=11),"0",IF(OR(P151=12,P151=13),"+1",IF(OR(P151=14,P151=15),"+2",IF(OR(P151=16,P151=17),"+3",IF(OR(P151=18,P151=19),"+4",IF(OR(P151=20,P151=21),"+5",IF(OR(P151=22,P151=23),"+6",IF(OR(P151=24,P151=25),"+7",IF(OR(P151=26,P151=27),"+8",IF(OR(P151=28,P151=29),"+9",IF(P151=30,"+10"," "))))))))))))))))</f>
        <v>0</v>
      </c>
      <c r="R151" s="3" t="n">
        <v>11</v>
      </c>
      <c r="S151" s="1" t="str">
        <f aca="false">IF(R151=1,"-5",IF(OR(R151=2,R151=3),"-4",IF(OR(R151=4,R151=5),"-3",IF(OR(R151=6,R151=7),"-2",IF(OR(R151=8,R151=9),"-1",IF(OR(R151=10,R151=11),"0",IF(OR(R151=12,R151=13),"+1",IF(OR(R151=14,R151=15),"+2",IF(OR(R151=16,R151=17),"+3",IF(OR(R151=18,R151=19),"+4",IF(OR(R151=20,R151=21),"+5",IF(OR(R151=22,R151=23),"+6",IF(OR(R151=24,R151=25),"+7",IF(OR(R151=26,R151=27),"+8",IF(OR(R151=28,R151=29),"+9",IF(R151=30,"+10"," "))))))))))))))))</f>
        <v>0</v>
      </c>
      <c r="T151" s="3" t="n">
        <v>13</v>
      </c>
      <c r="U151" s="1" t="str">
        <f aca="false">IF(T151=1,"-5",IF(OR(T151=2,T151=3),"-4",IF(OR(T151=4,T151=5),"-3",IF(OR(T151=6,T151=7),"-2",IF(OR(T151=8,T151=9),"-1",IF(OR(T151=10,T151=11),"0",IF(OR(T151=12,T151=13),"+1",IF(OR(T151=14,T151=15),"+2",IF(OR(T151=16,T151=17),"+3",IF(OR(T151=18,T151=19),"+4",IF(OR(T151=20,T151=21),"+5",IF(OR(T151=22,T151=23),"+6",IF(OR(T151=24,T151=25),"+7",IF(OR(T151=26,T151=27),"+8",IF(OR(T151=28,T151=29),"+9",IF(T151=30,"+10"," "))))))))))))))))</f>
        <v>+1</v>
      </c>
      <c r="V151" s="3" t="s">
        <v>844</v>
      </c>
      <c r="W151" s="3" t="s">
        <v>311</v>
      </c>
      <c r="X151" s="11" t="s">
        <v>845</v>
      </c>
      <c r="Y151" s="11" t="s">
        <v>846</v>
      </c>
      <c r="Z151" s="11" t="s">
        <v>37</v>
      </c>
      <c r="AA151" s="12" t="s">
        <v>37</v>
      </c>
    </row>
    <row r="152" customFormat="false" ht="16.4" hidden="false" customHeight="false" outlineLevel="0" collapsed="false">
      <c r="A152" s="15" t="s">
        <v>847</v>
      </c>
      <c r="B152" s="3" t="s">
        <v>825</v>
      </c>
      <c r="C152" s="3" t="s">
        <v>748</v>
      </c>
      <c r="D152" s="16" t="n">
        <v>6</v>
      </c>
      <c r="E152" s="6" t="n">
        <f aca="false">VLOOKUP(D152,'[1]REF Tables'!$A$2:$B$40,2)</f>
        <v>2300</v>
      </c>
      <c r="F152" s="3" t="s">
        <v>50</v>
      </c>
      <c r="G152" s="3" t="n">
        <v>17</v>
      </c>
      <c r="H152" s="3" t="s">
        <v>848</v>
      </c>
      <c r="I152" s="3" t="s">
        <v>820</v>
      </c>
      <c r="J152" s="3" t="n">
        <v>19</v>
      </c>
      <c r="K152" s="1" t="str">
        <f aca="false">IF(J152=1,"-5",IF(OR(J152=2,J152=3),"-4",IF(OR(J152=4,J152=5),"-3",IF(OR(J152=6,J152=7),"-2",IF(OR(J152=8,J152=9),"-1",IF(OR(J152=10,J152=11),"0",IF(OR(J152=12,J152=13),"+1",IF(OR(J152=14,J152=15),"+2",IF(OR(J152=16,J152=17),"+3",IF(OR(J152=18,J152=19),"+4",IF(OR(J152=20,J152=21),"+5",IF(OR(J152=22,J152=23),"+6",IF(OR(J152=24,J152=25),"+7",IF(OR(J152=26,J152=27),"+8",IF(OR(J152=28,J152=29),"+9",IF(J152=30,"+10"," "))))))))))))))))</f>
        <v>+4</v>
      </c>
      <c r="L152" s="3" t="n">
        <v>10</v>
      </c>
      <c r="M152" s="1" t="str">
        <f aca="false">IF(L152=1,"-5",IF(OR(L152=2,L152=3),"-4",IF(OR(L152=4,L152=5),"-3",IF(OR(L152=6,L152=7),"-2",IF(OR(L152=8,L152=9),"-1",IF(OR(L152=10,L152=11),"0",IF(OR(L152=12,L152=13),"+1",IF(OR(L152=14,L152=15),"+2",IF(OR(L152=16,L152=17),"+3",IF(OR(L152=18,L152=19),"+4",IF(OR(L152=20,L152=21),"+5",IF(OR(L152=22,L152=23),"+6",IF(OR(L152=24,L152=25),"+7",IF(OR(L152=26,L152=27),"+8",IF(OR(L152=28,L152=29),"+9",IF(L152=30,"+10"," "))))))))))))))))</f>
        <v>0</v>
      </c>
      <c r="N152" s="3" t="n">
        <v>17</v>
      </c>
      <c r="O152" s="1" t="str">
        <f aca="false">IF(N152=1,"-5",IF(OR(N152=2,N152=3),"-4",IF(OR(N152=4,N152=5),"-3",IF(OR(N152=6,N152=7),"-2",IF(OR(N152=8,N152=9),"-1",IF(OR(N152=10,N152=11),"0",IF(OR(N152=12,N152=13),"+1",IF(OR(N152=14,N152=15),"+2",IF(OR(N152=16,N152=17),"+3",IF(OR(N152=18,N152=19),"+4",IF(OR(N152=20,N152=21),"+5",IF(OR(N152=22,N152=23),"+6",IF(OR(N152=24,N152=25),"+7",IF(OR(N152=26,N152=27),"+8",IF(OR(N152=28,N152=29),"+9",IF(N152=30,"+10"," "))))))))))))))))</f>
        <v>+3</v>
      </c>
      <c r="P152" s="3" t="n">
        <v>12</v>
      </c>
      <c r="Q152" s="1" t="str">
        <f aca="false">IF(P152=1,"-5",IF(OR(P152=2,P152=3),"-4",IF(OR(P152=4,P152=5),"-3",IF(OR(P152=6,P152=7),"-2",IF(OR(P152=8,P152=9),"-1",IF(OR(P152=10,P152=11),"0",IF(OR(P152=12,P152=13),"+1",IF(OR(P152=14,P152=15),"+2",IF(OR(P152=16,P152=17),"+3",IF(OR(P152=18,P152=19),"+4",IF(OR(P152=20,P152=21),"+5",IF(OR(P152=22,P152=23),"+6",IF(OR(P152=24,P152=25),"+7",IF(OR(P152=26,P152=27),"+8",IF(OR(P152=28,P152=29),"+9",IF(P152=30,"+10"," "))))))))))))))))</f>
        <v>+1</v>
      </c>
      <c r="R152" s="3" t="n">
        <v>11</v>
      </c>
      <c r="S152" s="1" t="str">
        <f aca="false">IF(R152=1,"-5",IF(OR(R152=2,R152=3),"-4",IF(OR(R152=4,R152=5),"-3",IF(OR(R152=6,R152=7),"-2",IF(OR(R152=8,R152=9),"-1",IF(OR(R152=10,R152=11),"0",IF(OR(R152=12,R152=13),"+1",IF(OR(R152=14,R152=15),"+2",IF(OR(R152=16,R152=17),"+3",IF(OR(R152=18,R152=19),"+4",IF(OR(R152=20,R152=21),"+5",IF(OR(R152=22,R152=23),"+6",IF(OR(R152=24,R152=25),"+7",IF(OR(R152=26,R152=27),"+8",IF(OR(R152=28,R152=29),"+9",IF(R152=30,"+10"," "))))))))))))))))</f>
        <v>0</v>
      </c>
      <c r="T152" s="3" t="n">
        <v>15</v>
      </c>
      <c r="U152" s="1" t="str">
        <f aca="false">IF(T152=1,"-5",IF(OR(T152=2,T152=3),"-4",IF(OR(T152=4,T152=5),"-3",IF(OR(T152=6,T152=7),"-2",IF(OR(T152=8,T152=9),"-1",IF(OR(T152=10,T152=11),"0",IF(OR(T152=12,T152=13),"+1",IF(OR(T152=14,T152=15),"+2",IF(OR(T152=16,T152=17),"+3",IF(OR(T152=18,T152=19),"+4",IF(OR(T152=20,T152=21),"+5",IF(OR(T152=22,T152=23),"+6",IF(OR(T152=24,T152=25),"+7",IF(OR(T152=26,T152=27),"+8",IF(OR(T152=28,T152=29),"+9",IF(T152=30,"+10"," "))))))))))))))))</f>
        <v>+2</v>
      </c>
      <c r="V152" s="3" t="s">
        <v>849</v>
      </c>
      <c r="W152" s="3" t="s">
        <v>643</v>
      </c>
      <c r="X152" s="11" t="s">
        <v>850</v>
      </c>
      <c r="Y152" s="11" t="s">
        <v>851</v>
      </c>
      <c r="Z152" s="11" t="s">
        <v>37</v>
      </c>
      <c r="AA152" s="12" t="s">
        <v>37</v>
      </c>
    </row>
    <row r="153" customFormat="false" ht="16.4" hidden="false" customHeight="false" outlineLevel="0" collapsed="false">
      <c r="A153" s="7" t="s">
        <v>852</v>
      </c>
      <c r="B153" s="1" t="s">
        <v>627</v>
      </c>
      <c r="C153" s="1" t="s">
        <v>230</v>
      </c>
      <c r="D153" s="8" t="n">
        <v>16</v>
      </c>
      <c r="E153" s="9" t="n">
        <f aca="false">VLOOKUP(D153,'[1]REF Tables'!$A$2:$B$40,2)</f>
        <v>15000</v>
      </c>
      <c r="F153" s="1" t="s">
        <v>121</v>
      </c>
      <c r="G153" s="10" t="n">
        <v>19</v>
      </c>
      <c r="H153" s="1" t="s">
        <v>853</v>
      </c>
      <c r="I153" s="1" t="s">
        <v>854</v>
      </c>
      <c r="J153" s="10" t="n">
        <v>25</v>
      </c>
      <c r="K153" s="1" t="str">
        <f aca="false">IF(J153=1,"-5",IF(OR(J153=2,J153=3),"-4",IF(OR(J153=4,J153=5),"-3",IF(OR(J153=6,J153=7),"-2",IF(OR(J153=8,J153=9),"-1",IF(OR(J153=10,J153=11),"0",IF(OR(J153=12,J153=13),"+1",IF(OR(J153=14,J153=15),"+2",IF(OR(J153=16,J153=17),"+3",IF(OR(J153=18,J153=19),"+4",IF(OR(J153=20,J153=21),"+5",IF(OR(J153=22,J153=23),"+6",IF(OR(J153=24,J153=25),"+7",IF(OR(J153=26,J153=27),"+8",IF(OR(J153=28,J153=29),"+9",IF(J153=30,"+10"," "))))))))))))))))</f>
        <v>+7</v>
      </c>
      <c r="L153" s="10" t="n">
        <v>14</v>
      </c>
      <c r="M153" s="1" t="str">
        <f aca="false">IF(L153=1,"-5",IF(OR(L153=2,L153=3),"-4",IF(OR(L153=4,L153=5),"-3",IF(OR(L153=6,L153=7),"-2",IF(OR(L153=8,L153=9),"-1",IF(OR(L153=10,L153=11),"0",IF(OR(L153=12,L153=13),"+1",IF(OR(L153=14,L153=15),"+2",IF(OR(L153=16,L153=17),"+3",IF(OR(L153=18,L153=19),"+4",IF(OR(L153=20,L153=21),"+5",IF(OR(L153=22,L153=23),"+6",IF(OR(L153=24,L153=25),"+7",IF(OR(L153=26,L153=27),"+8",IF(OR(L153=28,L153=29),"+9",IF(L153=30,"+10"," "))))))))))))))))</f>
        <v>+2</v>
      </c>
      <c r="N153" s="10" t="n">
        <v>25</v>
      </c>
      <c r="O153" s="1" t="str">
        <f aca="false">IF(N153=1,"-5",IF(OR(N153=2,N153=3),"-4",IF(OR(N153=4,N153=5),"-3",IF(OR(N153=6,N153=7),"-2",IF(OR(N153=8,N153=9),"-1",IF(OR(N153=10,N153=11),"0",IF(OR(N153=12,N153=13),"+1",IF(OR(N153=14,N153=15),"+2",IF(OR(N153=16,N153=17),"+3",IF(OR(N153=18,N153=19),"+4",IF(OR(N153=20,N153=21),"+5",IF(OR(N153=22,N153=23),"+6",IF(OR(N153=24,N153=25),"+7",IF(OR(N153=26,N153=27),"+8",IF(OR(N153=28,N153=29),"+9",IF(N153=30,"+10"," "))))))))))))))))</f>
        <v>+7</v>
      </c>
      <c r="P153" s="10" t="n">
        <v>20</v>
      </c>
      <c r="Q153" s="1" t="str">
        <f aca="false">IF(P153=1,"-5",IF(OR(P153=2,P153=3),"-4",IF(OR(P153=4,P153=5),"-3",IF(OR(P153=6,P153=7),"-2",IF(OR(P153=8,P153=9),"-1",IF(OR(P153=10,P153=11),"0",IF(OR(P153=12,P153=13),"+1",IF(OR(P153=14,P153=15),"+2",IF(OR(P153=16,P153=17),"+3",IF(OR(P153=18,P153=19),"+4",IF(OR(P153=20,P153=21),"+5",IF(OR(P153=22,P153=23),"+6",IF(OR(P153=24,P153=25),"+7",IF(OR(P153=26,P153=27),"+8",IF(OR(P153=28,P153=29),"+9",IF(P153=30,"+10"," "))))))))))))))))</f>
        <v>+5</v>
      </c>
      <c r="R153" s="10" t="n">
        <v>17</v>
      </c>
      <c r="S153" s="1" t="str">
        <f aca="false">IF(R153=1,"-5",IF(OR(R153=2,R153=3),"-4",IF(OR(R153=4,R153=5),"-3",IF(OR(R153=6,R153=7),"-2",IF(OR(R153=8,R153=9),"-1",IF(OR(R153=10,R153=11),"0",IF(OR(R153=12,R153=13),"+1",IF(OR(R153=14,R153=15),"+2",IF(OR(R153=16,R153=17),"+3",IF(OR(R153=18,R153=19),"+4",IF(OR(R153=20,R153=21),"+5",IF(OR(R153=22,R153=23),"+6",IF(OR(R153=24,R153=25),"+7",IF(OR(R153=26,R153=27),"+8",IF(OR(R153=28,R153=29),"+9",IF(R153=30,"+10"," "))))))))))))))))</f>
        <v>+3</v>
      </c>
      <c r="T153" s="10" t="n">
        <v>21</v>
      </c>
      <c r="U153" s="1" t="str">
        <f aca="false">IF(T153=1,"-5",IF(OR(T153=2,T153=3),"-4",IF(OR(T153=4,T153=5),"-3",IF(OR(T153=6,T153=7),"-2",IF(OR(T153=8,T153=9),"-1",IF(OR(T153=10,T153=11),"0",IF(OR(T153=12,T153=13),"+1",IF(OR(T153=14,T153=15),"+2",IF(OR(T153=16,T153=17),"+3",IF(OR(T153=18,T153=19),"+4",IF(OR(T153=20,T153=21),"+5",IF(OR(T153=22,T153=23),"+6",IF(OR(T153=24,T153=25),"+7",IF(OR(T153=26,T153=27),"+8",IF(OR(T153=28,T153=29),"+9",IF(T153=30,"+10"," "))))))))))))))))</f>
        <v>+5</v>
      </c>
      <c r="V153" s="1" t="s">
        <v>855</v>
      </c>
      <c r="W153" s="1" t="s">
        <v>631</v>
      </c>
      <c r="X153" s="11" t="s">
        <v>856</v>
      </c>
      <c r="Y153" s="11" t="s">
        <v>857</v>
      </c>
      <c r="Z153" s="11" t="s">
        <v>37</v>
      </c>
      <c r="AA153" s="12" t="s">
        <v>858</v>
      </c>
      <c r="AB153" s="1"/>
      <c r="AC153" s="1"/>
      <c r="AD153" s="1"/>
      <c r="AE153" s="1"/>
      <c r="AF153" s="1"/>
    </row>
    <row r="154" customFormat="false" ht="16.4" hidden="false" customHeight="false" outlineLevel="0" collapsed="false">
      <c r="A154" s="15" t="s">
        <v>859</v>
      </c>
      <c r="B154" s="3" t="s">
        <v>825</v>
      </c>
      <c r="C154" s="3" t="s">
        <v>502</v>
      </c>
      <c r="D154" s="16" t="n">
        <v>16</v>
      </c>
      <c r="E154" s="6" t="n">
        <f aca="false">VLOOKUP(D154,'[1]REF Tables'!$A$2:$B$40,2)</f>
        <v>15000</v>
      </c>
      <c r="F154" s="3" t="s">
        <v>121</v>
      </c>
      <c r="G154" s="3" t="n">
        <v>19</v>
      </c>
      <c r="H154" s="3" t="s">
        <v>860</v>
      </c>
      <c r="I154" s="3" t="s">
        <v>247</v>
      </c>
      <c r="J154" s="3" t="n">
        <v>27</v>
      </c>
      <c r="K154" s="1" t="str">
        <f aca="false">IF(J154=1,"-5",IF(OR(J154=2,J154=3),"-4",IF(OR(J154=4,J154=5),"-3",IF(OR(J154=6,J154=7),"-2",IF(OR(J154=8,J154=9),"-1",IF(OR(J154=10,J154=11),"0",IF(OR(J154=12,J154=13),"+1",IF(OR(J154=14,J154=15),"+2",IF(OR(J154=16,J154=17),"+3",IF(OR(J154=18,J154=19),"+4",IF(OR(J154=20,J154=21),"+5",IF(OR(J154=22,J154=23),"+6",IF(OR(J154=24,J154=25),"+7",IF(OR(J154=26,J154=27),"+8",IF(OR(J154=28,J154=29),"+9",IF(J154=30,"+10"," "))))))))))))))))</f>
        <v>+8</v>
      </c>
      <c r="L154" s="3" t="n">
        <v>10</v>
      </c>
      <c r="M154" s="1" t="str">
        <f aca="false">IF(L154=1,"-5",IF(OR(L154=2,L154=3),"-4",IF(OR(L154=4,L154=5),"-3",IF(OR(L154=6,L154=7),"-2",IF(OR(L154=8,L154=9),"-1",IF(OR(L154=10,L154=11),"0",IF(OR(L154=12,L154=13),"+1",IF(OR(L154=14,L154=15),"+2",IF(OR(L154=16,L154=17),"+3",IF(OR(L154=18,L154=19),"+4",IF(OR(L154=20,L154=21),"+5",IF(OR(L154=22,L154=23),"+6",IF(OR(L154=24,L154=25),"+7",IF(OR(L154=26,L154=27),"+8",IF(OR(L154=28,L154=29),"+9",IF(L154=30,"+10"," "))))))))))))))))</f>
        <v>0</v>
      </c>
      <c r="N154" s="3" t="n">
        <v>25</v>
      </c>
      <c r="O154" s="1" t="str">
        <f aca="false">IF(N154=1,"-5",IF(OR(N154=2,N154=3),"-4",IF(OR(N154=4,N154=5),"-3",IF(OR(N154=6,N154=7),"-2",IF(OR(N154=8,N154=9),"-1",IF(OR(N154=10,N154=11),"0",IF(OR(N154=12,N154=13),"+1",IF(OR(N154=14,N154=15),"+2",IF(OR(N154=16,N154=17),"+3",IF(OR(N154=18,N154=19),"+4",IF(OR(N154=20,N154=21),"+5",IF(OR(N154=22,N154=23),"+6",IF(OR(N154=24,N154=25),"+7",IF(OR(N154=26,N154=27),"+8",IF(OR(N154=28,N154=29),"+9",IF(N154=30,"+10"," "))))))))))))))))</f>
        <v>+7</v>
      </c>
      <c r="P154" s="3" t="n">
        <v>16</v>
      </c>
      <c r="Q154" s="1" t="str">
        <f aca="false">IF(P154=1,"-5",IF(OR(P154=2,P154=3),"-4",IF(OR(P154=4,P154=5),"-3",IF(OR(P154=6,P154=7),"-2",IF(OR(P154=8,P154=9),"-1",IF(OR(P154=10,P154=11),"0",IF(OR(P154=12,P154=13),"+1",IF(OR(P154=14,P154=15),"+2",IF(OR(P154=16,P154=17),"+3",IF(OR(P154=18,P154=19),"+4",IF(OR(P154=20,P154=21),"+5",IF(OR(P154=22,P154=23),"+6",IF(OR(P154=24,P154=25),"+7",IF(OR(P154=26,P154=27),"+8",IF(OR(P154=28,P154=29),"+9",IF(P154=30,"+10"," "))))))))))))))))</f>
        <v>+3</v>
      </c>
      <c r="R154" s="3" t="n">
        <v>13</v>
      </c>
      <c r="S154" s="1" t="str">
        <f aca="false">IF(R154=1,"-5",IF(OR(R154=2,R154=3),"-4",IF(OR(R154=4,R154=5),"-3",IF(OR(R154=6,R154=7),"-2",IF(OR(R154=8,R154=9),"-1",IF(OR(R154=10,R154=11),"0",IF(OR(R154=12,R154=13),"+1",IF(OR(R154=14,R154=15),"+2",IF(OR(R154=16,R154=17),"+3",IF(OR(R154=18,R154=19),"+4",IF(OR(R154=20,R154=21),"+5",IF(OR(R154=22,R154=23),"+6",IF(OR(R154=24,R154=25),"+7",IF(OR(R154=26,R154=27),"+8",IF(OR(R154=28,R154=29),"+9",IF(R154=30,"+10"," "))))))))))))))))</f>
        <v>+1</v>
      </c>
      <c r="T154" s="3" t="n">
        <v>21</v>
      </c>
      <c r="U154" s="1" t="str">
        <f aca="false">IF(T154=1,"-5",IF(OR(T154=2,T154=3),"-4",IF(OR(T154=4,T154=5),"-3",IF(OR(T154=6,T154=7),"-2",IF(OR(T154=8,T154=9),"-1",IF(OR(T154=10,T154=11),"0",IF(OR(T154=12,T154=13),"+1",IF(OR(T154=14,T154=15),"+2",IF(OR(T154=16,T154=17),"+3",IF(OR(T154=18,T154=19),"+4",IF(OR(T154=20,T154=21),"+5",IF(OR(T154=22,T154=23),"+6",IF(OR(T154=24,T154=25),"+7",IF(OR(T154=26,T154=27),"+8",IF(OR(T154=28,T154=29),"+9",IF(T154=30,"+10"," "))))))))))))))))</f>
        <v>+5</v>
      </c>
      <c r="V154" s="3" t="s">
        <v>861</v>
      </c>
      <c r="W154" s="3" t="s">
        <v>643</v>
      </c>
      <c r="X154" s="11" t="s">
        <v>862</v>
      </c>
      <c r="Y154" s="11" t="s">
        <v>863</v>
      </c>
      <c r="Z154" s="11" t="s">
        <v>37</v>
      </c>
      <c r="AA154" s="12" t="s">
        <v>864</v>
      </c>
    </row>
    <row r="155" customFormat="false" ht="16.4" hidden="false" customHeight="false" outlineLevel="0" collapsed="false">
      <c r="A155" s="15" t="s">
        <v>865</v>
      </c>
      <c r="B155" s="3" t="s">
        <v>825</v>
      </c>
      <c r="C155" s="3" t="s">
        <v>502</v>
      </c>
      <c r="D155" s="16" t="n">
        <v>2</v>
      </c>
      <c r="E155" s="3" t="n">
        <f aca="false">VLOOKUP(D155,'[1]REF Tables'!$A$2:$B$40,2)</f>
        <v>450</v>
      </c>
      <c r="F155" s="3" t="s">
        <v>30</v>
      </c>
      <c r="G155" s="3" t="n">
        <v>17</v>
      </c>
      <c r="H155" s="3" t="s">
        <v>866</v>
      </c>
      <c r="I155" s="3" t="s">
        <v>388</v>
      </c>
      <c r="J155" s="3" t="n">
        <v>19</v>
      </c>
      <c r="K155" s="1" t="str">
        <f aca="false">IF(J155=1,"-5",IF(OR(J155=2,J155=3),"-4",IF(OR(J155=4,J155=5),"-3",IF(OR(J155=6,J155=7),"-2",IF(OR(J155=8,J155=9),"-1",IF(OR(J155=10,J155=11),"0",IF(OR(J155=12,J155=13),"+1",IF(OR(J155=14,J155=15),"+2",IF(OR(J155=16,J155=17),"+3",IF(OR(J155=18,J155=19),"+4",IF(OR(J155=20,J155=21),"+5",IF(OR(J155=22,J155=23),"+6",IF(OR(J155=24,J155=25),"+7",IF(OR(J155=26,J155=27),"+8",IF(OR(J155=28,J155=29),"+9",IF(J155=30,"+10"," "))))))))))))))))</f>
        <v>+4</v>
      </c>
      <c r="L155" s="3" t="n">
        <v>10</v>
      </c>
      <c r="M155" s="1" t="str">
        <f aca="false">IF(L155=1,"-5",IF(OR(L155=2,L155=3),"-4",IF(OR(L155=4,L155=5),"-3",IF(OR(L155=6,L155=7),"-2",IF(OR(L155=8,L155=9),"-1",IF(OR(L155=10,L155=11),"0",IF(OR(L155=12,L155=13),"+1",IF(OR(L155=14,L155=15),"+2",IF(OR(L155=16,L155=17),"+3",IF(OR(L155=18,L155=19),"+4",IF(OR(L155=20,L155=21),"+5",IF(OR(L155=22,L155=23),"+6",IF(OR(L155=24,L155=25),"+7",IF(OR(L155=26,L155=27),"+8",IF(OR(L155=28,L155=29),"+9",IF(L155=30,"+10"," "))))))))))))))))</f>
        <v>0</v>
      </c>
      <c r="N155" s="3" t="n">
        <v>17</v>
      </c>
      <c r="O155" s="1" t="str">
        <f aca="false">IF(N155=1,"-5",IF(OR(N155=2,N155=3),"-4",IF(OR(N155=4,N155=5),"-3",IF(OR(N155=6,N155=7),"-2",IF(OR(N155=8,N155=9),"-1",IF(OR(N155=10,N155=11),"0",IF(OR(N155=12,N155=13),"+1",IF(OR(N155=14,N155=15),"+2",IF(OR(N155=16,N155=17),"+3",IF(OR(N155=18,N155=19),"+4",IF(OR(N155=20,N155=21),"+5",IF(OR(N155=22,N155=23),"+6",IF(OR(N155=24,N155=25),"+7",IF(OR(N155=26,N155=27),"+8",IF(OR(N155=28,N155=29),"+9",IF(N155=30,"+10"," "))))))))))))))))</f>
        <v>+3</v>
      </c>
      <c r="P155" s="3" t="n">
        <v>12</v>
      </c>
      <c r="Q155" s="1" t="str">
        <f aca="false">IF(P155=1,"-5",IF(OR(P155=2,P155=3),"-4",IF(OR(P155=4,P155=5),"-3",IF(OR(P155=6,P155=7),"-2",IF(OR(P155=8,P155=9),"-1",IF(OR(P155=10,P155=11),"0",IF(OR(P155=12,P155=13),"+1",IF(OR(P155=14,P155=15),"+2",IF(OR(P155=16,P155=17),"+3",IF(OR(P155=18,P155=19),"+4",IF(OR(P155=20,P155=21),"+5",IF(OR(P155=22,P155=23),"+6",IF(OR(P155=24,P155=25),"+7",IF(OR(P155=26,P155=27),"+8",IF(OR(P155=28,P155=29),"+9",IF(P155=30,"+10"," "))))))))))))))))</f>
        <v>+1</v>
      </c>
      <c r="R155" s="3" t="n">
        <v>11</v>
      </c>
      <c r="S155" s="1" t="str">
        <f aca="false">IF(R155=1,"-5",IF(OR(R155=2,R155=3),"-4",IF(OR(R155=4,R155=5),"-3",IF(OR(R155=6,R155=7),"-2",IF(OR(R155=8,R155=9),"-1",IF(OR(R155=10,R155=11),"0",IF(OR(R155=12,R155=13),"+1",IF(OR(R155=14,R155=15),"+2",IF(OR(R155=16,R155=17),"+3",IF(OR(R155=18,R155=19),"+4",IF(OR(R155=20,R155=21),"+5",IF(OR(R155=22,R155=23),"+6",IF(OR(R155=24,R155=25),"+7",IF(OR(R155=26,R155=27),"+8",IF(OR(R155=28,R155=29),"+9",IF(R155=30,"+10"," "))))))))))))))))</f>
        <v>0</v>
      </c>
      <c r="T155" s="3" t="n">
        <v>15</v>
      </c>
      <c r="U155" s="1" t="str">
        <f aca="false">IF(T155=1,"-5",IF(OR(T155=2,T155=3),"-4",IF(OR(T155=4,T155=5),"-3",IF(OR(T155=6,T155=7),"-2",IF(OR(T155=8,T155=9),"-1",IF(OR(T155=10,T155=11),"0",IF(OR(T155=12,T155=13),"+1",IF(OR(T155=14,T155=15),"+2",IF(OR(T155=16,T155=17),"+3",IF(OR(T155=18,T155=19),"+4",IF(OR(T155=20,T155=21),"+5",IF(OR(T155=22,T155=23),"+6",IF(OR(T155=24,T155=25),"+7",IF(OR(T155=26,T155=27),"+8",IF(OR(T155=28,T155=29),"+9",IF(T155=30,"+10"," "))))))))))))))))</f>
        <v>+2</v>
      </c>
      <c r="V155" s="3" t="s">
        <v>867</v>
      </c>
      <c r="W155" s="3" t="s">
        <v>311</v>
      </c>
      <c r="X155" s="11" t="s">
        <v>793</v>
      </c>
      <c r="Y155" s="11" t="s">
        <v>868</v>
      </c>
      <c r="Z155" s="11" t="s">
        <v>37</v>
      </c>
      <c r="AA155" s="12" t="s">
        <v>37</v>
      </c>
    </row>
    <row r="156" customFormat="false" ht="16.4" hidden="false" customHeight="false" outlineLevel="0" collapsed="false">
      <c r="A156" s="15" t="s">
        <v>869</v>
      </c>
      <c r="B156" s="3" t="s">
        <v>825</v>
      </c>
      <c r="C156" s="3" t="s">
        <v>502</v>
      </c>
      <c r="D156" s="16" t="n">
        <v>9</v>
      </c>
      <c r="E156" s="6" t="n">
        <f aca="false">VLOOKUP(D156,'[1]REF Tables'!$A$2:$B$40,2)</f>
        <v>5000</v>
      </c>
      <c r="F156" s="3" t="s">
        <v>50</v>
      </c>
      <c r="G156" s="3" t="n">
        <v>18</v>
      </c>
      <c r="H156" s="3" t="s">
        <v>870</v>
      </c>
      <c r="I156" s="3" t="s">
        <v>247</v>
      </c>
      <c r="J156" s="3" t="n">
        <v>23</v>
      </c>
      <c r="K156" s="1" t="str">
        <f aca="false">IF(J156=1,"-5",IF(OR(J156=2,J156=3),"-4",IF(OR(J156=4,J156=5),"-3",IF(OR(J156=6,J156=7),"-2",IF(OR(J156=8,J156=9),"-1",IF(OR(J156=10,J156=11),"0",IF(OR(J156=12,J156=13),"+1",IF(OR(J156=14,J156=15),"+2",IF(OR(J156=16,J156=17),"+3",IF(OR(J156=18,J156=19),"+4",IF(OR(J156=20,J156=21),"+5",IF(OR(J156=22,J156=23),"+6",IF(OR(J156=24,J156=25),"+7",IF(OR(J156=26,J156=27),"+8",IF(OR(J156=28,J156=29),"+9",IF(J156=30,"+10"," "))))))))))))))))</f>
        <v>+6</v>
      </c>
      <c r="L156" s="3" t="n">
        <v>10</v>
      </c>
      <c r="M156" s="1" t="str">
        <f aca="false">IF(L156=1,"-5",IF(OR(L156=2,L156=3),"-4",IF(OR(L156=4,L156=5),"-3",IF(OR(L156=6,L156=7),"-2",IF(OR(L156=8,L156=9),"-1",IF(OR(L156=10,L156=11),"0",IF(OR(L156=12,L156=13),"+1",IF(OR(L156=14,L156=15),"+2",IF(OR(L156=16,L156=17),"+3",IF(OR(L156=18,L156=19),"+4",IF(OR(L156=20,L156=21),"+5",IF(OR(L156=22,L156=23),"+6",IF(OR(L156=24,L156=25),"+7",IF(OR(L156=26,L156=27),"+8",IF(OR(L156=28,L156=29),"+9",IF(L156=30,"+10"," "))))))))))))))))</f>
        <v>0</v>
      </c>
      <c r="N156" s="3" t="n">
        <v>21</v>
      </c>
      <c r="O156" s="1" t="str">
        <f aca="false">IF(N156=1,"-5",IF(OR(N156=2,N156=3),"-4",IF(OR(N156=4,N156=5),"-3",IF(OR(N156=6,N156=7),"-2",IF(OR(N156=8,N156=9),"-1",IF(OR(N156=10,N156=11),"0",IF(OR(N156=12,N156=13),"+1",IF(OR(N156=14,N156=15),"+2",IF(OR(N156=16,N156=17),"+3",IF(OR(N156=18,N156=19),"+4",IF(OR(N156=20,N156=21),"+5",IF(OR(N156=22,N156=23),"+6",IF(OR(N156=24,N156=25),"+7",IF(OR(N156=26,N156=27),"+8",IF(OR(N156=28,N156=29),"+9",IF(N156=30,"+10"," "))))))))))))))))</f>
        <v>+5</v>
      </c>
      <c r="P156" s="3" t="n">
        <v>14</v>
      </c>
      <c r="Q156" s="1" t="str">
        <f aca="false">IF(P156=1,"-5",IF(OR(P156=2,P156=3),"-4",IF(OR(P156=4,P156=5),"-3",IF(OR(P156=6,P156=7),"-2",IF(OR(P156=8,P156=9),"-1",IF(OR(P156=10,P156=11),"0",IF(OR(P156=12,P156=13),"+1",IF(OR(P156=14,P156=15),"+2",IF(OR(P156=16,P156=17),"+3",IF(OR(P156=18,P156=19),"+4",IF(OR(P156=20,P156=21),"+5",IF(OR(P156=22,P156=23),"+6",IF(OR(P156=24,P156=25),"+7",IF(OR(P156=26,P156=27),"+8",IF(OR(P156=28,P156=29),"+9",IF(P156=30,"+10"," "))))))))))))))))</f>
        <v>+2</v>
      </c>
      <c r="R156" s="3" t="n">
        <v>11</v>
      </c>
      <c r="S156" s="1" t="str">
        <f aca="false">IF(R156=1,"-5",IF(OR(R156=2,R156=3),"-4",IF(OR(R156=4,R156=5),"-3",IF(OR(R156=6,R156=7),"-2",IF(OR(R156=8,R156=9),"-1",IF(OR(R156=10,R156=11),"0",IF(OR(R156=12,R156=13),"+1",IF(OR(R156=14,R156=15),"+2",IF(OR(R156=16,R156=17),"+3",IF(OR(R156=18,R156=19),"+4",IF(OR(R156=20,R156=21),"+5",IF(OR(R156=22,R156=23),"+6",IF(OR(R156=24,R156=25),"+7",IF(OR(R156=26,R156=27),"+8",IF(OR(R156=28,R156=29),"+9",IF(R156=30,"+10"," "))))))))))))))))</f>
        <v>0</v>
      </c>
      <c r="T156" s="3" t="n">
        <v>19</v>
      </c>
      <c r="U156" s="1" t="str">
        <f aca="false">IF(T156=1,"-5",IF(OR(T156=2,T156=3),"-4",IF(OR(T156=4,T156=5),"-3",IF(OR(T156=6,T156=7),"-2",IF(OR(T156=8,T156=9),"-1",IF(OR(T156=10,T156=11),"0",IF(OR(T156=12,T156=13),"+1",IF(OR(T156=14,T156=15),"+2",IF(OR(T156=16,T156=17),"+3",IF(OR(T156=18,T156=19),"+4",IF(OR(T156=20,T156=21),"+5",IF(OR(T156=22,T156=23),"+6",IF(OR(T156=24,T156=25),"+7",IF(OR(T156=26,T156=27),"+8",IF(OR(T156=28,T156=29),"+9",IF(T156=30,"+10"," "))))))))))))))))</f>
        <v>+4</v>
      </c>
      <c r="V156" s="3" t="s">
        <v>871</v>
      </c>
      <c r="W156" s="3" t="s">
        <v>643</v>
      </c>
      <c r="X156" s="11" t="s">
        <v>872</v>
      </c>
      <c r="Y156" s="11" t="s">
        <v>873</v>
      </c>
      <c r="Z156" s="11" t="s">
        <v>37</v>
      </c>
      <c r="AA156" s="12" t="s">
        <v>37</v>
      </c>
    </row>
    <row r="157" customFormat="false" ht="16.4" hidden="false" customHeight="false" outlineLevel="0" collapsed="false">
      <c r="A157" s="15" t="s">
        <v>874</v>
      </c>
      <c r="B157" s="3" t="s">
        <v>825</v>
      </c>
      <c r="C157" s="3" t="s">
        <v>502</v>
      </c>
      <c r="D157" s="16" t="n">
        <v>22</v>
      </c>
      <c r="E157" s="6" t="n">
        <f aca="false">VLOOKUP(D157,'[1]REF Tables'!$A$2:$B$40,2)</f>
        <v>41000</v>
      </c>
      <c r="F157" s="3" t="s">
        <v>601</v>
      </c>
      <c r="G157" s="3" t="n">
        <v>22</v>
      </c>
      <c r="H157" s="3" t="s">
        <v>875</v>
      </c>
      <c r="I157" s="3" t="s">
        <v>876</v>
      </c>
      <c r="J157" s="3" t="n">
        <v>29</v>
      </c>
      <c r="K157" s="1" t="str">
        <f aca="false">IF(J157=1,"-5",IF(OR(J157=2,J157=3),"-4",IF(OR(J157=4,J157=5),"-3",IF(OR(J157=6,J157=7),"-2",IF(OR(J157=8,J157=9),"-1",IF(OR(J157=10,J157=11),"0",IF(OR(J157=12,J157=13),"+1",IF(OR(J157=14,J157=15),"+2",IF(OR(J157=16,J157=17),"+3",IF(OR(J157=18,J157=19),"+4",IF(OR(J157=20,J157=21),"+5",IF(OR(J157=22,J157=23),"+6",IF(OR(J157=24,J157=25),"+7",IF(OR(J157=26,J157=27),"+8",IF(OR(J157=28,J157=29),"+9",IF(J157=30,"+10"," "))))))))))))))))</f>
        <v>+9</v>
      </c>
      <c r="L157" s="3" t="n">
        <v>10</v>
      </c>
      <c r="M157" s="1" t="str">
        <f aca="false">IF(L157=1,"-5",IF(OR(L157=2,L157=3),"-4",IF(OR(L157=4,L157=5),"-3",IF(OR(L157=6,L157=7),"-2",IF(OR(L157=8,L157=9),"-1",IF(OR(L157=10,L157=11),"0",IF(OR(L157=12,L157=13),"+1",IF(OR(L157=14,L157=15),"+2",IF(OR(L157=16,L157=17),"+3",IF(OR(L157=18,L157=19),"+4",IF(OR(L157=20,L157=21),"+5",IF(OR(L157=22,L157=23),"+6",IF(OR(L157=24,L157=25),"+7",IF(OR(L157=26,L157=27),"+8",IF(OR(L157=28,L157=29),"+9",IF(L157=30,"+10"," "))))))))))))))))</f>
        <v>0</v>
      </c>
      <c r="N157" s="3" t="n">
        <v>27</v>
      </c>
      <c r="O157" s="1" t="str">
        <f aca="false">IF(N157=1,"-5",IF(OR(N157=2,N157=3),"-4",IF(OR(N157=4,N157=5),"-3",IF(OR(N157=6,N157=7),"-2",IF(OR(N157=8,N157=9),"-1",IF(OR(N157=10,N157=11),"0",IF(OR(N157=12,N157=13),"+1",IF(OR(N157=14,N157=15),"+2",IF(OR(N157=16,N157=17),"+3",IF(OR(N157=18,N157=19),"+4",IF(OR(N157=20,N157=21),"+5",IF(OR(N157=22,N157=23),"+6",IF(OR(N157=24,N157=25),"+7",IF(OR(N157=26,N157=27),"+8",IF(OR(N157=28,N157=29),"+9",IF(N157=30,"+10"," "))))))))))))))))</f>
        <v>+8</v>
      </c>
      <c r="P157" s="3" t="n">
        <v>18</v>
      </c>
      <c r="Q157" s="1" t="str">
        <f aca="false">IF(P157=1,"-5",IF(OR(P157=2,P157=3),"-4",IF(OR(P157=4,P157=5),"-3",IF(OR(P157=6,P157=7),"-2",IF(OR(P157=8,P157=9),"-1",IF(OR(P157=10,P157=11),"0",IF(OR(P157=12,P157=13),"+1",IF(OR(P157=14,P157=15),"+2",IF(OR(P157=16,P157=17),"+3",IF(OR(P157=18,P157=19),"+4",IF(OR(P157=20,P157=21),"+5",IF(OR(P157=22,P157=23),"+6",IF(OR(P157=24,P157=25),"+7",IF(OR(P157=26,P157=27),"+8",IF(OR(P157=28,P157=29),"+9",IF(P157=30,"+10"," "))))))))))))))))</f>
        <v>+4</v>
      </c>
      <c r="R157" s="3" t="n">
        <v>17</v>
      </c>
      <c r="S157" s="1" t="str">
        <f aca="false">IF(R157=1,"-5",IF(OR(R157=2,R157=3),"-4",IF(OR(R157=4,R157=5),"-3",IF(OR(R157=6,R157=7),"-2",IF(OR(R157=8,R157=9),"-1",IF(OR(R157=10,R157=11),"0",IF(OR(R157=12,R157=13),"+1",IF(OR(R157=14,R157=15),"+2",IF(OR(R157=16,R157=17),"+3",IF(OR(R157=18,R157=19),"+4",IF(OR(R157=20,R157=21),"+5",IF(OR(R157=22,R157=23),"+6",IF(OR(R157=24,R157=25),"+7",IF(OR(R157=26,R157=27),"+8",IF(OR(R157=28,R157=29),"+9",IF(R157=30,"+10"," "))))))))))))))))</f>
        <v>+3</v>
      </c>
      <c r="T157" s="3" t="n">
        <v>21</v>
      </c>
      <c r="U157" s="1" t="str">
        <f aca="false">IF(T157=1,"-5",IF(OR(T157=2,T157=3),"-4",IF(OR(T157=4,T157=5),"-3",IF(OR(T157=6,T157=7),"-2",IF(OR(T157=8,T157=9),"-1",IF(OR(T157=10,T157=11),"0",IF(OR(T157=12,T157=13),"+1",IF(OR(T157=14,T157=15),"+2",IF(OR(T157=16,T157=17),"+3",IF(OR(T157=18,T157=19),"+4",IF(OR(T157=20,T157=21),"+5",IF(OR(T157=22,T157=23),"+6",IF(OR(T157=24,T157=25),"+7",IF(OR(T157=26,T157=27),"+8",IF(OR(T157=28,T157=29),"+9",IF(T157=30,"+10"," "))))))))))))))))</f>
        <v>+5</v>
      </c>
      <c r="V157" s="3" t="s">
        <v>877</v>
      </c>
      <c r="W157" s="3" t="s">
        <v>643</v>
      </c>
      <c r="X157" s="11" t="s">
        <v>878</v>
      </c>
      <c r="Y157" s="11" t="s">
        <v>879</v>
      </c>
      <c r="Z157" s="11" t="s">
        <v>37</v>
      </c>
      <c r="AA157" s="12" t="s">
        <v>812</v>
      </c>
    </row>
    <row r="158" customFormat="false" ht="16.4" hidden="false" customHeight="false" outlineLevel="0" collapsed="false">
      <c r="A158" s="15" t="s">
        <v>880</v>
      </c>
      <c r="B158" s="3" t="s">
        <v>825</v>
      </c>
      <c r="C158" s="3" t="s">
        <v>502</v>
      </c>
      <c r="D158" s="16" t="n">
        <v>15</v>
      </c>
      <c r="E158" s="6" t="n">
        <f aca="false">VLOOKUP(D158,'[1]REF Tables'!$A$2:$B$40,2)</f>
        <v>13000</v>
      </c>
      <c r="F158" s="3" t="s">
        <v>121</v>
      </c>
      <c r="G158" s="3" t="n">
        <v>19</v>
      </c>
      <c r="H158" s="3" t="s">
        <v>881</v>
      </c>
      <c r="I158" s="3" t="s">
        <v>876</v>
      </c>
      <c r="J158" s="3" t="n">
        <v>25</v>
      </c>
      <c r="K158" s="1" t="str">
        <f aca="false">IF(J158=1,"-5",IF(OR(J158=2,J158=3),"-4",IF(OR(J158=4,J158=5),"-3",IF(OR(J158=6,J158=7),"-2",IF(OR(J158=8,J158=9),"-1",IF(OR(J158=10,J158=11),"0",IF(OR(J158=12,J158=13),"+1",IF(OR(J158=14,J158=15),"+2",IF(OR(J158=16,J158=17),"+3",IF(OR(J158=18,J158=19),"+4",IF(OR(J158=20,J158=21),"+5",IF(OR(J158=22,J158=23),"+6",IF(OR(J158=24,J158=25),"+7",IF(OR(J158=26,J158=27),"+8",IF(OR(J158=28,J158=29),"+9",IF(J158=30,"+10"," "))))))))))))))))</f>
        <v>+7</v>
      </c>
      <c r="L158" s="3" t="n">
        <v>10</v>
      </c>
      <c r="M158" s="1" t="str">
        <f aca="false">IF(L158=1,"-5",IF(OR(L158=2,L158=3),"-4",IF(OR(L158=4,L158=5),"-3",IF(OR(L158=6,L158=7),"-2",IF(OR(L158=8,L158=9),"-1",IF(OR(L158=10,L158=11),"0",IF(OR(L158=12,L158=13),"+1",IF(OR(L158=14,L158=15),"+2",IF(OR(L158=16,L158=17),"+3",IF(OR(L158=18,L158=19),"+4",IF(OR(L158=20,L158=21),"+5",IF(OR(L158=22,L158=23),"+6",IF(OR(L158=24,L158=25),"+7",IF(OR(L158=26,L158=27),"+8",IF(OR(L158=28,L158=29),"+9",IF(L158=30,"+10"," "))))))))))))))))</f>
        <v>0</v>
      </c>
      <c r="N158" s="3" t="n">
        <v>23</v>
      </c>
      <c r="O158" s="1" t="str">
        <f aca="false">IF(N158=1,"-5",IF(OR(N158=2,N158=3),"-4",IF(OR(N158=4,N158=5),"-3",IF(OR(N158=6,N158=7),"-2",IF(OR(N158=8,N158=9),"-1",IF(OR(N158=10,N158=11),"0",IF(OR(N158=12,N158=13),"+1",IF(OR(N158=14,N158=15),"+2",IF(OR(N158=16,N158=17),"+3",IF(OR(N158=18,N158=19),"+4",IF(OR(N158=20,N158=21),"+5",IF(OR(N158=22,N158=23),"+6",IF(OR(N158=24,N158=25),"+7",IF(OR(N158=26,N158=27),"+8",IF(OR(N158=28,N158=29),"+9",IF(N158=30,"+10"," "))))))))))))))))</f>
        <v>+6</v>
      </c>
      <c r="P158" s="3" t="n">
        <v>16</v>
      </c>
      <c r="Q158" s="1" t="str">
        <f aca="false">IF(P158=1,"-5",IF(OR(P158=2,P158=3),"-4",IF(OR(P158=4,P158=5),"-3",IF(OR(P158=6,P158=7),"-2",IF(OR(P158=8,P158=9),"-1",IF(OR(P158=10,P158=11),"0",IF(OR(P158=12,P158=13),"+1",IF(OR(P158=14,P158=15),"+2",IF(OR(P158=16,P158=17),"+3",IF(OR(P158=18,P158=19),"+4",IF(OR(P158=20,P158=21),"+5",IF(OR(P158=22,P158=23),"+6",IF(OR(P158=24,P158=25),"+7",IF(OR(P158=26,P158=27),"+8",IF(OR(P158=28,P158=29),"+9",IF(P158=30,"+10"," "))))))))))))))))</f>
        <v>+3</v>
      </c>
      <c r="R158" s="3" t="n">
        <v>15</v>
      </c>
      <c r="S158" s="1" t="str">
        <f aca="false">IF(R158=1,"-5",IF(OR(R158=2,R158=3),"-4",IF(OR(R158=4,R158=5),"-3",IF(OR(R158=6,R158=7),"-2",IF(OR(R158=8,R158=9),"-1",IF(OR(R158=10,R158=11),"0",IF(OR(R158=12,R158=13),"+1",IF(OR(R158=14,R158=15),"+2",IF(OR(R158=16,R158=17),"+3",IF(OR(R158=18,R158=19),"+4",IF(OR(R158=20,R158=21),"+5",IF(OR(R158=22,R158=23),"+6",IF(OR(R158=24,R158=25),"+7",IF(OR(R158=26,R158=27),"+8",IF(OR(R158=28,R158=29),"+9",IF(R158=30,"+10"," "))))))))))))))))</f>
        <v>+2</v>
      </c>
      <c r="T158" s="3" t="n">
        <v>19</v>
      </c>
      <c r="U158" s="1" t="str">
        <f aca="false">IF(T158=1,"-5",IF(OR(T158=2,T158=3),"-4",IF(OR(T158=4,T158=5),"-3",IF(OR(T158=6,T158=7),"-2",IF(OR(T158=8,T158=9),"-1",IF(OR(T158=10,T158=11),"0",IF(OR(T158=12,T158=13),"+1",IF(OR(T158=14,T158=15),"+2",IF(OR(T158=16,T158=17),"+3",IF(OR(T158=18,T158=19),"+4",IF(OR(T158=20,T158=21),"+5",IF(OR(T158=22,T158=23),"+6",IF(OR(T158=24,T158=25),"+7",IF(OR(T158=26,T158=27),"+8",IF(OR(T158=28,T158=29),"+9",IF(T158=30,"+10"," "))))))))))))))))</f>
        <v>+4</v>
      </c>
      <c r="V158" s="3" t="s">
        <v>882</v>
      </c>
      <c r="W158" s="3" t="s">
        <v>643</v>
      </c>
      <c r="X158" s="11" t="s">
        <v>883</v>
      </c>
      <c r="Y158" s="11" t="s">
        <v>884</v>
      </c>
      <c r="Z158" s="11" t="s">
        <v>37</v>
      </c>
      <c r="AA158" s="12" t="s">
        <v>885</v>
      </c>
    </row>
    <row r="159" customFormat="false" ht="16.4" hidden="false" customHeight="false" outlineLevel="0" collapsed="false">
      <c r="A159" s="15" t="s">
        <v>886</v>
      </c>
      <c r="B159" s="3" t="s">
        <v>825</v>
      </c>
      <c r="C159" s="3" t="s">
        <v>502</v>
      </c>
      <c r="D159" s="16" t="n">
        <v>2</v>
      </c>
      <c r="E159" s="3" t="n">
        <f aca="false">VLOOKUP(D159,'[1]REF Tables'!$A$2:$B$40,2)</f>
        <v>450</v>
      </c>
      <c r="F159" s="3" t="s">
        <v>30</v>
      </c>
      <c r="G159" s="3" t="n">
        <v>17</v>
      </c>
      <c r="H159" s="3" t="s">
        <v>790</v>
      </c>
      <c r="I159" s="3" t="s">
        <v>887</v>
      </c>
      <c r="J159" s="3" t="n">
        <v>17</v>
      </c>
      <c r="K159" s="1" t="str">
        <f aca="false">IF(J159=1,"-5",IF(OR(J159=2,J159=3),"-4",IF(OR(J159=4,J159=5),"-3",IF(OR(J159=6,J159=7),"-2",IF(OR(J159=8,J159=9),"-1",IF(OR(J159=10,J159=11),"0",IF(OR(J159=12,J159=13),"+1",IF(OR(J159=14,J159=15),"+2",IF(OR(J159=16,J159=17),"+3",IF(OR(J159=18,J159=19),"+4",IF(OR(J159=20,J159=21),"+5",IF(OR(J159=22,J159=23),"+6",IF(OR(J159=24,J159=25),"+7",IF(OR(J159=26,J159=27),"+8",IF(OR(J159=28,J159=29),"+9",IF(J159=30,"+10"," "))))))))))))))))</f>
        <v>+3</v>
      </c>
      <c r="L159" s="3" t="n">
        <v>10</v>
      </c>
      <c r="M159" s="1" t="str">
        <f aca="false">IF(L159=1,"-5",IF(OR(L159=2,L159=3),"-4",IF(OR(L159=4,L159=5),"-3",IF(OR(L159=6,L159=7),"-2",IF(OR(L159=8,L159=9),"-1",IF(OR(L159=10,L159=11),"0",IF(OR(L159=12,L159=13),"+1",IF(OR(L159=14,L159=15),"+2",IF(OR(L159=16,L159=17),"+3",IF(OR(L159=18,L159=19),"+4",IF(OR(L159=20,L159=21),"+5",IF(OR(L159=22,L159=23),"+6",IF(OR(L159=24,L159=25),"+7",IF(OR(L159=26,L159=27),"+8",IF(OR(L159=28,L159=29),"+9",IF(L159=30,"+10"," "))))))))))))))))</f>
        <v>0</v>
      </c>
      <c r="N159" s="3" t="n">
        <v>15</v>
      </c>
      <c r="O159" s="1" t="str">
        <f aca="false">IF(N159=1,"-5",IF(OR(N159=2,N159=3),"-4",IF(OR(N159=4,N159=5),"-3",IF(OR(N159=6,N159=7),"-2",IF(OR(N159=8,N159=9),"-1",IF(OR(N159=10,N159=11),"0",IF(OR(N159=12,N159=13),"+1",IF(OR(N159=14,N159=15),"+2",IF(OR(N159=16,N159=17),"+3",IF(OR(N159=18,N159=19),"+4",IF(OR(N159=20,N159=21),"+5",IF(OR(N159=22,N159=23),"+6",IF(OR(N159=24,N159=25),"+7",IF(OR(N159=26,N159=27),"+8",IF(OR(N159=28,N159=29),"+9",IF(N159=30,"+10"," "))))))))))))))))</f>
        <v>+2</v>
      </c>
      <c r="P159" s="3" t="n">
        <v>12</v>
      </c>
      <c r="Q159" s="1" t="str">
        <f aca="false">IF(P159=1,"-5",IF(OR(P159=2,P159=3),"-4",IF(OR(P159=4,P159=5),"-3",IF(OR(P159=6,P159=7),"-2",IF(OR(P159=8,P159=9),"-1",IF(OR(P159=10,P159=11),"0",IF(OR(P159=12,P159=13),"+1",IF(OR(P159=14,P159=15),"+2",IF(OR(P159=16,P159=17),"+3",IF(OR(P159=18,P159=19),"+4",IF(OR(P159=20,P159=21),"+5",IF(OR(P159=22,P159=23),"+6",IF(OR(P159=24,P159=25),"+7",IF(OR(P159=26,P159=27),"+8",IF(OR(P159=28,P159=29),"+9",IF(P159=30,"+10"," "))))))))))))))))</f>
        <v>+1</v>
      </c>
      <c r="R159" s="3" t="n">
        <v>11</v>
      </c>
      <c r="S159" s="1" t="str">
        <f aca="false">IF(R159=1,"-5",IF(OR(R159=2,R159=3),"-4",IF(OR(R159=4,R159=5),"-3",IF(OR(R159=6,R159=7),"-2",IF(OR(R159=8,R159=9),"-1",IF(OR(R159=10,R159=11),"0",IF(OR(R159=12,R159=13),"+1",IF(OR(R159=14,R159=15),"+2",IF(OR(R159=16,R159=17),"+3",IF(OR(R159=18,R159=19),"+4",IF(OR(R159=20,R159=21),"+5",IF(OR(R159=22,R159=23),"+6",IF(OR(R159=24,R159=25),"+7",IF(OR(R159=26,R159=27),"+8",IF(OR(R159=28,R159=29),"+9",IF(R159=30,"+10"," "))))))))))))))))</f>
        <v>0</v>
      </c>
      <c r="T159" s="3" t="n">
        <v>15</v>
      </c>
      <c r="U159" s="1" t="str">
        <f aca="false">IF(T159=1,"-5",IF(OR(T159=2,T159=3),"-4",IF(OR(T159=4,T159=5),"-3",IF(OR(T159=6,T159=7),"-2",IF(OR(T159=8,T159=9),"-1",IF(OR(T159=10,T159=11),"0",IF(OR(T159=12,T159=13),"+1",IF(OR(T159=14,T159=15),"+2",IF(OR(T159=16,T159=17),"+3",IF(OR(T159=18,T159=19),"+4",IF(OR(T159=20,T159=21),"+5",IF(OR(T159=22,T159=23),"+6",IF(OR(T159=24,T159=25),"+7",IF(OR(T159=26,T159=27),"+8",IF(OR(T159=28,T159=29),"+9",IF(T159=30,"+10"," "))))))))))))))))</f>
        <v>+2</v>
      </c>
      <c r="V159" s="3" t="s">
        <v>815</v>
      </c>
      <c r="W159" s="3" t="s">
        <v>311</v>
      </c>
      <c r="X159" s="11" t="s">
        <v>888</v>
      </c>
      <c r="Y159" s="11" t="s">
        <v>889</v>
      </c>
      <c r="Z159" s="11" t="s">
        <v>37</v>
      </c>
      <c r="AA159" s="12" t="s">
        <v>37</v>
      </c>
    </row>
    <row r="160" customFormat="false" ht="16.4" hidden="false" customHeight="false" outlineLevel="0" collapsed="false">
      <c r="A160" s="15" t="s">
        <v>890</v>
      </c>
      <c r="B160" s="3" t="s">
        <v>825</v>
      </c>
      <c r="C160" s="3" t="s">
        <v>502</v>
      </c>
      <c r="D160" s="16" t="n">
        <v>8</v>
      </c>
      <c r="E160" s="6" t="n">
        <f aca="false">VLOOKUP(D160,'[1]REF Tables'!$A$2:$B$40,2)</f>
        <v>3900</v>
      </c>
      <c r="F160" s="3" t="s">
        <v>50</v>
      </c>
      <c r="G160" s="3" t="n">
        <v>18</v>
      </c>
      <c r="H160" s="3" t="s">
        <v>891</v>
      </c>
      <c r="I160" s="3" t="s">
        <v>876</v>
      </c>
      <c r="J160" s="3" t="n">
        <v>21</v>
      </c>
      <c r="K160" s="1" t="str">
        <f aca="false">IF(J160=1,"-5",IF(OR(J160=2,J160=3),"-4",IF(OR(J160=4,J160=5),"-3",IF(OR(J160=6,J160=7),"-2",IF(OR(J160=8,J160=9),"-1",IF(OR(J160=10,J160=11),"0",IF(OR(J160=12,J160=13),"+1",IF(OR(J160=14,J160=15),"+2",IF(OR(J160=16,J160=17),"+3",IF(OR(J160=18,J160=19),"+4",IF(OR(J160=20,J160=21),"+5",IF(OR(J160=22,J160=23),"+6",IF(OR(J160=24,J160=25),"+7",IF(OR(J160=26,J160=27),"+8",IF(OR(J160=28,J160=29),"+9",IF(J160=30,"+10"," "))))))))))))))))</f>
        <v>+5</v>
      </c>
      <c r="L160" s="3" t="n">
        <v>10</v>
      </c>
      <c r="M160" s="1" t="str">
        <f aca="false">IF(L160=1,"-5",IF(OR(L160=2,L160=3),"-4",IF(OR(L160=4,L160=5),"-3",IF(OR(L160=6,L160=7),"-2",IF(OR(L160=8,L160=9),"-1",IF(OR(L160=10,L160=11),"0",IF(OR(L160=12,L160=13),"+1",IF(OR(L160=14,L160=15),"+2",IF(OR(L160=16,L160=17),"+3",IF(OR(L160=18,L160=19),"+4",IF(OR(L160=20,L160=21),"+5",IF(OR(L160=22,L160=23),"+6",IF(OR(L160=24,L160=25),"+7",IF(OR(L160=26,L160=27),"+8",IF(OR(L160=28,L160=29),"+9",IF(L160=30,"+10"," "))))))))))))))))</f>
        <v>0</v>
      </c>
      <c r="N160" s="3" t="n">
        <v>19</v>
      </c>
      <c r="O160" s="1" t="str">
        <f aca="false">IF(N160=1,"-5",IF(OR(N160=2,N160=3),"-4",IF(OR(N160=4,N160=5),"-3",IF(OR(N160=6,N160=7),"-2",IF(OR(N160=8,N160=9),"-1",IF(OR(N160=10,N160=11),"0",IF(OR(N160=12,N160=13),"+1",IF(OR(N160=14,N160=15),"+2",IF(OR(N160=16,N160=17),"+3",IF(OR(N160=18,N160=19),"+4",IF(OR(N160=20,N160=21),"+5",IF(OR(N160=22,N160=23),"+6",IF(OR(N160=24,N160=25),"+7",IF(OR(N160=26,N160=27),"+8",IF(OR(N160=28,N160=29),"+9",IF(N160=30,"+10"," "))))))))))))))))</f>
        <v>+4</v>
      </c>
      <c r="P160" s="3" t="n">
        <v>14</v>
      </c>
      <c r="Q160" s="1" t="str">
        <f aca="false">IF(P160=1,"-5",IF(OR(P160=2,P160=3),"-4",IF(OR(P160=4,P160=5),"-3",IF(OR(P160=6,P160=7),"-2",IF(OR(P160=8,P160=9),"-1",IF(OR(P160=10,P160=11),"0",IF(OR(P160=12,P160=13),"+1",IF(OR(P160=14,P160=15),"+2",IF(OR(P160=16,P160=17),"+3",IF(OR(P160=18,P160=19),"+4",IF(OR(P160=20,P160=21),"+5",IF(OR(P160=22,P160=23),"+6",IF(OR(P160=24,P160=25),"+7",IF(OR(P160=26,P160=27),"+8",IF(OR(P160=28,P160=29),"+9",IF(P160=30,"+10"," "))))))))))))))))</f>
        <v>+2</v>
      </c>
      <c r="R160" s="3" t="n">
        <v>13</v>
      </c>
      <c r="S160" s="1" t="str">
        <f aca="false">IF(R160=1,"-5",IF(OR(R160=2,R160=3),"-4",IF(OR(R160=4,R160=5),"-3",IF(OR(R160=6,R160=7),"-2",IF(OR(R160=8,R160=9),"-1",IF(OR(R160=10,R160=11),"0",IF(OR(R160=12,R160=13),"+1",IF(OR(R160=14,R160=15),"+2",IF(OR(R160=16,R160=17),"+3",IF(OR(R160=18,R160=19),"+4",IF(OR(R160=20,R160=21),"+5",IF(OR(R160=22,R160=23),"+6",IF(OR(R160=24,R160=25),"+7",IF(OR(R160=26,R160=27),"+8",IF(OR(R160=28,R160=29),"+9",IF(R160=30,"+10"," "))))))))))))))))</f>
        <v>+1</v>
      </c>
      <c r="T160" s="3" t="n">
        <v>17</v>
      </c>
      <c r="U160" s="1" t="str">
        <f aca="false">IF(T160=1,"-5",IF(OR(T160=2,T160=3),"-4",IF(OR(T160=4,T160=5),"-3",IF(OR(T160=6,T160=7),"-2",IF(OR(T160=8,T160=9),"-1",IF(OR(T160=10,T160=11),"0",IF(OR(T160=12,T160=13),"+1",IF(OR(T160=14,T160=15),"+2",IF(OR(T160=16,T160=17),"+3",IF(OR(T160=18,T160=19),"+4",IF(OR(T160=20,T160=21),"+5",IF(OR(T160=22,T160=23),"+6",IF(OR(T160=24,T160=25),"+7",IF(OR(T160=26,T160=27),"+8",IF(OR(T160=28,T160=29),"+9",IF(T160=30,"+10"," "))))))))))))))))</f>
        <v>+3</v>
      </c>
      <c r="V160" s="3" t="s">
        <v>892</v>
      </c>
      <c r="W160" s="3" t="s">
        <v>643</v>
      </c>
      <c r="X160" s="11" t="s">
        <v>893</v>
      </c>
      <c r="Y160" s="11" t="s">
        <v>894</v>
      </c>
      <c r="Z160" s="11" t="s">
        <v>37</v>
      </c>
      <c r="AA160" s="12" t="s">
        <v>37</v>
      </c>
    </row>
    <row r="161" customFormat="false" ht="16.4" hidden="false" customHeight="false" outlineLevel="0" collapsed="false">
      <c r="A161" s="7" t="s">
        <v>895</v>
      </c>
      <c r="B161" s="1" t="s">
        <v>627</v>
      </c>
      <c r="C161" s="1" t="s">
        <v>590</v>
      </c>
      <c r="D161" s="8" t="n">
        <v>12</v>
      </c>
      <c r="E161" s="9" t="n">
        <f aca="false">VLOOKUP(D161,'[1]REF Tables'!$A$2:$B$40,2)</f>
        <v>8400</v>
      </c>
      <c r="F161" s="1" t="s">
        <v>121</v>
      </c>
      <c r="G161" s="10" t="n">
        <v>16</v>
      </c>
      <c r="H161" s="1" t="s">
        <v>896</v>
      </c>
      <c r="I161" s="1" t="s">
        <v>897</v>
      </c>
      <c r="J161" s="10" t="n">
        <v>21</v>
      </c>
      <c r="K161" s="1" t="str">
        <f aca="false">IF(J161=1,"-5",IF(OR(J161=2,J161=3),"-4",IF(OR(J161=4,J161=5),"-3",IF(OR(J161=6,J161=7),"-2",IF(OR(J161=8,J161=9),"-1",IF(OR(J161=10,J161=11),"0",IF(OR(J161=12,J161=13),"+1",IF(OR(J161=14,J161=15),"+2",IF(OR(J161=16,J161=17),"+3",IF(OR(J161=18,J161=19),"+4",IF(OR(J161=20,J161=21),"+5",IF(OR(J161=22,J161=23),"+6",IF(OR(J161=24,J161=25),"+7",IF(OR(J161=26,J161=27),"+8",IF(OR(J161=28,J161=29),"+9",IF(J161=30,"+10"," "))))))))))))))))</f>
        <v>+5</v>
      </c>
      <c r="L161" s="10" t="n">
        <v>12</v>
      </c>
      <c r="M161" s="1" t="str">
        <f aca="false">IF(L161=1,"-5",IF(OR(L161=2,L161=3),"-4",IF(OR(L161=4,L161=5),"-3",IF(OR(L161=6,L161=7),"-2",IF(OR(L161=8,L161=9),"-1",IF(OR(L161=10,L161=11),"0",IF(OR(L161=12,L161=13),"+1",IF(OR(L161=14,L161=15),"+2",IF(OR(L161=16,L161=17),"+3",IF(OR(L161=18,L161=19),"+4",IF(OR(L161=20,L161=21),"+5",IF(OR(L161=22,L161=23),"+6",IF(OR(L161=24,L161=25),"+7",IF(OR(L161=26,L161=27),"+8",IF(OR(L161=28,L161=29),"+9",IF(L161=30,"+10"," "))))))))))))))))</f>
        <v>+1</v>
      </c>
      <c r="N161" s="10" t="n">
        <v>21</v>
      </c>
      <c r="O161" s="1" t="str">
        <f aca="false">IF(N161=1,"-5",IF(OR(N161=2,N161=3),"-4",IF(OR(N161=4,N161=5),"-3",IF(OR(N161=6,N161=7),"-2",IF(OR(N161=8,N161=9),"-1",IF(OR(N161=10,N161=11),"0",IF(OR(N161=12,N161=13),"+1",IF(OR(N161=14,N161=15),"+2",IF(OR(N161=16,N161=17),"+3",IF(OR(N161=18,N161=19),"+4",IF(OR(N161=20,N161=21),"+5",IF(OR(N161=22,N161=23),"+6",IF(OR(N161=24,N161=25),"+7",IF(OR(N161=26,N161=27),"+8",IF(OR(N161=28,N161=29),"+9",IF(N161=30,"+10"," "))))))))))))))))</f>
        <v>+5</v>
      </c>
      <c r="P161" s="10" t="n">
        <v>18</v>
      </c>
      <c r="Q161" s="1" t="str">
        <f aca="false">IF(P161=1,"-5",IF(OR(P161=2,P161=3),"-4",IF(OR(P161=4,P161=5),"-3",IF(OR(P161=6,P161=7),"-2",IF(OR(P161=8,P161=9),"-1",IF(OR(P161=10,P161=11),"0",IF(OR(P161=12,P161=13),"+1",IF(OR(P161=14,P161=15),"+2",IF(OR(P161=16,P161=17),"+3",IF(OR(P161=18,P161=19),"+4",IF(OR(P161=20,P161=21),"+5",IF(OR(P161=22,P161=23),"+6",IF(OR(P161=24,P161=25),"+7",IF(OR(P161=26,P161=27),"+8",IF(OR(P161=28,P161=29),"+9",IF(P161=30,"+10"," "))))))))))))))))</f>
        <v>+4</v>
      </c>
      <c r="R161" s="10" t="n">
        <v>15</v>
      </c>
      <c r="S161" s="1" t="str">
        <f aca="false">IF(R161=1,"-5",IF(OR(R161=2,R161=3),"-4",IF(OR(R161=4,R161=5),"-3",IF(OR(R161=6,R161=7),"-2",IF(OR(R161=8,R161=9),"-1",IF(OR(R161=10,R161=11),"0",IF(OR(R161=12,R161=13),"+1",IF(OR(R161=14,R161=15),"+2",IF(OR(R161=16,R161=17),"+3",IF(OR(R161=18,R161=19),"+4",IF(OR(R161=20,R161=21),"+5",IF(OR(R161=22,R161=23),"+6",IF(OR(R161=24,R161=25),"+7",IF(OR(R161=26,R161=27),"+8",IF(OR(R161=28,R161=29),"+9",IF(R161=30,"+10"," "))))))))))))))))</f>
        <v>+2</v>
      </c>
      <c r="T161" s="10" t="n">
        <v>19</v>
      </c>
      <c r="U161" s="1" t="str">
        <f aca="false">IF(T161=1,"-5",IF(OR(T161=2,T161=3),"-4",IF(OR(T161=4,T161=5),"-3",IF(OR(T161=6,T161=7),"-2",IF(OR(T161=8,T161=9),"-1",IF(OR(T161=10,T161=11),"0",IF(OR(T161=12,T161=13),"+1",IF(OR(T161=14,T161=15),"+2",IF(OR(T161=16,T161=17),"+3",IF(OR(T161=18,T161=19),"+4",IF(OR(T161=20,T161=21),"+5",IF(OR(T161=22,T161=23),"+6",IF(OR(T161=24,T161=25),"+7",IF(OR(T161=26,T161=27),"+8",IF(OR(T161=28,T161=29),"+9",IF(T161=30,"+10"," "))))))))))))))))</f>
        <v>+4</v>
      </c>
      <c r="V161" s="1" t="s">
        <v>898</v>
      </c>
      <c r="W161" s="1" t="s">
        <v>631</v>
      </c>
      <c r="X161" s="11" t="s">
        <v>899</v>
      </c>
      <c r="Y161" s="11" t="s">
        <v>900</v>
      </c>
      <c r="Z161" s="11" t="s">
        <v>37</v>
      </c>
      <c r="AA161" s="12" t="s">
        <v>901</v>
      </c>
    </row>
    <row r="162" customFormat="false" ht="16.4" hidden="false" customHeight="false" outlineLevel="0" collapsed="false">
      <c r="A162" s="15" t="s">
        <v>902</v>
      </c>
      <c r="B162" s="3" t="s">
        <v>825</v>
      </c>
      <c r="C162" s="3" t="s">
        <v>748</v>
      </c>
      <c r="D162" s="16" t="n">
        <v>14</v>
      </c>
      <c r="E162" s="6" t="n">
        <f aca="false">VLOOKUP(D162,'[1]REF Tables'!$A$2:$B$40,2)</f>
        <v>11500</v>
      </c>
      <c r="F162" s="3" t="s">
        <v>121</v>
      </c>
      <c r="G162" s="3" t="n">
        <v>18</v>
      </c>
      <c r="H162" s="3" t="s">
        <v>903</v>
      </c>
      <c r="I162" s="3" t="s">
        <v>904</v>
      </c>
      <c r="J162" s="3" t="n">
        <v>23</v>
      </c>
      <c r="K162" s="1" t="str">
        <f aca="false">IF(J162=1,"-5",IF(OR(J162=2,J162=3),"-4",IF(OR(J162=4,J162=5),"-3",IF(OR(J162=6,J162=7),"-2",IF(OR(J162=8,J162=9),"-1",IF(OR(J162=10,J162=11),"0",IF(OR(J162=12,J162=13),"+1",IF(OR(J162=14,J162=15),"+2",IF(OR(J162=16,J162=17),"+3",IF(OR(J162=18,J162=19),"+4",IF(OR(J162=20,J162=21),"+5",IF(OR(J162=22,J162=23),"+6",IF(OR(J162=24,J162=25),"+7",IF(OR(J162=26,J162=27),"+8",IF(OR(J162=28,J162=29),"+9",IF(J162=30,"+10"," "))))))))))))))))</f>
        <v>+6</v>
      </c>
      <c r="L162" s="3" t="n">
        <v>12</v>
      </c>
      <c r="M162" s="1" t="str">
        <f aca="false">IF(L162=1,"-5",IF(OR(L162=2,L162=3),"-4",IF(OR(L162=4,L162=5),"-3",IF(OR(L162=6,L162=7),"-2",IF(OR(L162=8,L162=9),"-1",IF(OR(L162=10,L162=11),"0",IF(OR(L162=12,L162=13),"+1",IF(OR(L162=14,L162=15),"+2",IF(OR(L162=16,L162=17),"+3",IF(OR(L162=18,L162=19),"+4",IF(OR(L162=20,L162=21),"+5",IF(OR(L162=22,L162=23),"+6",IF(OR(L162=24,L162=25),"+7",IF(OR(L162=26,L162=27),"+8",IF(OR(L162=28,L162=29),"+9",IF(L162=30,"+10"," "))))))))))))))))</f>
        <v>+1</v>
      </c>
      <c r="N162" s="3" t="n">
        <v>21</v>
      </c>
      <c r="O162" s="1" t="str">
        <f aca="false">IF(N162=1,"-5",IF(OR(N162=2,N162=3),"-4",IF(OR(N162=4,N162=5),"-3",IF(OR(N162=6,N162=7),"-2",IF(OR(N162=8,N162=9),"-1",IF(OR(N162=10,N162=11),"0",IF(OR(N162=12,N162=13),"+1",IF(OR(N162=14,N162=15),"+2",IF(OR(N162=16,N162=17),"+3",IF(OR(N162=18,N162=19),"+4",IF(OR(N162=20,N162=21),"+5",IF(OR(N162=22,N162=23),"+6",IF(OR(N162=24,N162=25),"+7",IF(OR(N162=26,N162=27),"+8",IF(OR(N162=28,N162=29),"+9",IF(N162=30,"+10"," "))))))))))))))))</f>
        <v>+5</v>
      </c>
      <c r="P162" s="3" t="n">
        <v>18</v>
      </c>
      <c r="Q162" s="1" t="str">
        <f aca="false">IF(P162=1,"-5",IF(OR(P162=2,P162=3),"-4",IF(OR(P162=4,P162=5),"-3",IF(OR(P162=6,P162=7),"-2",IF(OR(P162=8,P162=9),"-1",IF(OR(P162=10,P162=11),"0",IF(OR(P162=12,P162=13),"+1",IF(OR(P162=14,P162=15),"+2",IF(OR(P162=16,P162=17),"+3",IF(OR(P162=18,P162=19),"+4",IF(OR(P162=20,P162=21),"+5",IF(OR(P162=22,P162=23),"+6",IF(OR(P162=24,P162=25),"+7",IF(OR(P162=26,P162=27),"+8",IF(OR(P162=28,P162=29),"+9",IF(P162=30,"+10"," "))))))))))))))))</f>
        <v>+4</v>
      </c>
      <c r="R162" s="3" t="n">
        <v>15</v>
      </c>
      <c r="S162" s="1" t="str">
        <f aca="false">IF(R162=1,"-5",IF(OR(R162=2,R162=3),"-4",IF(OR(R162=4,R162=5),"-3",IF(OR(R162=6,R162=7),"-2",IF(OR(R162=8,R162=9),"-1",IF(OR(R162=10,R162=11),"0",IF(OR(R162=12,R162=13),"+1",IF(OR(R162=14,R162=15),"+2",IF(OR(R162=16,R162=17),"+3",IF(OR(R162=18,R162=19),"+4",IF(OR(R162=20,R162=21),"+5",IF(OR(R162=22,R162=23),"+6",IF(OR(R162=24,R162=25),"+7",IF(OR(R162=26,R162=27),"+8",IF(OR(R162=28,R162=29),"+9",IF(R162=30,"+10"," "))))))))))))))))</f>
        <v>+2</v>
      </c>
      <c r="T162" s="3" t="n">
        <v>17</v>
      </c>
      <c r="U162" s="1" t="str">
        <f aca="false">IF(T162=1,"-5",IF(OR(T162=2,T162=3),"-4",IF(OR(T162=4,T162=5),"-3",IF(OR(T162=6,T162=7),"-2",IF(OR(T162=8,T162=9),"-1",IF(OR(T162=10,T162=11),"0",IF(OR(T162=12,T162=13),"+1",IF(OR(T162=14,T162=15),"+2",IF(OR(T162=16,T162=17),"+3",IF(OR(T162=18,T162=19),"+4",IF(OR(T162=20,T162=21),"+5",IF(OR(T162=22,T162=23),"+6",IF(OR(T162=24,T162=25),"+7",IF(OR(T162=26,T162=27),"+8",IF(OR(T162=28,T162=29),"+9",IF(T162=30,"+10"," "))))))))))))))))</f>
        <v>+3</v>
      </c>
      <c r="V162" s="3" t="s">
        <v>905</v>
      </c>
      <c r="W162" s="3" t="s">
        <v>643</v>
      </c>
      <c r="X162" s="11" t="s">
        <v>906</v>
      </c>
      <c r="Y162" s="11" t="s">
        <v>907</v>
      </c>
      <c r="Z162" s="11" t="s">
        <v>37</v>
      </c>
      <c r="AA162" s="12" t="s">
        <v>837</v>
      </c>
    </row>
    <row r="163" customFormat="false" ht="16.4" hidden="false" customHeight="false" outlineLevel="0" collapsed="false">
      <c r="A163" s="15" t="s">
        <v>908</v>
      </c>
      <c r="B163" s="3" t="s">
        <v>825</v>
      </c>
      <c r="C163" s="3" t="s">
        <v>748</v>
      </c>
      <c r="D163" s="16" t="n">
        <v>21</v>
      </c>
      <c r="E163" s="6" t="n">
        <f aca="false">VLOOKUP(D163,'[1]REF Tables'!$A$2:$B$40,2)</f>
        <v>33000</v>
      </c>
      <c r="F163" s="3" t="s">
        <v>601</v>
      </c>
      <c r="G163" s="3" t="n">
        <v>21</v>
      </c>
      <c r="H163" s="3" t="s">
        <v>909</v>
      </c>
      <c r="I163" s="3" t="s">
        <v>904</v>
      </c>
      <c r="J163" s="3" t="n">
        <v>27</v>
      </c>
      <c r="K163" s="1" t="str">
        <f aca="false">IF(J163=1,"-5",IF(OR(J163=2,J163=3),"-4",IF(OR(J163=4,J163=5),"-3",IF(OR(J163=6,J163=7),"-2",IF(OR(J163=8,J163=9),"-1",IF(OR(J163=10,J163=11),"0",IF(OR(J163=12,J163=13),"+1",IF(OR(J163=14,J163=15),"+2",IF(OR(J163=16,J163=17),"+3",IF(OR(J163=18,J163=19),"+4",IF(OR(J163=20,J163=21),"+5",IF(OR(J163=22,J163=23),"+6",IF(OR(J163=24,J163=25),"+7",IF(OR(J163=26,J163=27),"+8",IF(OR(J163=28,J163=29),"+9",IF(J163=30,"+10"," "))))))))))))))))</f>
        <v>+8</v>
      </c>
      <c r="L163" s="3" t="n">
        <v>12</v>
      </c>
      <c r="M163" s="1" t="str">
        <f aca="false">IF(L163=1,"-5",IF(OR(L163=2,L163=3),"-4",IF(OR(L163=4,L163=5),"-3",IF(OR(L163=6,L163=7),"-2",IF(OR(L163=8,L163=9),"-1",IF(OR(L163=10,L163=11),"0",IF(OR(L163=12,L163=13),"+1",IF(OR(L163=14,L163=15),"+2",IF(OR(L163=16,L163=17),"+3",IF(OR(L163=18,L163=19),"+4",IF(OR(L163=20,L163=21),"+5",IF(OR(L163=22,L163=23),"+6",IF(OR(L163=24,L163=25),"+7",IF(OR(L163=26,L163=27),"+8",IF(OR(L163=28,L163=29),"+9",IF(L163=30,"+10"," "))))))))))))))))</f>
        <v>+1</v>
      </c>
      <c r="N163" s="3" t="n">
        <v>25</v>
      </c>
      <c r="O163" s="1" t="str">
        <f aca="false">IF(N163=1,"-5",IF(OR(N163=2,N163=3),"-4",IF(OR(N163=4,N163=5),"-3",IF(OR(N163=6,N163=7),"-2",IF(OR(N163=8,N163=9),"-1",IF(OR(N163=10,N163=11),"0",IF(OR(N163=12,N163=13),"+1",IF(OR(N163=14,N163=15),"+2",IF(OR(N163=16,N163=17),"+3",IF(OR(N163=18,N163=19),"+4",IF(OR(N163=20,N163=21),"+5",IF(OR(N163=22,N163=23),"+6",IF(OR(N163=24,N163=25),"+7",IF(OR(N163=26,N163=27),"+8",IF(OR(N163=28,N163=29),"+9",IF(N163=30,"+10"," "))))))))))))))))</f>
        <v>+7</v>
      </c>
      <c r="P163" s="3" t="n">
        <v>20</v>
      </c>
      <c r="Q163" s="1" t="str">
        <f aca="false">IF(P163=1,"-5",IF(OR(P163=2,P163=3),"-4",IF(OR(P163=4,P163=5),"-3",IF(OR(P163=6,P163=7),"-2",IF(OR(P163=8,P163=9),"-1",IF(OR(P163=10,P163=11),"0",IF(OR(P163=12,P163=13),"+1",IF(OR(P163=14,P163=15),"+2",IF(OR(P163=16,P163=17),"+3",IF(OR(P163=18,P163=19),"+4",IF(OR(P163=20,P163=21),"+5",IF(OR(P163=22,P163=23),"+6",IF(OR(P163=24,P163=25),"+7",IF(OR(P163=26,P163=27),"+8",IF(OR(P163=28,P163=29),"+9",IF(P163=30,"+10"," "))))))))))))))))</f>
        <v>+5</v>
      </c>
      <c r="R163" s="3" t="n">
        <v>17</v>
      </c>
      <c r="S163" s="1" t="str">
        <f aca="false">IF(R163=1,"-5",IF(OR(R163=2,R163=3),"-4",IF(OR(R163=4,R163=5),"-3",IF(OR(R163=6,R163=7),"-2",IF(OR(R163=8,R163=9),"-1",IF(OR(R163=10,R163=11),"0",IF(OR(R163=12,R163=13),"+1",IF(OR(R163=14,R163=15),"+2",IF(OR(R163=16,R163=17),"+3",IF(OR(R163=18,R163=19),"+4",IF(OR(R163=20,R163=21),"+5",IF(OR(R163=22,R163=23),"+6",IF(OR(R163=24,R163=25),"+7",IF(OR(R163=26,R163=27),"+8",IF(OR(R163=28,R163=29),"+9",IF(R163=30,"+10"," "))))))))))))))))</f>
        <v>+3</v>
      </c>
      <c r="T163" s="3" t="n">
        <v>19</v>
      </c>
      <c r="U163" s="1" t="str">
        <f aca="false">IF(T163=1,"-5",IF(OR(T163=2,T163=3),"-4",IF(OR(T163=4,T163=5),"-3",IF(OR(T163=6,T163=7),"-2",IF(OR(T163=8,T163=9),"-1",IF(OR(T163=10,T163=11),"0",IF(OR(T163=12,T163=13),"+1",IF(OR(T163=14,T163=15),"+2",IF(OR(T163=16,T163=17),"+3",IF(OR(T163=18,T163=19),"+4",IF(OR(T163=20,T163=21),"+5",IF(OR(T163=22,T163=23),"+6",IF(OR(T163=24,T163=25),"+7",IF(OR(T163=26,T163=27),"+8",IF(OR(T163=28,T163=29),"+9",IF(T163=30,"+10"," "))))))))))))))))</f>
        <v>+4</v>
      </c>
      <c r="V163" s="3" t="s">
        <v>910</v>
      </c>
      <c r="W163" s="3" t="s">
        <v>643</v>
      </c>
      <c r="X163" s="11" t="s">
        <v>911</v>
      </c>
      <c r="Y163" s="11" t="s">
        <v>912</v>
      </c>
      <c r="Z163" s="11" t="s">
        <v>37</v>
      </c>
      <c r="AA163" s="12" t="s">
        <v>913</v>
      </c>
    </row>
    <row r="164" customFormat="false" ht="16.4" hidden="false" customHeight="false" outlineLevel="0" collapsed="false">
      <c r="A164" s="15" t="s">
        <v>914</v>
      </c>
      <c r="B164" s="3" t="s">
        <v>825</v>
      </c>
      <c r="C164" s="3" t="s">
        <v>748</v>
      </c>
      <c r="D164" s="16" t="n">
        <v>1</v>
      </c>
      <c r="E164" s="3" t="n">
        <f aca="false">VLOOKUP(D164,'[1]REF Tables'!$A$2:$B$40,2)</f>
        <v>200</v>
      </c>
      <c r="F164" s="3" t="s">
        <v>30</v>
      </c>
      <c r="G164" s="3" t="n">
        <v>16</v>
      </c>
      <c r="H164" s="3" t="s">
        <v>503</v>
      </c>
      <c r="I164" s="3" t="s">
        <v>915</v>
      </c>
      <c r="J164" s="3" t="n">
        <v>15</v>
      </c>
      <c r="K164" s="1" t="str">
        <f aca="false">IF(J164=1,"-5",IF(OR(J164=2,J164=3),"-4",IF(OR(J164=4,J164=5),"-3",IF(OR(J164=6,J164=7),"-2",IF(OR(J164=8,J164=9),"-1",IF(OR(J164=10,J164=11),"0",IF(OR(J164=12,J164=13),"+1",IF(OR(J164=14,J164=15),"+2",IF(OR(J164=16,J164=17),"+3",IF(OR(J164=18,J164=19),"+4",IF(OR(J164=20,J164=21),"+5",IF(OR(J164=22,J164=23),"+6",IF(OR(J164=24,J164=25),"+7",IF(OR(J164=26,J164=27),"+8",IF(OR(J164=28,J164=29),"+9",IF(J164=30,"+10"," "))))))))))))))))</f>
        <v>+2</v>
      </c>
      <c r="L164" s="3" t="n">
        <v>12</v>
      </c>
      <c r="M164" s="1" t="str">
        <f aca="false">IF(L164=1,"-5",IF(OR(L164=2,L164=3),"-4",IF(OR(L164=4,L164=5),"-3",IF(OR(L164=6,L164=7),"-2",IF(OR(L164=8,L164=9),"-1",IF(OR(L164=10,L164=11),"0",IF(OR(L164=12,L164=13),"+1",IF(OR(L164=14,L164=15),"+2",IF(OR(L164=16,L164=17),"+3",IF(OR(L164=18,L164=19),"+4",IF(OR(L164=20,L164=21),"+5",IF(OR(L164=22,L164=23),"+6",IF(OR(L164=24,L164=25),"+7",IF(OR(L164=26,L164=27),"+8",IF(OR(L164=28,L164=29),"+9",IF(L164=30,"+10"," "))))))))))))))))</f>
        <v>+1</v>
      </c>
      <c r="N164" s="3" t="n">
        <v>13</v>
      </c>
      <c r="O164" s="1" t="str">
        <f aca="false">IF(N164=1,"-5",IF(OR(N164=2,N164=3),"-4",IF(OR(N164=4,N164=5),"-3",IF(OR(N164=6,N164=7),"-2",IF(OR(N164=8,N164=9),"-1",IF(OR(N164=10,N164=11),"0",IF(OR(N164=12,N164=13),"+1",IF(OR(N164=14,N164=15),"+2",IF(OR(N164=16,N164=17),"+3",IF(OR(N164=18,N164=19),"+4",IF(OR(N164=20,N164=21),"+5",IF(OR(N164=22,N164=23),"+6",IF(OR(N164=24,N164=25),"+7",IF(OR(N164=26,N164=27),"+8",IF(OR(N164=28,N164=29),"+9",IF(N164=30,"+10"," "))))))))))))))))</f>
        <v>+1</v>
      </c>
      <c r="P164" s="3" t="n">
        <v>14</v>
      </c>
      <c r="Q164" s="1" t="str">
        <f aca="false">IF(P164=1,"-5",IF(OR(P164=2,P164=3),"-4",IF(OR(P164=4,P164=5),"-3",IF(OR(P164=6,P164=7),"-2",IF(OR(P164=8,P164=9),"-1",IF(OR(P164=10,P164=11),"0",IF(OR(P164=12,P164=13),"+1",IF(OR(P164=14,P164=15),"+2",IF(OR(P164=16,P164=17),"+3",IF(OR(P164=18,P164=19),"+4",IF(OR(P164=20,P164=21),"+5",IF(OR(P164=22,P164=23),"+6",IF(OR(P164=24,P164=25),"+7",IF(OR(P164=26,P164=27),"+8",IF(OR(P164=28,P164=29),"+9",IF(P164=30,"+10"," "))))))))))))))))</f>
        <v>+2</v>
      </c>
      <c r="R164" s="3" t="n">
        <v>11</v>
      </c>
      <c r="S164" s="1" t="str">
        <f aca="false">IF(R164=1,"-5",IF(OR(R164=2,R164=3),"-4",IF(OR(R164=4,R164=5),"-3",IF(OR(R164=6,R164=7),"-2",IF(OR(R164=8,R164=9),"-1",IF(OR(R164=10,R164=11),"0",IF(OR(R164=12,R164=13),"+1",IF(OR(R164=14,R164=15),"+2",IF(OR(R164=16,R164=17),"+3",IF(OR(R164=18,R164=19),"+4",IF(OR(R164=20,R164=21),"+5",IF(OR(R164=22,R164=23),"+6",IF(OR(R164=24,R164=25),"+7",IF(OR(R164=26,R164=27),"+8",IF(OR(R164=28,R164=29),"+9",IF(R164=30,"+10"," "))))))))))))))))</f>
        <v>0</v>
      </c>
      <c r="T164" s="3" t="n">
        <v>13</v>
      </c>
      <c r="U164" s="1" t="str">
        <f aca="false">IF(T164=1,"-5",IF(OR(T164=2,T164=3),"-4",IF(OR(T164=4,T164=5),"-3",IF(OR(T164=6,T164=7),"-2",IF(OR(T164=8,T164=9),"-1",IF(OR(T164=10,T164=11),"0",IF(OR(T164=12,T164=13),"+1",IF(OR(T164=14,T164=15),"+2",IF(OR(T164=16,T164=17),"+3",IF(OR(T164=18,T164=19),"+4",IF(OR(T164=20,T164=21),"+5",IF(OR(T164=22,T164=23),"+6",IF(OR(T164=24,T164=25),"+7",IF(OR(T164=26,T164=27),"+8",IF(OR(T164=28,T164=29),"+9",IF(T164=30,"+10"," "))))))))))))))))</f>
        <v>+1</v>
      </c>
      <c r="V164" s="3" t="s">
        <v>916</v>
      </c>
      <c r="W164" s="3" t="s">
        <v>311</v>
      </c>
      <c r="X164" s="11" t="s">
        <v>917</v>
      </c>
      <c r="Y164" s="11" t="s">
        <v>918</v>
      </c>
      <c r="Z164" s="11" t="s">
        <v>37</v>
      </c>
      <c r="AA164" s="12" t="s">
        <v>37</v>
      </c>
    </row>
    <row r="165" customFormat="false" ht="16.4" hidden="false" customHeight="false" outlineLevel="0" collapsed="false">
      <c r="A165" s="15" t="s">
        <v>919</v>
      </c>
      <c r="B165" s="3" t="s">
        <v>825</v>
      </c>
      <c r="C165" s="3" t="s">
        <v>748</v>
      </c>
      <c r="D165" s="16" t="n">
        <v>7</v>
      </c>
      <c r="E165" s="6" t="n">
        <f aca="false">VLOOKUP(D165,'[1]REF Tables'!$A$2:$B$40,2)</f>
        <v>2900</v>
      </c>
      <c r="F165" s="3" t="s">
        <v>50</v>
      </c>
      <c r="G165" s="3" t="n">
        <v>17</v>
      </c>
      <c r="H165" s="3" t="s">
        <v>920</v>
      </c>
      <c r="I165" s="3" t="s">
        <v>904</v>
      </c>
      <c r="J165" s="3" t="n">
        <v>19</v>
      </c>
      <c r="K165" s="1" t="str">
        <f aca="false">IF(J165=1,"-5",IF(OR(J165=2,J165=3),"-4",IF(OR(J165=4,J165=5),"-3",IF(OR(J165=6,J165=7),"-2",IF(OR(J165=8,J165=9),"-1",IF(OR(J165=10,J165=11),"0",IF(OR(J165=12,J165=13),"+1",IF(OR(J165=14,J165=15),"+2",IF(OR(J165=16,J165=17),"+3",IF(OR(J165=18,J165=19),"+4",IF(OR(J165=20,J165=21),"+5",IF(OR(J165=22,J165=23),"+6",IF(OR(J165=24,J165=25),"+7",IF(OR(J165=26,J165=27),"+8",IF(OR(J165=28,J165=29),"+9",IF(J165=30,"+10"," "))))))))))))))))</f>
        <v>+4</v>
      </c>
      <c r="L165" s="3" t="n">
        <v>12</v>
      </c>
      <c r="M165" s="1" t="str">
        <f aca="false">IF(L165=1,"-5",IF(OR(L165=2,L165=3),"-4",IF(OR(L165=4,L165=5),"-3",IF(OR(L165=6,L165=7),"-2",IF(OR(L165=8,L165=9),"-1",IF(OR(L165=10,L165=11),"0",IF(OR(L165=12,L165=13),"+1",IF(OR(L165=14,L165=15),"+2",IF(OR(L165=16,L165=17),"+3",IF(OR(L165=18,L165=19),"+4",IF(OR(L165=20,L165=21),"+5",IF(OR(L165=22,L165=23),"+6",IF(OR(L165=24,L165=25),"+7",IF(OR(L165=26,L165=27),"+8",IF(OR(L165=28,L165=29),"+9",IF(L165=30,"+10"," "))))))))))))))))</f>
        <v>+1</v>
      </c>
      <c r="N165" s="3" t="n">
        <v>17</v>
      </c>
      <c r="O165" s="1" t="str">
        <f aca="false">IF(N165=1,"-5",IF(OR(N165=2,N165=3),"-4",IF(OR(N165=4,N165=5),"-3",IF(OR(N165=6,N165=7),"-2",IF(OR(N165=8,N165=9),"-1",IF(OR(N165=10,N165=11),"0",IF(OR(N165=12,N165=13),"+1",IF(OR(N165=14,N165=15),"+2",IF(OR(N165=16,N165=17),"+3",IF(OR(N165=18,N165=19),"+4",IF(OR(N165=20,N165=21),"+5",IF(OR(N165=22,N165=23),"+6",IF(OR(N165=24,N165=25),"+7",IF(OR(N165=26,N165=27),"+8",IF(OR(N165=28,N165=29),"+9",IF(N165=30,"+10"," "))))))))))))))))</f>
        <v>+3</v>
      </c>
      <c r="P165" s="3" t="n">
        <v>16</v>
      </c>
      <c r="Q165" s="1" t="str">
        <f aca="false">IF(P165=1,"-5",IF(OR(P165=2,P165=3),"-4",IF(OR(P165=4,P165=5),"-3",IF(OR(P165=6,P165=7),"-2",IF(OR(P165=8,P165=9),"-1",IF(OR(P165=10,P165=11),"0",IF(OR(P165=12,P165=13),"+1",IF(OR(P165=14,P165=15),"+2",IF(OR(P165=16,P165=17),"+3",IF(OR(P165=18,P165=19),"+4",IF(OR(P165=20,P165=21),"+5",IF(OR(P165=22,P165=23),"+6",IF(OR(P165=24,P165=25),"+7",IF(OR(P165=26,P165=27),"+8",IF(OR(P165=28,P165=29),"+9",IF(P165=30,"+10"," "))))))))))))))))</f>
        <v>+3</v>
      </c>
      <c r="R165" s="3" t="n">
        <v>13</v>
      </c>
      <c r="S165" s="1" t="str">
        <f aca="false">IF(R165=1,"-5",IF(OR(R165=2,R165=3),"-4",IF(OR(R165=4,R165=5),"-3",IF(OR(R165=6,R165=7),"-2",IF(OR(R165=8,R165=9),"-1",IF(OR(R165=10,R165=11),"0",IF(OR(R165=12,R165=13),"+1",IF(OR(R165=14,R165=15),"+2",IF(OR(R165=16,R165=17),"+3",IF(OR(R165=18,R165=19),"+4",IF(OR(R165=20,R165=21),"+5",IF(OR(R165=22,R165=23),"+6",IF(OR(R165=24,R165=25),"+7",IF(OR(R165=26,R165=27),"+8",IF(OR(R165=28,R165=29),"+9",IF(R165=30,"+10"," "))))))))))))))))</f>
        <v>+1</v>
      </c>
      <c r="T165" s="3" t="n">
        <v>15</v>
      </c>
      <c r="U165" s="1" t="str">
        <f aca="false">IF(T165=1,"-5",IF(OR(T165=2,T165=3),"-4",IF(OR(T165=4,T165=5),"-3",IF(OR(T165=6,T165=7),"-2",IF(OR(T165=8,T165=9),"-1",IF(OR(T165=10,T165=11),"0",IF(OR(T165=12,T165=13),"+1",IF(OR(T165=14,T165=15),"+2",IF(OR(T165=16,T165=17),"+3",IF(OR(T165=18,T165=19),"+4",IF(OR(T165=20,T165=21),"+5",IF(OR(T165=22,T165=23),"+6",IF(OR(T165=24,T165=25),"+7",IF(OR(T165=26,T165=27),"+8",IF(OR(T165=28,T165=29),"+9",IF(T165=30,"+10"," "))))))))))))))))</f>
        <v>+2</v>
      </c>
      <c r="V165" s="3" t="s">
        <v>921</v>
      </c>
      <c r="W165" s="3" t="s">
        <v>643</v>
      </c>
      <c r="X165" s="11" t="s">
        <v>922</v>
      </c>
      <c r="Y165" s="11" t="s">
        <v>923</v>
      </c>
      <c r="Z165" s="11" t="s">
        <v>37</v>
      </c>
      <c r="AA165" s="12" t="s">
        <v>37</v>
      </c>
    </row>
    <row r="166" customFormat="false" ht="16.4" hidden="false" customHeight="false" outlineLevel="0" collapsed="false">
      <c r="A166" s="7" t="s">
        <v>924</v>
      </c>
      <c r="B166" s="1" t="s">
        <v>627</v>
      </c>
      <c r="C166" s="1" t="s">
        <v>106</v>
      </c>
      <c r="D166" s="8" t="n">
        <v>15</v>
      </c>
      <c r="E166" s="9" t="n">
        <f aca="false">VLOOKUP(D166,'[1]REF Tables'!$A$2:$B$40,2)</f>
        <v>13000</v>
      </c>
      <c r="F166" s="1" t="s">
        <v>121</v>
      </c>
      <c r="G166" s="10" t="n">
        <v>18</v>
      </c>
      <c r="H166" s="1" t="s">
        <v>761</v>
      </c>
      <c r="I166" s="1" t="s">
        <v>925</v>
      </c>
      <c r="J166" s="10" t="n">
        <v>23</v>
      </c>
      <c r="K166" s="1" t="str">
        <f aca="false">IF(J166=1,"-5",IF(OR(J166=2,J166=3),"-4",IF(OR(J166=4,J166=5),"-3",IF(OR(J166=6,J166=7),"-2",IF(OR(J166=8,J166=9),"-1",IF(OR(J166=10,J166=11),"0",IF(OR(J166=12,J166=13),"+1",IF(OR(J166=14,J166=15),"+2",IF(OR(J166=16,J166=17),"+3",IF(OR(J166=18,J166=19),"+4",IF(OR(J166=20,J166=21),"+5",IF(OR(J166=22,J166=23),"+6",IF(OR(J166=24,J166=25),"+7",IF(OR(J166=26,J166=27),"+8",IF(OR(J166=28,J166=29),"+9",IF(J166=30,"+10"," "))))))))))))))))</f>
        <v>+6</v>
      </c>
      <c r="L166" s="10" t="n">
        <v>14</v>
      </c>
      <c r="M166" s="1" t="str">
        <f aca="false">IF(L166=1,"-5",IF(OR(L166=2,L166=3),"-4",IF(OR(L166=4,L166=5),"-3",IF(OR(L166=6,L166=7),"-2",IF(OR(L166=8,L166=9),"-1",IF(OR(L166=10,L166=11),"0",IF(OR(L166=12,L166=13),"+1",IF(OR(L166=14,L166=15),"+2",IF(OR(L166=16,L166=17),"+3",IF(OR(L166=18,L166=19),"+4",IF(OR(L166=20,L166=21),"+5",IF(OR(L166=22,L166=23),"+6",IF(OR(L166=24,L166=25),"+7",IF(OR(L166=26,L166=27),"+8",IF(OR(L166=28,L166=29),"+9",IF(L166=30,"+10"," "))))))))))))))))</f>
        <v>+2</v>
      </c>
      <c r="N166" s="10" t="n">
        <v>22</v>
      </c>
      <c r="O166" s="1" t="str">
        <f aca="false">IF(N166=1,"-5",IF(OR(N166=2,N166=3),"-4",IF(OR(N166=4,N166=5),"-3",IF(OR(N166=6,N166=7),"-2",IF(OR(N166=8,N166=9),"-1",IF(OR(N166=10,N166=11),"0",IF(OR(N166=12,N166=13),"+1",IF(OR(N166=14,N166=15),"+2",IF(OR(N166=16,N166=17),"+3",IF(OR(N166=18,N166=19),"+4",IF(OR(N166=20,N166=21),"+5",IF(OR(N166=22,N166=23),"+6",IF(OR(N166=24,N166=25),"+7",IF(OR(N166=26,N166=27),"+8",IF(OR(N166=28,N166=29),"+9",IF(N166=30,"+10"," "))))))))))))))))</f>
        <v>+6</v>
      </c>
      <c r="P166" s="10" t="n">
        <v>18</v>
      </c>
      <c r="Q166" s="1" t="str">
        <f aca="false">IF(P166=1,"-5",IF(OR(P166=2,P166=3),"-4",IF(OR(P166=4,P166=5),"-3",IF(OR(P166=6,P166=7),"-2",IF(OR(P166=8,P166=9),"-1",IF(OR(P166=10,P166=11),"0",IF(OR(P166=12,P166=13),"+1",IF(OR(P166=14,P166=15),"+2",IF(OR(P166=16,P166=17),"+3",IF(OR(P166=18,P166=19),"+4",IF(OR(P166=20,P166=21),"+5",IF(OR(P166=22,P166=23),"+6",IF(OR(P166=24,P166=25),"+7",IF(OR(P166=26,P166=27),"+8",IF(OR(P166=28,P166=29),"+9",IF(P166=30,"+10"," "))))))))))))))))</f>
        <v>+4</v>
      </c>
      <c r="R166" s="10" t="n">
        <v>17</v>
      </c>
      <c r="S166" s="1" t="str">
        <f aca="false">IF(R166=1,"-5",IF(OR(R166=2,R166=3),"-4",IF(OR(R166=4,R166=5),"-3",IF(OR(R166=6,R166=7),"-2",IF(OR(R166=8,R166=9),"-1",IF(OR(R166=10,R166=11),"0",IF(OR(R166=12,R166=13),"+1",IF(OR(R166=14,R166=15),"+2",IF(OR(R166=16,R166=17),"+3",IF(OR(R166=18,R166=19),"+4",IF(OR(R166=20,R166=21),"+5",IF(OR(R166=22,R166=23),"+6",IF(OR(R166=24,R166=25),"+7",IF(OR(R166=26,R166=27),"+8",IF(OR(R166=28,R166=29),"+9",IF(R166=30,"+10"," "))))))))))))))))</f>
        <v>+3</v>
      </c>
      <c r="T166" s="10" t="n">
        <v>18</v>
      </c>
      <c r="U166" s="1" t="str">
        <f aca="false">IF(T166=1,"-5",IF(OR(T166=2,T166=3),"-4",IF(OR(T166=4,T166=5),"-3",IF(OR(T166=6,T166=7),"-2",IF(OR(T166=8,T166=9),"-1",IF(OR(T166=10,T166=11),"0",IF(OR(T166=12,T166=13),"+1",IF(OR(T166=14,T166=15),"+2",IF(OR(T166=16,T166=17),"+3",IF(OR(T166=18,T166=19),"+4",IF(OR(T166=20,T166=21),"+5",IF(OR(T166=22,T166=23),"+6",IF(OR(T166=24,T166=25),"+7",IF(OR(T166=26,T166=27),"+8",IF(OR(T166=28,T166=29),"+9",IF(T166=30,"+10"," "))))))))))))))))</f>
        <v>+4</v>
      </c>
      <c r="V166" s="1" t="s">
        <v>926</v>
      </c>
      <c r="W166" s="1" t="s">
        <v>631</v>
      </c>
      <c r="X166" s="11" t="s">
        <v>927</v>
      </c>
      <c r="Y166" s="11" t="s">
        <v>928</v>
      </c>
      <c r="Z166" s="11" t="s">
        <v>37</v>
      </c>
      <c r="AA166" s="12" t="s">
        <v>929</v>
      </c>
      <c r="AB166" s="1"/>
      <c r="AC166" s="1"/>
      <c r="AD166" s="1"/>
      <c r="AE166" s="1"/>
      <c r="AF166" s="1"/>
    </row>
    <row r="167" customFormat="false" ht="16.4" hidden="false" customHeight="false" outlineLevel="0" collapsed="false">
      <c r="A167" s="7" t="s">
        <v>930</v>
      </c>
      <c r="B167" s="1" t="s">
        <v>627</v>
      </c>
      <c r="C167" s="1" t="s">
        <v>590</v>
      </c>
      <c r="D167" s="8" t="n">
        <v>13</v>
      </c>
      <c r="E167" s="9" t="n">
        <f aca="false">VLOOKUP(D167,'[1]REF Tables'!$A$2:$B$40,2)</f>
        <v>10000</v>
      </c>
      <c r="F167" s="1" t="s">
        <v>121</v>
      </c>
      <c r="G167" s="10" t="n">
        <v>18</v>
      </c>
      <c r="H167" s="1" t="s">
        <v>931</v>
      </c>
      <c r="I167" s="1" t="s">
        <v>932</v>
      </c>
      <c r="J167" s="10" t="n">
        <v>19</v>
      </c>
      <c r="K167" s="1" t="str">
        <f aca="false">IF(J167=1,"-5",IF(OR(J167=2,J167=3),"-4",IF(OR(J167=4,J167=5),"-3",IF(OR(J167=6,J167=7),"-2",IF(OR(J167=8,J167=9),"-1",IF(OR(J167=10,J167=11),"0",IF(OR(J167=12,J167=13),"+1",IF(OR(J167=14,J167=15),"+2",IF(OR(J167=16,J167=17),"+3",IF(OR(J167=18,J167=19),"+4",IF(OR(J167=20,J167=21),"+5",IF(OR(J167=22,J167=23),"+6",IF(OR(J167=24,J167=25),"+7",IF(OR(J167=26,J167=27),"+8",IF(OR(J167=28,J167=29),"+9",IF(J167=30,"+10"," "))))))))))))))))</f>
        <v>+4</v>
      </c>
      <c r="L167" s="10" t="n">
        <v>12</v>
      </c>
      <c r="M167" s="1" t="str">
        <f aca="false">IF(L167=1,"-5",IF(OR(L167=2,L167=3),"-4",IF(OR(L167=4,L167=5),"-3",IF(OR(L167=6,L167=7),"-2",IF(OR(L167=8,L167=9),"-1",IF(OR(L167=10,L167=11),"0",IF(OR(L167=12,L167=13),"+1",IF(OR(L167=14,L167=15),"+2",IF(OR(L167=16,L167=17),"+3",IF(OR(L167=18,L167=19),"+4",IF(OR(L167=20,L167=21),"+5",IF(OR(L167=22,L167=23),"+6",IF(OR(L167=24,L167=25),"+7",IF(OR(L167=26,L167=27),"+8",IF(OR(L167=28,L167=29),"+9",IF(L167=30,"+10"," "))))))))))))))))</f>
        <v>+1</v>
      </c>
      <c r="N167" s="10" t="n">
        <v>19</v>
      </c>
      <c r="O167" s="1" t="str">
        <f aca="false">IF(N167=1,"-5",IF(OR(N167=2,N167=3),"-4",IF(OR(N167=4,N167=5),"-3",IF(OR(N167=6,N167=7),"-2",IF(OR(N167=8,N167=9),"-1",IF(OR(N167=10,N167=11),"0",IF(OR(N167=12,N167=13),"+1",IF(OR(N167=14,N167=15),"+2",IF(OR(N167=16,N167=17),"+3",IF(OR(N167=18,N167=19),"+4",IF(OR(N167=20,N167=21),"+5",IF(OR(N167=22,N167=23),"+6",IF(OR(N167=24,N167=25),"+7",IF(OR(N167=26,N167=27),"+8",IF(OR(N167=28,N167=29),"+9",IF(N167=30,"+10"," "))))))))))))))))</f>
        <v>+4</v>
      </c>
      <c r="P167" s="10" t="n">
        <v>18</v>
      </c>
      <c r="Q167" s="1" t="str">
        <f aca="false">IF(P167=1,"-5",IF(OR(P167=2,P167=3),"-4",IF(OR(P167=4,P167=5),"-3",IF(OR(P167=6,P167=7),"-2",IF(OR(P167=8,P167=9),"-1",IF(OR(P167=10,P167=11),"0",IF(OR(P167=12,P167=13),"+1",IF(OR(P167=14,P167=15),"+2",IF(OR(P167=16,P167=17),"+3",IF(OR(P167=18,P167=19),"+4",IF(OR(P167=20,P167=21),"+5",IF(OR(P167=22,P167=23),"+6",IF(OR(P167=24,P167=25),"+7",IF(OR(P167=26,P167=27),"+8",IF(OR(P167=28,P167=29),"+9",IF(P167=30,"+10"," "))))))))))))))))</f>
        <v>+4</v>
      </c>
      <c r="R167" s="10" t="n">
        <v>17</v>
      </c>
      <c r="S167" s="1" t="str">
        <f aca="false">IF(R167=1,"-5",IF(OR(R167=2,R167=3),"-4",IF(OR(R167=4,R167=5),"-3",IF(OR(R167=6,R167=7),"-2",IF(OR(R167=8,R167=9),"-1",IF(OR(R167=10,R167=11),"0",IF(OR(R167=12,R167=13),"+1",IF(OR(R167=14,R167=15),"+2",IF(OR(R167=16,R167=17),"+3",IF(OR(R167=18,R167=19),"+4",IF(OR(R167=20,R167=21),"+5",IF(OR(R167=22,R167=23),"+6",IF(OR(R167=24,R167=25),"+7",IF(OR(R167=26,R167=27),"+8",IF(OR(R167=28,R167=29),"+9",IF(R167=30,"+10"," "))))))))))))))))</f>
        <v>+3</v>
      </c>
      <c r="T167" s="10" t="n">
        <v>18</v>
      </c>
      <c r="U167" s="1" t="str">
        <f aca="false">IF(T167=1,"-5",IF(OR(T167=2,T167=3),"-4",IF(OR(T167=4,T167=5),"-3",IF(OR(T167=6,T167=7),"-2",IF(OR(T167=8,T167=9),"-1",IF(OR(T167=10,T167=11),"0",IF(OR(T167=12,T167=13),"+1",IF(OR(T167=14,T167=15),"+2",IF(OR(T167=16,T167=17),"+3",IF(OR(T167=18,T167=19),"+4",IF(OR(T167=20,T167=21),"+5",IF(OR(T167=22,T167=23),"+6",IF(OR(T167=24,T167=25),"+7",IF(OR(T167=26,T167=27),"+8",IF(OR(T167=28,T167=29),"+9",IF(T167=30,"+10"," "))))))))))))))))</f>
        <v>+4</v>
      </c>
      <c r="V167" s="1" t="s">
        <v>933</v>
      </c>
      <c r="W167" s="1" t="s">
        <v>631</v>
      </c>
      <c r="X167" s="11" t="s">
        <v>934</v>
      </c>
      <c r="Y167" s="11" t="s">
        <v>935</v>
      </c>
      <c r="Z167" s="11" t="s">
        <v>37</v>
      </c>
      <c r="AA167" s="12" t="s">
        <v>936</v>
      </c>
    </row>
    <row r="168" customFormat="false" ht="16.4" hidden="false" customHeight="false" outlineLevel="0" collapsed="false">
      <c r="A168" s="15" t="s">
        <v>937</v>
      </c>
      <c r="B168" s="3" t="s">
        <v>938</v>
      </c>
      <c r="C168" s="3" t="s">
        <v>222</v>
      </c>
      <c r="D168" s="16" t="n">
        <v>13</v>
      </c>
      <c r="E168" s="6" t="n">
        <f aca="false">VLOOKUP(D168,'[1]REF Tables'!$A$2:$B$40,2)</f>
        <v>10000</v>
      </c>
      <c r="F168" s="3" t="s">
        <v>50</v>
      </c>
      <c r="G168" s="3" t="n">
        <v>18</v>
      </c>
      <c r="H168" s="3" t="s">
        <v>689</v>
      </c>
      <c r="I168" s="3" t="s">
        <v>904</v>
      </c>
      <c r="J168" s="3" t="n">
        <v>23</v>
      </c>
      <c r="K168" s="1" t="str">
        <f aca="false">IF(J168=1,"-5",IF(OR(J168=2,J168=3),"-4",IF(OR(J168=4,J168=5),"-3",IF(OR(J168=6,J168=7),"-2",IF(OR(J168=8,J168=9),"-1",IF(OR(J168=10,J168=11),"0",IF(OR(J168=12,J168=13),"+1",IF(OR(J168=14,J168=15),"+2",IF(OR(J168=16,J168=17),"+3",IF(OR(J168=18,J168=19),"+4",IF(OR(J168=20,J168=21),"+5",IF(OR(J168=22,J168=23),"+6",IF(OR(J168=24,J168=25),"+7",IF(OR(J168=26,J168=27),"+8",IF(OR(J168=28,J168=29),"+9",IF(J168=30,"+10"," "))))))))))))))))</f>
        <v>+6</v>
      </c>
      <c r="L168" s="3" t="n">
        <v>10</v>
      </c>
      <c r="M168" s="1" t="str">
        <f aca="false">IF(L168=1,"-5",IF(OR(L168=2,L168=3),"-4",IF(OR(L168=4,L168=5),"-3",IF(OR(L168=6,L168=7),"-2",IF(OR(L168=8,L168=9),"-1",IF(OR(L168=10,L168=11),"0",IF(OR(L168=12,L168=13),"+1",IF(OR(L168=14,L168=15),"+2",IF(OR(L168=16,L168=17),"+3",IF(OR(L168=18,L168=19),"+4",IF(OR(L168=20,L168=21),"+5",IF(OR(L168=22,L168=23),"+6",IF(OR(L168=24,L168=25),"+7",IF(OR(L168=26,L168=27),"+8",IF(OR(L168=28,L168=29),"+9",IF(L168=30,"+10"," "))))))))))))))))</f>
        <v>0</v>
      </c>
      <c r="N168" s="3" t="n">
        <v>21</v>
      </c>
      <c r="O168" s="1" t="str">
        <f aca="false">IF(N168=1,"-5",IF(OR(N168=2,N168=3),"-4",IF(OR(N168=4,N168=5),"-3",IF(OR(N168=6,N168=7),"-2",IF(OR(N168=8,N168=9),"-1",IF(OR(N168=10,N168=11),"0",IF(OR(N168=12,N168=13),"+1",IF(OR(N168=14,N168=15),"+2",IF(OR(N168=16,N168=17),"+3",IF(OR(N168=18,N168=19),"+4",IF(OR(N168=20,N168=21),"+5",IF(OR(N168=22,N168=23),"+6",IF(OR(N168=24,N168=25),"+7",IF(OR(N168=26,N168=27),"+8",IF(OR(N168=28,N168=29),"+9",IF(N168=30,"+10"," "))))))))))))))))</f>
        <v>+5</v>
      </c>
      <c r="P168" s="3" t="n">
        <v>14</v>
      </c>
      <c r="Q168" s="1" t="str">
        <f aca="false">IF(P168=1,"-5",IF(OR(P168=2,P168=3),"-4",IF(OR(P168=4,P168=5),"-3",IF(OR(P168=6,P168=7),"-2",IF(OR(P168=8,P168=9),"-1",IF(OR(P168=10,P168=11),"0",IF(OR(P168=12,P168=13),"+1",IF(OR(P168=14,P168=15),"+2",IF(OR(P168=16,P168=17),"+3",IF(OR(P168=18,P168=19),"+4",IF(OR(P168=20,P168=21),"+5",IF(OR(P168=22,P168=23),"+6",IF(OR(P168=24,P168=25),"+7",IF(OR(P168=26,P168=27),"+8",IF(OR(P168=28,P168=29),"+9",IF(P168=30,"+10"," "))))))))))))))))</f>
        <v>+2</v>
      </c>
      <c r="R168" s="3" t="n">
        <v>11</v>
      </c>
      <c r="S168" s="1" t="str">
        <f aca="false">IF(R168=1,"-5",IF(OR(R168=2,R168=3),"-4",IF(OR(R168=4,R168=5),"-3",IF(OR(R168=6,R168=7),"-2",IF(OR(R168=8,R168=9),"-1",IF(OR(R168=10,R168=11),"0",IF(OR(R168=12,R168=13),"+1",IF(OR(R168=14,R168=15),"+2",IF(OR(R168=16,R168=17),"+3",IF(OR(R168=18,R168=19),"+4",IF(OR(R168=20,R168=21),"+5",IF(OR(R168=22,R168=23),"+6",IF(OR(R168=24,R168=25),"+7",IF(OR(R168=26,R168=27),"+8",IF(OR(R168=28,R168=29),"+9",IF(R168=30,"+10"," "))))))))))))))))</f>
        <v>0</v>
      </c>
      <c r="T168" s="3" t="n">
        <v>19</v>
      </c>
      <c r="U168" s="1" t="str">
        <f aca="false">IF(T168=1,"-5",IF(OR(T168=2,T168=3),"-4",IF(OR(T168=4,T168=5),"-3",IF(OR(T168=6,T168=7),"-2",IF(OR(T168=8,T168=9),"-1",IF(OR(T168=10,T168=11),"0",IF(OR(T168=12,T168=13),"+1",IF(OR(T168=14,T168=15),"+2",IF(OR(T168=16,T168=17),"+3",IF(OR(T168=18,T168=19),"+4",IF(OR(T168=20,T168=21),"+5",IF(OR(T168=22,T168=23),"+6",IF(OR(T168=24,T168=25),"+7",IF(OR(T168=26,T168=27),"+8",IF(OR(T168=28,T168=29),"+9",IF(T168=30,"+10"," "))))))))))))))))</f>
        <v>+4</v>
      </c>
      <c r="V168" s="3" t="s">
        <v>939</v>
      </c>
      <c r="W168" s="3" t="s">
        <v>643</v>
      </c>
      <c r="X168" s="11" t="s">
        <v>940</v>
      </c>
      <c r="Y168" s="11" t="s">
        <v>941</v>
      </c>
      <c r="Z168" s="11" t="s">
        <v>37</v>
      </c>
      <c r="AA168" s="12" t="s">
        <v>37</v>
      </c>
    </row>
    <row r="169" customFormat="false" ht="16.4" hidden="false" customHeight="false" outlineLevel="0" collapsed="false">
      <c r="A169" s="15" t="s">
        <v>942</v>
      </c>
      <c r="B169" s="3" t="s">
        <v>825</v>
      </c>
      <c r="C169" s="3" t="s">
        <v>502</v>
      </c>
      <c r="D169" s="16" t="n">
        <v>17</v>
      </c>
      <c r="E169" s="6" t="n">
        <f aca="false">VLOOKUP(D169,'[1]REF Tables'!$A$2:$B$40,2)</f>
        <v>18000</v>
      </c>
      <c r="F169" s="3" t="s">
        <v>121</v>
      </c>
      <c r="G169" s="3" t="n">
        <v>19</v>
      </c>
      <c r="H169" s="3" t="s">
        <v>943</v>
      </c>
      <c r="I169" s="3" t="s">
        <v>876</v>
      </c>
      <c r="J169" s="3" t="n">
        <v>27</v>
      </c>
      <c r="K169" s="1" t="str">
        <f aca="false">IF(J169=1,"-5",IF(OR(J169=2,J169=3),"-4",IF(OR(J169=4,J169=5),"-3",IF(OR(J169=6,J169=7),"-2",IF(OR(J169=8,J169=9),"-1",IF(OR(J169=10,J169=11),"0",IF(OR(J169=12,J169=13),"+1",IF(OR(J169=14,J169=15),"+2",IF(OR(J169=16,J169=17),"+3",IF(OR(J169=18,J169=19),"+4",IF(OR(J169=20,J169=21),"+5",IF(OR(J169=22,J169=23),"+6",IF(OR(J169=24,J169=25),"+7",IF(OR(J169=26,J169=27),"+8",IF(OR(J169=28,J169=29),"+9",IF(J169=30,"+10"," "))))))))))))))))</f>
        <v>+8</v>
      </c>
      <c r="L169" s="3" t="n">
        <v>14</v>
      </c>
      <c r="M169" s="1" t="str">
        <f aca="false">IF(L169=1,"-5",IF(OR(L169=2,L169=3),"-4",IF(OR(L169=4,L169=5),"-3",IF(OR(L169=6,L169=7),"-2",IF(OR(L169=8,L169=9),"-1",IF(OR(L169=10,L169=11),"0",IF(OR(L169=12,L169=13),"+1",IF(OR(L169=14,L169=15),"+2",IF(OR(L169=16,L169=17),"+3",IF(OR(L169=18,L169=19),"+4",IF(OR(L169=20,L169=21),"+5",IF(OR(L169=22,L169=23),"+6",IF(OR(L169=24,L169=25),"+7",IF(OR(L169=26,L169=27),"+8",IF(OR(L169=28,L169=29),"+9",IF(L169=30,"+10"," "))))))))))))))))</f>
        <v>+2</v>
      </c>
      <c r="N169" s="3" t="n">
        <v>25</v>
      </c>
      <c r="O169" s="1" t="str">
        <f aca="false">IF(N169=1,"-5",IF(OR(N169=2,N169=3),"-4",IF(OR(N169=4,N169=5),"-3",IF(OR(N169=6,N169=7),"-2",IF(OR(N169=8,N169=9),"-1",IF(OR(N169=10,N169=11),"0",IF(OR(N169=12,N169=13),"+1",IF(OR(N169=14,N169=15),"+2",IF(OR(N169=16,N169=17),"+3",IF(OR(N169=18,N169=19),"+4",IF(OR(N169=20,N169=21),"+5",IF(OR(N169=22,N169=23),"+6",IF(OR(N169=24,N169=25),"+7",IF(OR(N169=26,N169=27),"+8",IF(OR(N169=28,N169=29),"+9",IF(N169=30,"+10"," "))))))))))))))))</f>
        <v>+7</v>
      </c>
      <c r="P169" s="3" t="n">
        <v>16</v>
      </c>
      <c r="Q169" s="1" t="str">
        <f aca="false">IF(P169=1,"-5",IF(OR(P169=2,P169=3),"-4",IF(OR(P169=4,P169=5),"-3",IF(OR(P169=6,P169=7),"-2",IF(OR(P169=8,P169=9),"-1",IF(OR(P169=10,P169=11),"0",IF(OR(P169=12,P169=13),"+1",IF(OR(P169=14,P169=15),"+2",IF(OR(P169=16,P169=17),"+3",IF(OR(P169=18,P169=19),"+4",IF(OR(P169=20,P169=21),"+5",IF(OR(P169=22,P169=23),"+6",IF(OR(P169=24,P169=25),"+7",IF(OR(P169=26,P169=27),"+8",IF(OR(P169=28,P169=29),"+9",IF(P169=30,"+10"," "))))))))))))))))</f>
        <v>+3</v>
      </c>
      <c r="R169" s="3" t="n">
        <v>15</v>
      </c>
      <c r="S169" s="1" t="str">
        <f aca="false">IF(R169=1,"-5",IF(OR(R169=2,R169=3),"-4",IF(OR(R169=4,R169=5),"-3",IF(OR(R169=6,R169=7),"-2",IF(OR(R169=8,R169=9),"-1",IF(OR(R169=10,R169=11),"0",IF(OR(R169=12,R169=13),"+1",IF(OR(R169=14,R169=15),"+2",IF(OR(R169=16,R169=17),"+3",IF(OR(R169=18,R169=19),"+4",IF(OR(R169=20,R169=21),"+5",IF(OR(R169=22,R169=23),"+6",IF(OR(R169=24,R169=25),"+7",IF(OR(R169=26,R169=27),"+8",IF(OR(R169=28,R169=29),"+9",IF(R169=30,"+10"," "))))))))))))))))</f>
        <v>+2</v>
      </c>
      <c r="T169" s="3" t="n">
        <v>24</v>
      </c>
      <c r="U169" s="1" t="str">
        <f aca="false">IF(T169=1,"-5",IF(OR(T169=2,T169=3),"-4",IF(OR(T169=4,T169=5),"-3",IF(OR(T169=6,T169=7),"-2",IF(OR(T169=8,T169=9),"-1",IF(OR(T169=10,T169=11),"0",IF(OR(T169=12,T169=13),"+1",IF(OR(T169=14,T169=15),"+2",IF(OR(T169=16,T169=17),"+3",IF(OR(T169=18,T169=19),"+4",IF(OR(T169=20,T169=21),"+5",IF(OR(T169=22,T169=23),"+6",IF(OR(T169=24,T169=25),"+7",IF(OR(T169=26,T169=27),"+8",IF(OR(T169=28,T169=29),"+9",IF(T169=30,"+10"," "))))))))))))))))</f>
        <v>+7</v>
      </c>
      <c r="V169" s="3" t="s">
        <v>944</v>
      </c>
      <c r="W169" s="3" t="s">
        <v>643</v>
      </c>
      <c r="X169" s="11" t="s">
        <v>945</v>
      </c>
      <c r="Y169" s="11" t="s">
        <v>946</v>
      </c>
      <c r="Z169" s="11" t="s">
        <v>37</v>
      </c>
      <c r="AA169" s="12" t="s">
        <v>947</v>
      </c>
    </row>
    <row r="170" customFormat="false" ht="16.4" hidden="false" customHeight="false" outlineLevel="0" collapsed="false">
      <c r="A170" s="15" t="s">
        <v>948</v>
      </c>
      <c r="B170" s="3" t="s">
        <v>825</v>
      </c>
      <c r="C170" s="3" t="s">
        <v>502</v>
      </c>
      <c r="D170" s="16" t="n">
        <v>24</v>
      </c>
      <c r="E170" s="6" t="n">
        <f aca="false">VLOOKUP(D170,'[1]REF Tables'!$A$2:$B$40,2)</f>
        <v>62000</v>
      </c>
      <c r="F170" s="3" t="s">
        <v>601</v>
      </c>
      <c r="G170" s="3" t="n">
        <v>22</v>
      </c>
      <c r="H170" s="3" t="s">
        <v>949</v>
      </c>
      <c r="I170" s="3" t="s">
        <v>876</v>
      </c>
      <c r="J170" s="3" t="n">
        <v>30</v>
      </c>
      <c r="K170" s="1" t="str">
        <f aca="false">IF(J170=1,"-5",IF(OR(J170=2,J170=3),"-4",IF(OR(J170=4,J170=5),"-3",IF(OR(J170=6,J170=7),"-2",IF(OR(J170=8,J170=9),"-1",IF(OR(J170=10,J170=11),"0",IF(OR(J170=12,J170=13),"+1",IF(OR(J170=14,J170=15),"+2",IF(OR(J170=16,J170=17),"+3",IF(OR(J170=18,J170=19),"+4",IF(OR(J170=20,J170=21),"+5",IF(OR(J170=22,J170=23),"+6",IF(OR(J170=24,J170=25),"+7",IF(OR(J170=26,J170=27),"+8",IF(OR(J170=28,J170=29),"+9",IF(J170=30,"+10"," "))))))))))))))))</f>
        <v>+10</v>
      </c>
      <c r="L170" s="3" t="n">
        <v>14</v>
      </c>
      <c r="M170" s="1" t="str">
        <f aca="false">IF(L170=1,"-5",IF(OR(L170=2,L170=3),"-4",IF(OR(L170=4,L170=5),"-3",IF(OR(L170=6,L170=7),"-2",IF(OR(L170=8,L170=9),"-1",IF(OR(L170=10,L170=11),"0",IF(OR(L170=12,L170=13),"+1",IF(OR(L170=14,L170=15),"+2",IF(OR(L170=16,L170=17),"+3",IF(OR(L170=18,L170=19),"+4",IF(OR(L170=20,L170=21),"+5",IF(OR(L170=22,L170=23),"+6",IF(OR(L170=24,L170=25),"+7",IF(OR(L170=26,L170=27),"+8",IF(OR(L170=28,L170=29),"+9",IF(L170=30,"+10"," "))))))))))))))))</f>
        <v>+2</v>
      </c>
      <c r="N170" s="3" t="n">
        <v>29</v>
      </c>
      <c r="O170" s="1" t="str">
        <f aca="false">IF(N170=1,"-5",IF(OR(N170=2,N170=3),"-4",IF(OR(N170=4,N170=5),"-3",IF(OR(N170=6,N170=7),"-2",IF(OR(N170=8,N170=9),"-1",IF(OR(N170=10,N170=11),"0",IF(OR(N170=12,N170=13),"+1",IF(OR(N170=14,N170=15),"+2",IF(OR(N170=16,N170=17),"+3",IF(OR(N170=18,N170=19),"+4",IF(OR(N170=20,N170=21),"+5",IF(OR(N170=22,N170=23),"+6",IF(OR(N170=24,N170=25),"+7",IF(OR(N170=26,N170=27),"+8",IF(OR(N170=28,N170=29),"+9",IF(N170=30,"+10"," "))))))))))))))))</f>
        <v>+9</v>
      </c>
      <c r="P170" s="3" t="n">
        <v>18</v>
      </c>
      <c r="Q170" s="1" t="str">
        <f aca="false">IF(P170=1,"-5",IF(OR(P170=2,P170=3),"-4",IF(OR(P170=4,P170=5),"-3",IF(OR(P170=6,P170=7),"-2",IF(OR(P170=8,P170=9),"-1",IF(OR(P170=10,P170=11),"0",IF(OR(P170=12,P170=13),"+1",IF(OR(P170=14,P170=15),"+2",IF(OR(P170=16,P170=17),"+3",IF(OR(P170=18,P170=19),"+4",IF(OR(P170=20,P170=21),"+5",IF(OR(P170=22,P170=23),"+6",IF(OR(P170=24,P170=25),"+7",IF(OR(P170=26,P170=27),"+8",IF(OR(P170=28,P170=29),"+9",IF(P170=30,"+10"," "))))))))))))))))</f>
        <v>+4</v>
      </c>
      <c r="R170" s="3" t="n">
        <v>17</v>
      </c>
      <c r="S170" s="1" t="str">
        <f aca="false">IF(R170=1,"-5",IF(OR(R170=2,R170=3),"-4",IF(OR(R170=4,R170=5),"-3",IF(OR(R170=6,R170=7),"-2",IF(OR(R170=8,R170=9),"-1",IF(OR(R170=10,R170=11),"0",IF(OR(R170=12,R170=13),"+1",IF(OR(R170=14,R170=15),"+2",IF(OR(R170=16,R170=17),"+3",IF(OR(R170=18,R170=19),"+4",IF(OR(R170=20,R170=21),"+5",IF(OR(R170=22,R170=23),"+6",IF(OR(R170=24,R170=25),"+7",IF(OR(R170=26,R170=27),"+8",IF(OR(R170=28,R170=29),"+9",IF(R170=30,"+10"," "))))))))))))))))</f>
        <v>+3</v>
      </c>
      <c r="T170" s="3" t="n">
        <v>28</v>
      </c>
      <c r="U170" s="1" t="str">
        <f aca="false">IF(T170=1,"-5",IF(OR(T170=2,T170=3),"-4",IF(OR(T170=4,T170=5),"-3",IF(OR(T170=6,T170=7),"-2",IF(OR(T170=8,T170=9),"-1",IF(OR(T170=10,T170=11),"0",IF(OR(T170=12,T170=13),"+1",IF(OR(T170=14,T170=15),"+2",IF(OR(T170=16,T170=17),"+3",IF(OR(T170=18,T170=19),"+4",IF(OR(T170=20,T170=21),"+5",IF(OR(T170=22,T170=23),"+6",IF(OR(T170=24,T170=25),"+7",IF(OR(T170=26,T170=27),"+8",IF(OR(T170=28,T170=29),"+9",IF(T170=30,"+10"," "))))))))))))))))</f>
        <v>+9</v>
      </c>
      <c r="V170" s="3" t="s">
        <v>950</v>
      </c>
      <c r="W170" s="3" t="s">
        <v>643</v>
      </c>
      <c r="X170" s="11" t="s">
        <v>951</v>
      </c>
      <c r="Y170" s="11" t="s">
        <v>952</v>
      </c>
      <c r="Z170" s="11" t="s">
        <v>37</v>
      </c>
      <c r="AA170" s="12" t="s">
        <v>831</v>
      </c>
    </row>
    <row r="171" customFormat="false" ht="16.4" hidden="false" customHeight="false" outlineLevel="0" collapsed="false">
      <c r="A171" s="15" t="s">
        <v>953</v>
      </c>
      <c r="B171" s="3" t="s">
        <v>825</v>
      </c>
      <c r="C171" s="3" t="s">
        <v>502</v>
      </c>
      <c r="D171" s="16" t="n">
        <v>3</v>
      </c>
      <c r="E171" s="3" t="n">
        <f aca="false">VLOOKUP(D171,'[1]REF Tables'!$A$2:$B$40,2)</f>
        <v>700</v>
      </c>
      <c r="F171" s="3" t="s">
        <v>30</v>
      </c>
      <c r="G171" s="3" t="n">
        <v>17</v>
      </c>
      <c r="H171" s="3" t="s">
        <v>954</v>
      </c>
      <c r="I171" s="3" t="s">
        <v>955</v>
      </c>
      <c r="J171" s="3" t="n">
        <v>19</v>
      </c>
      <c r="K171" s="1" t="str">
        <f aca="false">IF(J171=1,"-5",IF(OR(J171=2,J171=3),"-4",IF(OR(J171=4,J171=5),"-3",IF(OR(J171=6,J171=7),"-2",IF(OR(J171=8,J171=9),"-1",IF(OR(J171=10,J171=11),"0",IF(OR(J171=12,J171=13),"+1",IF(OR(J171=14,J171=15),"+2",IF(OR(J171=16,J171=17),"+3",IF(OR(J171=18,J171=19),"+4",IF(OR(J171=20,J171=21),"+5",IF(OR(J171=22,J171=23),"+6",IF(OR(J171=24,J171=25),"+7",IF(OR(J171=26,J171=27),"+8",IF(OR(J171=28,J171=29),"+9",IF(J171=30,"+10"," "))))))))))))))))</f>
        <v>+4</v>
      </c>
      <c r="L171" s="3" t="n">
        <v>14</v>
      </c>
      <c r="M171" s="1" t="str">
        <f aca="false">IF(L171=1,"-5",IF(OR(L171=2,L171=3),"-4",IF(OR(L171=4,L171=5),"-3",IF(OR(L171=6,L171=7),"-2",IF(OR(L171=8,L171=9),"-1",IF(OR(L171=10,L171=11),"0",IF(OR(L171=12,L171=13),"+1",IF(OR(L171=14,L171=15),"+2",IF(OR(L171=16,L171=17),"+3",IF(OR(L171=18,L171=19),"+4",IF(OR(L171=20,L171=21),"+5",IF(OR(L171=22,L171=23),"+6",IF(OR(L171=24,L171=25),"+7",IF(OR(L171=26,L171=27),"+8",IF(OR(L171=28,L171=29),"+9",IF(L171=30,"+10"," "))))))))))))))))</f>
        <v>+2</v>
      </c>
      <c r="N171" s="3" t="n">
        <v>17</v>
      </c>
      <c r="O171" s="1" t="str">
        <f aca="false">IF(N171=1,"-5",IF(OR(N171=2,N171=3),"-4",IF(OR(N171=4,N171=5),"-3",IF(OR(N171=6,N171=7),"-2",IF(OR(N171=8,N171=9),"-1",IF(OR(N171=10,N171=11),"0",IF(OR(N171=12,N171=13),"+1",IF(OR(N171=14,N171=15),"+2",IF(OR(N171=16,N171=17),"+3",IF(OR(N171=18,N171=19),"+4",IF(OR(N171=20,N171=21),"+5",IF(OR(N171=22,N171=23),"+6",IF(OR(N171=24,N171=25),"+7",IF(OR(N171=26,N171=27),"+8",IF(OR(N171=28,N171=29),"+9",IF(N171=30,"+10"," "))))))))))))))))</f>
        <v>+3</v>
      </c>
      <c r="P171" s="3" t="n">
        <v>14</v>
      </c>
      <c r="Q171" s="1" t="str">
        <f aca="false">IF(P171=1,"-5",IF(OR(P171=2,P171=3),"-4",IF(OR(P171=4,P171=5),"-3",IF(OR(P171=6,P171=7),"-2",IF(OR(P171=8,P171=9),"-1",IF(OR(P171=10,P171=11),"0",IF(OR(P171=12,P171=13),"+1",IF(OR(P171=14,P171=15),"+2",IF(OR(P171=16,P171=17),"+3",IF(OR(P171=18,P171=19),"+4",IF(OR(P171=20,P171=21),"+5",IF(OR(P171=22,P171=23),"+6",IF(OR(P171=24,P171=25),"+7",IF(OR(P171=26,P171=27),"+8",IF(OR(P171=28,P171=29),"+9",IF(P171=30,"+10"," "))))))))))))))))</f>
        <v>+2</v>
      </c>
      <c r="R171" s="3" t="n">
        <v>11</v>
      </c>
      <c r="S171" s="1" t="str">
        <f aca="false">IF(R171=1,"-5",IF(OR(R171=2,R171=3),"-4",IF(OR(R171=4,R171=5),"-3",IF(OR(R171=6,R171=7),"-2",IF(OR(R171=8,R171=9),"-1",IF(OR(R171=10,R171=11),"0",IF(OR(R171=12,R171=13),"+1",IF(OR(R171=14,R171=15),"+2",IF(OR(R171=16,R171=17),"+3",IF(OR(R171=18,R171=19),"+4",IF(OR(R171=20,R171=21),"+5",IF(OR(R171=22,R171=23),"+6",IF(OR(R171=24,R171=25),"+7",IF(OR(R171=26,R171=27),"+8",IF(OR(R171=28,R171=29),"+9",IF(R171=30,"+10"," "))))))))))))))))</f>
        <v>0</v>
      </c>
      <c r="T171" s="3" t="n">
        <v>16</v>
      </c>
      <c r="U171" s="1" t="str">
        <f aca="false">IF(T171=1,"-5",IF(OR(T171=2,T171=3),"-4",IF(OR(T171=4,T171=5),"-3",IF(OR(T171=6,T171=7),"-2",IF(OR(T171=8,T171=9),"-1",IF(OR(T171=10,T171=11),"0",IF(OR(T171=12,T171=13),"+1",IF(OR(T171=14,T171=15),"+2",IF(OR(T171=16,T171=17),"+3",IF(OR(T171=18,T171=19),"+4",IF(OR(T171=20,T171=21),"+5",IF(OR(T171=22,T171=23),"+6",IF(OR(T171=24,T171=25),"+7",IF(OR(T171=26,T171=27),"+8",IF(OR(T171=28,T171=29),"+9",IF(T171=30,"+10"," "))))))))))))))))</f>
        <v>+3</v>
      </c>
      <c r="V171" s="3" t="s">
        <v>956</v>
      </c>
      <c r="W171" s="3" t="s">
        <v>311</v>
      </c>
      <c r="X171" s="11" t="s">
        <v>957</v>
      </c>
      <c r="Y171" s="11" t="s">
        <v>958</v>
      </c>
      <c r="Z171" s="11" t="s">
        <v>37</v>
      </c>
      <c r="AA171" s="12" t="s">
        <v>37</v>
      </c>
      <c r="AB171" s="1"/>
      <c r="AC171" s="1"/>
      <c r="AD171" s="1"/>
      <c r="AE171" s="1"/>
      <c r="AF171" s="1"/>
    </row>
    <row r="172" customFormat="false" ht="16.4" hidden="false" customHeight="false" outlineLevel="0" collapsed="false">
      <c r="A172" s="15" t="s">
        <v>959</v>
      </c>
      <c r="B172" s="3" t="s">
        <v>825</v>
      </c>
      <c r="C172" s="3" t="s">
        <v>502</v>
      </c>
      <c r="D172" s="16" t="n">
        <v>10</v>
      </c>
      <c r="E172" s="6" t="n">
        <f aca="false">VLOOKUP(D172,'[1]REF Tables'!$A$2:$B$40,2)</f>
        <v>5900</v>
      </c>
      <c r="F172" s="3" t="s">
        <v>50</v>
      </c>
      <c r="G172" s="3" t="n">
        <v>18</v>
      </c>
      <c r="H172" s="3" t="s">
        <v>689</v>
      </c>
      <c r="I172" s="3" t="s">
        <v>876</v>
      </c>
      <c r="J172" s="3" t="n">
        <v>23</v>
      </c>
      <c r="K172" s="1" t="str">
        <f aca="false">IF(J172=1,"-5",IF(OR(J172=2,J172=3),"-4",IF(OR(J172=4,J172=5),"-3",IF(OR(J172=6,J172=7),"-2",IF(OR(J172=8,J172=9),"-1",IF(OR(J172=10,J172=11),"0",IF(OR(J172=12,J172=13),"+1",IF(OR(J172=14,J172=15),"+2",IF(OR(J172=16,J172=17),"+3",IF(OR(J172=18,J172=19),"+4",IF(OR(J172=20,J172=21),"+5",IF(OR(J172=22,J172=23),"+6",IF(OR(J172=24,J172=25),"+7",IF(OR(J172=26,J172=27),"+8",IF(OR(J172=28,J172=29),"+9",IF(J172=30,"+10"," "))))))))))))))))</f>
        <v>+6</v>
      </c>
      <c r="L172" s="3" t="n">
        <v>14</v>
      </c>
      <c r="M172" s="1" t="str">
        <f aca="false">IF(L172=1,"-5",IF(OR(L172=2,L172=3),"-4",IF(OR(L172=4,L172=5),"-3",IF(OR(L172=6,L172=7),"-2",IF(OR(L172=8,L172=9),"-1",IF(OR(L172=10,L172=11),"0",IF(OR(L172=12,L172=13),"+1",IF(OR(L172=14,L172=15),"+2",IF(OR(L172=16,L172=17),"+3",IF(OR(L172=18,L172=19),"+4",IF(OR(L172=20,L172=21),"+5",IF(OR(L172=22,L172=23),"+6",IF(OR(L172=24,L172=25),"+7",IF(OR(L172=26,L172=27),"+8",IF(OR(L172=28,L172=29),"+9",IF(L172=30,"+10"," "))))))))))))))))</f>
        <v>+2</v>
      </c>
      <c r="N172" s="3" t="n">
        <v>21</v>
      </c>
      <c r="O172" s="1" t="str">
        <f aca="false">IF(N172=1,"-5",IF(OR(N172=2,N172=3),"-4",IF(OR(N172=4,N172=5),"-3",IF(OR(N172=6,N172=7),"-2",IF(OR(N172=8,N172=9),"-1",IF(OR(N172=10,N172=11),"0",IF(OR(N172=12,N172=13),"+1",IF(OR(N172=14,N172=15),"+2",IF(OR(N172=16,N172=17),"+3",IF(OR(N172=18,N172=19),"+4",IF(OR(N172=20,N172=21),"+5",IF(OR(N172=22,N172=23),"+6",IF(OR(N172=24,N172=25),"+7",IF(OR(N172=26,N172=27),"+8",IF(OR(N172=28,N172=29),"+9",IF(N172=30,"+10"," "))))))))))))))))</f>
        <v>+5</v>
      </c>
      <c r="P172" s="3" t="n">
        <v>16</v>
      </c>
      <c r="Q172" s="1" t="str">
        <f aca="false">IF(P172=1,"-5",IF(OR(P172=2,P172=3),"-4",IF(OR(P172=4,P172=5),"-3",IF(OR(P172=6,P172=7),"-2",IF(OR(P172=8,P172=9),"-1",IF(OR(P172=10,P172=11),"0",IF(OR(P172=12,P172=13),"+1",IF(OR(P172=14,P172=15),"+2",IF(OR(P172=16,P172=17),"+3",IF(OR(P172=18,P172=19),"+4",IF(OR(P172=20,P172=21),"+5",IF(OR(P172=22,P172=23),"+6",IF(OR(P172=24,P172=25),"+7",IF(OR(P172=26,P172=27),"+8",IF(OR(P172=28,P172=29),"+9",IF(P172=30,"+10"," "))))))))))))))))</f>
        <v>+3</v>
      </c>
      <c r="R172" s="3" t="n">
        <v>13</v>
      </c>
      <c r="S172" s="1" t="str">
        <f aca="false">IF(R172=1,"-5",IF(OR(R172=2,R172=3),"-4",IF(OR(R172=4,R172=5),"-3",IF(OR(R172=6,R172=7),"-2",IF(OR(R172=8,R172=9),"-1",IF(OR(R172=10,R172=11),"0",IF(OR(R172=12,R172=13),"+1",IF(OR(R172=14,R172=15),"+2",IF(OR(R172=16,R172=17),"+3",IF(OR(R172=18,R172=19),"+4",IF(OR(R172=20,R172=21),"+5",IF(OR(R172=22,R172=23),"+6",IF(OR(R172=24,R172=25),"+7",IF(OR(R172=26,R172=27),"+8",IF(OR(R172=28,R172=29),"+9",IF(R172=30,"+10"," "))))))))))))))))</f>
        <v>+1</v>
      </c>
      <c r="T172" s="3" t="n">
        <v>20</v>
      </c>
      <c r="U172" s="1" t="str">
        <f aca="false">IF(T172=1,"-5",IF(OR(T172=2,T172=3),"-4",IF(OR(T172=4,T172=5),"-3",IF(OR(T172=6,T172=7),"-2",IF(OR(T172=8,T172=9),"-1",IF(OR(T172=10,T172=11),"0",IF(OR(T172=12,T172=13),"+1",IF(OR(T172=14,T172=15),"+2",IF(OR(T172=16,T172=17),"+3",IF(OR(T172=18,T172=19),"+4",IF(OR(T172=20,T172=21),"+5",IF(OR(T172=22,T172=23),"+6",IF(OR(T172=24,T172=25),"+7",IF(OR(T172=26,T172=27),"+8",IF(OR(T172=28,T172=29),"+9",IF(T172=30,"+10"," "))))))))))))))))</f>
        <v>+5</v>
      </c>
      <c r="V172" s="3" t="s">
        <v>960</v>
      </c>
      <c r="W172" s="3" t="s">
        <v>643</v>
      </c>
      <c r="X172" s="11" t="s">
        <v>961</v>
      </c>
      <c r="Y172" s="11" t="s">
        <v>962</v>
      </c>
      <c r="Z172" s="11" t="s">
        <v>37</v>
      </c>
      <c r="AA172" s="12" t="s">
        <v>37</v>
      </c>
      <c r="AB172" s="1"/>
      <c r="AC172" s="1"/>
      <c r="AD172" s="1"/>
      <c r="AE172" s="1"/>
      <c r="AF172" s="1"/>
    </row>
    <row r="173" customFormat="false" ht="16.4" hidden="false" customHeight="false" outlineLevel="0" collapsed="false">
      <c r="A173" s="15" t="s">
        <v>963</v>
      </c>
      <c r="B173" s="3" t="s">
        <v>938</v>
      </c>
      <c r="C173" s="3" t="s">
        <v>748</v>
      </c>
      <c r="D173" s="16" t="n">
        <v>1</v>
      </c>
      <c r="E173" s="3" t="n">
        <f aca="false">VLOOKUP(D173,'[1]REF Tables'!$A$2:$B$40,2)</f>
        <v>200</v>
      </c>
      <c r="F173" s="3" t="s">
        <v>315</v>
      </c>
      <c r="G173" s="3" t="n">
        <v>15</v>
      </c>
      <c r="H173" s="3" t="s">
        <v>964</v>
      </c>
      <c r="I173" s="3" t="s">
        <v>449</v>
      </c>
      <c r="J173" s="3" t="n">
        <v>3</v>
      </c>
      <c r="K173" s="1" t="str">
        <f aca="false">IF(J173=1,"-5",IF(OR(J173=2,J173=3),"-4",IF(OR(J173=4,J173=5),"-3",IF(OR(J173=6,J173=7),"-2",IF(OR(J173=8,J173=9),"-1",IF(OR(J173=10,J173=11),"0",IF(OR(J173=12,J173=13),"+1",IF(OR(J173=14,J173=15),"+2",IF(OR(J173=16,J173=17),"+3",IF(OR(J173=18,J173=19),"+4",IF(OR(J173=20,J173=21),"+5",IF(OR(J173=22,J173=23),"+6",IF(OR(J173=24,J173=25),"+7",IF(OR(J173=26,J173=27),"+8",IF(OR(J173=28,J173=29),"+9",IF(J173=30,"+10"," "))))))))))))))))</f>
        <v>-4</v>
      </c>
      <c r="L173" s="3" t="n">
        <v>20</v>
      </c>
      <c r="M173" s="1" t="str">
        <f aca="false">IF(L173=1,"-5",IF(OR(L173=2,L173=3),"-4",IF(OR(L173=4,L173=5),"-3",IF(OR(L173=6,L173=7),"-2",IF(OR(L173=8,L173=9),"-1",IF(OR(L173=10,L173=11),"0",IF(OR(L173=12,L173=13),"+1",IF(OR(L173=14,L173=15),"+2",IF(OR(L173=16,L173=17),"+3",IF(OR(L173=18,L173=19),"+4",IF(OR(L173=20,L173=21),"+5",IF(OR(L173=22,L173=23),"+6",IF(OR(L173=24,L173=25),"+7",IF(OR(L173=26,L173=27),"+8",IF(OR(L173=28,L173=29),"+9",IF(L173=30,"+10"," "))))))))))))))))</f>
        <v>+5</v>
      </c>
      <c r="N173" s="3" t="n">
        <v>13</v>
      </c>
      <c r="O173" s="1" t="str">
        <f aca="false">IF(N173=1,"-5",IF(OR(N173=2,N173=3),"-4",IF(OR(N173=4,N173=5),"-3",IF(OR(N173=6,N173=7),"-2",IF(OR(N173=8,N173=9),"-1",IF(OR(N173=10,N173=11),"0",IF(OR(N173=12,N173=13),"+1",IF(OR(N173=14,N173=15),"+2",IF(OR(N173=16,N173=17),"+3",IF(OR(N173=18,N173=19),"+4",IF(OR(N173=20,N173=21),"+5",IF(OR(N173=22,N173=23),"+6",IF(OR(N173=24,N173=25),"+7",IF(OR(N173=26,N173=27),"+8",IF(OR(N173=28,N173=29),"+9",IF(N173=30,"+10"," "))))))))))))))))</f>
        <v>+1</v>
      </c>
      <c r="P173" s="3" t="n">
        <v>14</v>
      </c>
      <c r="Q173" s="1" t="str">
        <f aca="false">IF(P173=1,"-5",IF(OR(P173=2,P173=3),"-4",IF(OR(P173=4,P173=5),"-3",IF(OR(P173=6,P173=7),"-2",IF(OR(P173=8,P173=9),"-1",IF(OR(P173=10,P173=11),"0",IF(OR(P173=12,P173=13),"+1",IF(OR(P173=14,P173=15),"+2",IF(OR(P173=16,P173=17),"+3",IF(OR(P173=18,P173=19),"+4",IF(OR(P173=20,P173=21),"+5",IF(OR(P173=22,P173=23),"+6",IF(OR(P173=24,P173=25),"+7",IF(OR(P173=26,P173=27),"+8",IF(OR(P173=28,P173=29),"+9",IF(P173=30,"+10"," "))))))))))))))))</f>
        <v>+2</v>
      </c>
      <c r="R173" s="3" t="n">
        <v>12</v>
      </c>
      <c r="S173" s="1" t="str">
        <f aca="false">IF(R173=1,"-5",IF(OR(R173=2,R173=3),"-4",IF(OR(R173=4,R173=5),"-3",IF(OR(R173=6,R173=7),"-2",IF(OR(R173=8,R173=9),"-1",IF(OR(R173=10,R173=11),"0",IF(OR(R173=12,R173=13),"+1",IF(OR(R173=14,R173=15),"+2",IF(OR(R173=16,R173=17),"+3",IF(OR(R173=18,R173=19),"+4",IF(OR(R173=20,R173=21),"+5",IF(OR(R173=22,R173=23),"+6",IF(OR(R173=24,R173=25),"+7",IF(OR(R173=26,R173=27),"+8",IF(OR(R173=28,R173=29),"+9",IF(R173=30,"+10"," "))))))))))))))))</f>
        <v>+1</v>
      </c>
      <c r="T173" s="3" t="n">
        <v>16</v>
      </c>
      <c r="U173" s="1" t="str">
        <f aca="false">IF(T173=1,"-5",IF(OR(T173=2,T173=3),"-4",IF(OR(T173=4,T173=5),"-3",IF(OR(T173=6,T173=7),"-2",IF(OR(T173=8,T173=9),"-1",IF(OR(T173=10,T173=11),"0",IF(OR(T173=12,T173=13),"+1",IF(OR(T173=14,T173=15),"+2",IF(OR(T173=16,T173=17),"+3",IF(OR(T173=18,T173=19),"+4",IF(OR(T173=20,T173=21),"+5",IF(OR(T173=22,T173=23),"+6",IF(OR(T173=24,T173=25),"+7",IF(OR(T173=26,T173=27),"+8",IF(OR(T173=28,T173=29),"+9",IF(T173=30,"+10"," "))))))))))))))))</f>
        <v>+3</v>
      </c>
      <c r="V173" s="3" t="s">
        <v>965</v>
      </c>
      <c r="W173" s="3" t="s">
        <v>966</v>
      </c>
      <c r="X173" s="11" t="s">
        <v>967</v>
      </c>
      <c r="Y173" s="11" t="s">
        <v>968</v>
      </c>
      <c r="Z173" s="11" t="s">
        <v>37</v>
      </c>
      <c r="AA173" s="12" t="s">
        <v>37</v>
      </c>
    </row>
    <row r="174" customFormat="false" ht="16.4" hidden="false" customHeight="false" outlineLevel="0" collapsed="false">
      <c r="A174" s="15" t="s">
        <v>969</v>
      </c>
      <c r="B174" s="3" t="s">
        <v>776</v>
      </c>
      <c r="C174" s="3" t="s">
        <v>222</v>
      </c>
      <c r="D174" s="16" t="n">
        <v>14</v>
      </c>
      <c r="E174" s="6" t="n">
        <f aca="false">VLOOKUP(D174,'[1]REF Tables'!$A$2:$B$40,2)</f>
        <v>11500</v>
      </c>
      <c r="F174" s="3" t="s">
        <v>121</v>
      </c>
      <c r="G174" s="3" t="n">
        <v>19</v>
      </c>
      <c r="H174" s="3" t="s">
        <v>970</v>
      </c>
      <c r="I174" s="3" t="s">
        <v>876</v>
      </c>
      <c r="J174" s="3" t="n">
        <v>23</v>
      </c>
      <c r="K174" s="1" t="str">
        <f aca="false">IF(J174=1,"-5",IF(OR(J174=2,J174=3),"-4",IF(OR(J174=4,J174=5),"-3",IF(OR(J174=6,J174=7),"-2",IF(OR(J174=8,J174=9),"-1",IF(OR(J174=10,J174=11),"0",IF(OR(J174=12,J174=13),"+1",IF(OR(J174=14,J174=15),"+2",IF(OR(J174=16,J174=17),"+3",IF(OR(J174=18,J174=19),"+4",IF(OR(J174=20,J174=21),"+5",IF(OR(J174=22,J174=23),"+6",IF(OR(J174=24,J174=25),"+7",IF(OR(J174=26,J174=27),"+8",IF(OR(J174=28,J174=29),"+9",IF(J174=30,"+10"," "))))))))))))))))</f>
        <v>+6</v>
      </c>
      <c r="L174" s="3" t="n">
        <v>14</v>
      </c>
      <c r="M174" s="1" t="str">
        <f aca="false">IF(L174=1,"-5",IF(OR(L174=2,L174=3),"-4",IF(OR(L174=4,L174=5),"-3",IF(OR(L174=6,L174=7),"-2",IF(OR(L174=8,L174=9),"-1",IF(OR(L174=10,L174=11),"0",IF(OR(L174=12,L174=13),"+1",IF(OR(L174=14,L174=15),"+2",IF(OR(L174=16,L174=17),"+3",IF(OR(L174=18,L174=19),"+4",IF(OR(L174=20,L174=21),"+5",IF(OR(L174=22,L174=23),"+6",IF(OR(L174=24,L174=25),"+7",IF(OR(L174=26,L174=27),"+8",IF(OR(L174=28,L174=29),"+9",IF(L174=30,"+10"," "))))))))))))))))</f>
        <v>+2</v>
      </c>
      <c r="N174" s="3" t="n">
        <v>21</v>
      </c>
      <c r="O174" s="1" t="str">
        <f aca="false">IF(N174=1,"-5",IF(OR(N174=2,N174=3),"-4",IF(OR(N174=4,N174=5),"-3",IF(OR(N174=6,N174=7),"-2",IF(OR(N174=8,N174=9),"-1",IF(OR(N174=10,N174=11),"0",IF(OR(N174=12,N174=13),"+1",IF(OR(N174=14,N174=15),"+2",IF(OR(N174=16,N174=17),"+3",IF(OR(N174=18,N174=19),"+4",IF(OR(N174=20,N174=21),"+5",IF(OR(N174=22,N174=23),"+6",IF(OR(N174=24,N174=25),"+7",IF(OR(N174=26,N174=27),"+8",IF(OR(N174=28,N174=29),"+9",IF(N174=30,"+10"," "))))))))))))))))</f>
        <v>+5</v>
      </c>
      <c r="P174" s="3" t="n">
        <v>14</v>
      </c>
      <c r="Q174" s="1" t="str">
        <f aca="false">IF(P174=1,"-5",IF(OR(P174=2,P174=3),"-4",IF(OR(P174=4,P174=5),"-3",IF(OR(P174=6,P174=7),"-2",IF(OR(P174=8,P174=9),"-1",IF(OR(P174=10,P174=11),"0",IF(OR(P174=12,P174=13),"+1",IF(OR(P174=14,P174=15),"+2",IF(OR(P174=16,P174=17),"+3",IF(OR(P174=18,P174=19),"+4",IF(OR(P174=20,P174=21),"+5",IF(OR(P174=22,P174=23),"+6",IF(OR(P174=24,P174=25),"+7",IF(OR(P174=26,P174=27),"+8",IF(OR(P174=28,P174=29),"+9",IF(P174=30,"+10"," "))))))))))))))))</f>
        <v>+2</v>
      </c>
      <c r="R174" s="3" t="n">
        <v>13</v>
      </c>
      <c r="S174" s="1" t="str">
        <f aca="false">IF(R174=1,"-5",IF(OR(R174=2,R174=3),"-4",IF(OR(R174=4,R174=5),"-3",IF(OR(R174=6,R174=7),"-2",IF(OR(R174=8,R174=9),"-1",IF(OR(R174=10,R174=11),"0",IF(OR(R174=12,R174=13),"+1",IF(OR(R174=14,R174=15),"+2",IF(OR(R174=16,R174=17),"+3",IF(OR(R174=18,R174=19),"+4",IF(OR(R174=20,R174=21),"+5",IF(OR(R174=22,R174=23),"+6",IF(OR(R174=24,R174=25),"+7",IF(OR(R174=26,R174=27),"+8",IF(OR(R174=28,R174=29),"+9",IF(R174=30,"+10"," "))))))))))))))))</f>
        <v>+1</v>
      </c>
      <c r="T174" s="3" t="n">
        <v>17</v>
      </c>
      <c r="U174" s="1" t="str">
        <f aca="false">IF(T174=1,"-5",IF(OR(T174=2,T174=3),"-4",IF(OR(T174=4,T174=5),"-3",IF(OR(T174=6,T174=7),"-2",IF(OR(T174=8,T174=9),"-1",IF(OR(T174=10,T174=11),"0",IF(OR(T174=12,T174=13),"+1",IF(OR(T174=14,T174=15),"+2",IF(OR(T174=16,T174=17),"+3",IF(OR(T174=18,T174=19),"+4",IF(OR(T174=20,T174=21),"+5",IF(OR(T174=22,T174=23),"+6",IF(OR(T174=24,T174=25),"+7",IF(OR(T174=26,T174=27),"+8",IF(OR(T174=28,T174=29),"+9",IF(T174=30,"+10"," "))))))))))))))))</f>
        <v>+3</v>
      </c>
      <c r="V174" s="3" t="s">
        <v>971</v>
      </c>
      <c r="W174" s="3" t="s">
        <v>643</v>
      </c>
      <c r="X174" s="11" t="s">
        <v>972</v>
      </c>
      <c r="Y174" s="11" t="s">
        <v>973</v>
      </c>
      <c r="Z174" s="11" t="s">
        <v>37</v>
      </c>
      <c r="AA174" s="12" t="s">
        <v>837</v>
      </c>
    </row>
    <row r="175" customFormat="false" ht="16.4" hidden="false" customHeight="false" outlineLevel="0" collapsed="false">
      <c r="A175" s="15" t="s">
        <v>974</v>
      </c>
      <c r="B175" s="3" t="s">
        <v>776</v>
      </c>
      <c r="C175" s="3" t="s">
        <v>222</v>
      </c>
      <c r="D175" s="16" t="n">
        <v>21</v>
      </c>
      <c r="E175" s="6" t="n">
        <f aca="false">VLOOKUP(D175,'[1]REF Tables'!$A$2:$B$40,2)</f>
        <v>33000</v>
      </c>
      <c r="F175" s="3" t="s">
        <v>601</v>
      </c>
      <c r="G175" s="3" t="n">
        <v>22</v>
      </c>
      <c r="H175" s="3" t="s">
        <v>975</v>
      </c>
      <c r="I175" s="3" t="s">
        <v>876</v>
      </c>
      <c r="J175" s="3" t="n">
        <v>27</v>
      </c>
      <c r="K175" s="1" t="str">
        <f aca="false">IF(J175=1,"-5",IF(OR(J175=2,J175=3),"-4",IF(OR(J175=4,J175=5),"-3",IF(OR(J175=6,J175=7),"-2",IF(OR(J175=8,J175=9),"-1",IF(OR(J175=10,J175=11),"0",IF(OR(J175=12,J175=13),"+1",IF(OR(J175=14,J175=15),"+2",IF(OR(J175=16,J175=17),"+3",IF(OR(J175=18,J175=19),"+4",IF(OR(J175=20,J175=21),"+5",IF(OR(J175=22,J175=23),"+6",IF(OR(J175=24,J175=25),"+7",IF(OR(J175=26,J175=27),"+8",IF(OR(J175=28,J175=29),"+9",IF(J175=30,"+10"," "))))))))))))))))</f>
        <v>+8</v>
      </c>
      <c r="L175" s="3" t="n">
        <v>14</v>
      </c>
      <c r="M175" s="1" t="str">
        <f aca="false">IF(L175=1,"-5",IF(OR(L175=2,L175=3),"-4",IF(OR(L175=4,L175=5),"-3",IF(OR(L175=6,L175=7),"-2",IF(OR(L175=8,L175=9),"-1",IF(OR(L175=10,L175=11),"0",IF(OR(L175=12,L175=13),"+1",IF(OR(L175=14,L175=15),"+2",IF(OR(L175=16,L175=17),"+3",IF(OR(L175=18,L175=19),"+4",IF(OR(L175=20,L175=21),"+5",IF(OR(L175=22,L175=23),"+6",IF(OR(L175=24,L175=25),"+7",IF(OR(L175=26,L175=27),"+8",IF(OR(L175=28,L175=29),"+9",IF(L175=30,"+10"," "))))))))))))))))</f>
        <v>+2</v>
      </c>
      <c r="N175" s="3" t="n">
        <v>25</v>
      </c>
      <c r="O175" s="1" t="str">
        <f aca="false">IF(N175=1,"-5",IF(OR(N175=2,N175=3),"-4",IF(OR(N175=4,N175=5),"-3",IF(OR(N175=6,N175=7),"-2",IF(OR(N175=8,N175=9),"-1",IF(OR(N175=10,N175=11),"0",IF(OR(N175=12,N175=13),"+1",IF(OR(N175=14,N175=15),"+2",IF(OR(N175=16,N175=17),"+3",IF(OR(N175=18,N175=19),"+4",IF(OR(N175=20,N175=21),"+5",IF(OR(N175=22,N175=23),"+6",IF(OR(N175=24,N175=25),"+7",IF(OR(N175=26,N175=27),"+8",IF(OR(N175=28,N175=29),"+9",IF(N175=30,"+10"," "))))))))))))))))</f>
        <v>+7</v>
      </c>
      <c r="P175" s="3" t="n">
        <v>16</v>
      </c>
      <c r="Q175" s="1" t="str">
        <f aca="false">IF(P175=1,"-5",IF(OR(P175=2,P175=3),"-4",IF(OR(P175=4,P175=5),"-3",IF(OR(P175=6,P175=7),"-2",IF(OR(P175=8,P175=9),"-1",IF(OR(P175=10,P175=11),"0",IF(OR(P175=12,P175=13),"+1",IF(OR(P175=14,P175=15),"+2",IF(OR(P175=16,P175=17),"+3",IF(OR(P175=18,P175=19),"+4",IF(OR(P175=20,P175=21),"+5",IF(OR(P175=22,P175=23),"+6",IF(OR(P175=24,P175=25),"+7",IF(OR(P175=26,P175=27),"+8",IF(OR(P175=28,P175=29),"+9",IF(P175=30,"+10"," "))))))))))))))))</f>
        <v>+3</v>
      </c>
      <c r="R175" s="3" t="n">
        <v>15</v>
      </c>
      <c r="S175" s="1" t="str">
        <f aca="false">IF(R175=1,"-5",IF(OR(R175=2,R175=3),"-4",IF(OR(R175=4,R175=5),"-3",IF(OR(R175=6,R175=7),"-2",IF(OR(R175=8,R175=9),"-1",IF(OR(R175=10,R175=11),"0",IF(OR(R175=12,R175=13),"+1",IF(OR(R175=14,R175=15),"+2",IF(OR(R175=16,R175=17),"+3",IF(OR(R175=18,R175=19),"+4",IF(OR(R175=20,R175=21),"+5",IF(OR(R175=22,R175=23),"+6",IF(OR(R175=24,R175=25),"+7",IF(OR(R175=26,R175=27),"+8",IF(OR(R175=28,R175=29),"+9",IF(R175=30,"+10"," "))))))))))))))))</f>
        <v>+2</v>
      </c>
      <c r="T175" s="3" t="n">
        <v>19</v>
      </c>
      <c r="U175" s="1" t="str">
        <f aca="false">IF(T175=1,"-5",IF(OR(T175=2,T175=3),"-4",IF(OR(T175=4,T175=5),"-3",IF(OR(T175=6,T175=7),"-2",IF(OR(T175=8,T175=9),"-1",IF(OR(T175=10,T175=11),"0",IF(OR(T175=12,T175=13),"+1",IF(OR(T175=14,T175=15),"+2",IF(OR(T175=16,T175=17),"+3",IF(OR(T175=18,T175=19),"+4",IF(OR(T175=20,T175=21),"+5",IF(OR(T175=22,T175=23),"+6",IF(OR(T175=24,T175=25),"+7",IF(OR(T175=26,T175=27),"+8",IF(OR(T175=28,T175=29),"+9",IF(T175=30,"+10"," "))))))))))))))))</f>
        <v>+4</v>
      </c>
      <c r="V175" s="3" t="s">
        <v>976</v>
      </c>
      <c r="W175" s="3" t="s">
        <v>643</v>
      </c>
      <c r="X175" s="11" t="s">
        <v>977</v>
      </c>
      <c r="Y175" s="11" t="s">
        <v>978</v>
      </c>
      <c r="Z175" s="11" t="s">
        <v>37</v>
      </c>
      <c r="AA175" s="12" t="s">
        <v>913</v>
      </c>
    </row>
    <row r="176" customFormat="false" ht="16.4" hidden="false" customHeight="false" outlineLevel="0" collapsed="false">
      <c r="A176" s="14" t="s">
        <v>979</v>
      </c>
      <c r="B176" s="1" t="s">
        <v>776</v>
      </c>
      <c r="C176" s="1" t="s">
        <v>222</v>
      </c>
      <c r="D176" s="5" t="n">
        <v>2</v>
      </c>
      <c r="E176" s="3" t="n">
        <f aca="false">VLOOKUP(D176,'[1]REF Tables'!$A$2:$B$40,2)</f>
        <v>450</v>
      </c>
      <c r="F176" s="1" t="s">
        <v>30</v>
      </c>
      <c r="G176" s="1" t="n">
        <v>17</v>
      </c>
      <c r="H176" s="1" t="s">
        <v>198</v>
      </c>
      <c r="I176" s="3" t="s">
        <v>887</v>
      </c>
      <c r="J176" s="1" t="n">
        <v>15</v>
      </c>
      <c r="K176" s="1" t="str">
        <f aca="false">IF(J176=1,"-5",IF(OR(J176=2,J176=3),"-4",IF(OR(J176=4,J176=5),"-3",IF(OR(J176=6,J176=7),"-2",IF(OR(J176=8,J176=9),"-1",IF(OR(J176=10,J176=11),"0",IF(OR(J176=12,J176=13),"+1",IF(OR(J176=14,J176=15),"+2",IF(OR(J176=16,J176=17),"+3",IF(OR(J176=18,J176=19),"+4",IF(OR(J176=20,J176=21),"+5",IF(OR(J176=22,J176=23),"+6",IF(OR(J176=24,J176=25),"+7",IF(OR(J176=26,J176=27),"+8",IF(OR(J176=28,J176=29),"+9",IF(J176=30,"+10"," "))))))))))))))))</f>
        <v>+2</v>
      </c>
      <c r="L176" s="1" t="n">
        <v>14</v>
      </c>
      <c r="M176" s="1" t="str">
        <f aca="false">IF(L176=1,"-5",IF(OR(L176=2,L176=3),"-4",IF(OR(L176=4,L176=5),"-3",IF(OR(L176=6,L176=7),"-2",IF(OR(L176=8,L176=9),"-1",IF(OR(L176=10,L176=11),"0",IF(OR(L176=12,L176=13),"+1",IF(OR(L176=14,L176=15),"+2",IF(OR(L176=16,L176=17),"+3",IF(OR(L176=18,L176=19),"+4",IF(OR(L176=20,L176=21),"+5",IF(OR(L176=22,L176=23),"+6",IF(OR(L176=24,L176=25),"+7",IF(OR(L176=26,L176=27),"+8",IF(OR(L176=28,L176=29),"+9",IF(L176=30,"+10"," "))))))))))))))))</f>
        <v>+2</v>
      </c>
      <c r="N176" s="1" t="n">
        <v>13</v>
      </c>
      <c r="O176" s="1" t="str">
        <f aca="false">IF(N176=1,"-5",IF(OR(N176=2,N176=3),"-4",IF(OR(N176=4,N176=5),"-3",IF(OR(N176=6,N176=7),"-2",IF(OR(N176=8,N176=9),"-1",IF(OR(N176=10,N176=11),"0",IF(OR(N176=12,N176=13),"+1",IF(OR(N176=14,N176=15),"+2",IF(OR(N176=16,N176=17),"+3",IF(OR(N176=18,N176=19),"+4",IF(OR(N176=20,N176=21),"+5",IF(OR(N176=22,N176=23),"+6",IF(OR(N176=24,N176=25),"+7",IF(OR(N176=26,N176=27),"+8",IF(OR(N176=28,N176=29),"+9",IF(N176=30,"+10"," "))))))))))))))))</f>
        <v>+1</v>
      </c>
      <c r="P176" s="1" t="n">
        <v>10</v>
      </c>
      <c r="Q176" s="1" t="str">
        <f aca="false">IF(P176=1,"-5",IF(OR(P176=2,P176=3),"-4",IF(OR(P176=4,P176=5),"-3",IF(OR(P176=6,P176=7),"-2",IF(OR(P176=8,P176=9),"-1",IF(OR(P176=10,P176=11),"0",IF(OR(P176=12,P176=13),"+1",IF(OR(P176=14,P176=15),"+2",IF(OR(P176=16,P176=17),"+3",IF(OR(P176=18,P176=19),"+4",IF(OR(P176=20,P176=21),"+5",IF(OR(P176=22,P176=23),"+6",IF(OR(P176=24,P176=25),"+7",IF(OR(P176=26,P176=27),"+8",IF(OR(P176=28,P176=29),"+9",IF(P176=30,"+10"," "))))))))))))))))</f>
        <v>0</v>
      </c>
      <c r="R176" s="1" t="n">
        <v>11</v>
      </c>
      <c r="S176" s="1" t="str">
        <f aca="false">IF(R176=1,"-5",IF(OR(R176=2,R176=3),"-4",IF(OR(R176=4,R176=5),"-3",IF(OR(R176=6,R176=7),"-2",IF(OR(R176=8,R176=9),"-1",IF(OR(R176=10,R176=11),"0",IF(OR(R176=12,R176=13),"+1",IF(OR(R176=14,R176=15),"+2",IF(OR(R176=16,R176=17),"+3",IF(OR(R176=18,R176=19),"+4",IF(OR(R176=20,R176=21),"+5",IF(OR(R176=22,R176=23),"+6",IF(OR(R176=24,R176=25),"+7",IF(OR(R176=26,R176=27),"+8",IF(OR(R176=28,R176=29),"+9",IF(R176=30,"+10"," "))))))))))))))))</f>
        <v>0</v>
      </c>
      <c r="T176" s="1" t="n">
        <v>13</v>
      </c>
      <c r="U176" s="1" t="str">
        <f aca="false">IF(T176=1,"-5",IF(OR(T176=2,T176=3),"-4",IF(OR(T176=4,T176=5),"-3",IF(OR(T176=6,T176=7),"-2",IF(OR(T176=8,T176=9),"-1",IF(OR(T176=10,T176=11),"0",IF(OR(T176=12,T176=13),"+1",IF(OR(T176=14,T176=15),"+2",IF(OR(T176=16,T176=17),"+3",IF(OR(T176=18,T176=19),"+4",IF(OR(T176=20,T176=21),"+5",IF(OR(T176=22,T176=23),"+6",IF(OR(T176=24,T176=25),"+7",IF(OR(T176=26,T176=27),"+8",IF(OR(T176=28,T176=29),"+9",IF(T176=30,"+10"," "))))))))))))))))</f>
        <v>+1</v>
      </c>
      <c r="V176" s="1" t="s">
        <v>980</v>
      </c>
      <c r="W176" s="1" t="s">
        <v>311</v>
      </c>
      <c r="X176" s="2" t="s">
        <v>981</v>
      </c>
      <c r="Y176" s="2" t="s">
        <v>982</v>
      </c>
      <c r="Z176" s="2" t="s">
        <v>37</v>
      </c>
      <c r="AA176" s="1" t="s">
        <v>37</v>
      </c>
    </row>
    <row r="177" customFormat="false" ht="16.4" hidden="false" customHeight="false" outlineLevel="0" collapsed="false">
      <c r="A177" s="15" t="s">
        <v>983</v>
      </c>
      <c r="B177" s="3" t="s">
        <v>776</v>
      </c>
      <c r="C177" s="3" t="s">
        <v>222</v>
      </c>
      <c r="D177" s="16" t="n">
        <v>7</v>
      </c>
      <c r="E177" s="6" t="n">
        <f aca="false">VLOOKUP(D177,'[1]REF Tables'!$A$2:$B$40,2)</f>
        <v>2900</v>
      </c>
      <c r="F177" s="3" t="s">
        <v>50</v>
      </c>
      <c r="G177" s="3" t="n">
        <v>18</v>
      </c>
      <c r="H177" s="3" t="s">
        <v>984</v>
      </c>
      <c r="I177" s="3" t="s">
        <v>876</v>
      </c>
      <c r="J177" s="3" t="n">
        <v>19</v>
      </c>
      <c r="K177" s="1" t="str">
        <f aca="false">IF(J177=1,"-5",IF(OR(J177=2,J177=3),"-4",IF(OR(J177=4,J177=5),"-3",IF(OR(J177=6,J177=7),"-2",IF(OR(J177=8,J177=9),"-1",IF(OR(J177=10,J177=11),"0",IF(OR(J177=12,J177=13),"+1",IF(OR(J177=14,J177=15),"+2",IF(OR(J177=16,J177=17),"+3",IF(OR(J177=18,J177=19),"+4",IF(OR(J177=20,J177=21),"+5",IF(OR(J177=22,J177=23),"+6",IF(OR(J177=24,J177=25),"+7",IF(OR(J177=26,J177=27),"+8",IF(OR(J177=28,J177=29),"+9",IF(J177=30,"+10"," "))))))))))))))))</f>
        <v>+4</v>
      </c>
      <c r="L177" s="3" t="n">
        <v>14</v>
      </c>
      <c r="M177" s="1" t="str">
        <f aca="false">IF(L177=1,"-5",IF(OR(L177=2,L177=3),"-4",IF(OR(L177=4,L177=5),"-3",IF(OR(L177=6,L177=7),"-2",IF(OR(L177=8,L177=9),"-1",IF(OR(L177=10,L177=11),"0",IF(OR(L177=12,L177=13),"+1",IF(OR(L177=14,L177=15),"+2",IF(OR(L177=16,L177=17),"+3",IF(OR(L177=18,L177=19),"+4",IF(OR(L177=20,L177=21),"+5",IF(OR(L177=22,L177=23),"+6",IF(OR(L177=24,L177=25),"+7",IF(OR(L177=26,L177=27),"+8",IF(OR(L177=28,L177=29),"+9",IF(L177=30,"+10"," "))))))))))))))))</f>
        <v>+2</v>
      </c>
      <c r="N177" s="3" t="n">
        <v>17</v>
      </c>
      <c r="O177" s="1" t="str">
        <f aca="false">IF(N177=1,"-5",IF(OR(N177=2,N177=3),"-4",IF(OR(N177=4,N177=5),"-3",IF(OR(N177=6,N177=7),"-2",IF(OR(N177=8,N177=9),"-1",IF(OR(N177=10,N177=11),"0",IF(OR(N177=12,N177=13),"+1",IF(OR(N177=14,N177=15),"+2",IF(OR(N177=16,N177=17),"+3",IF(OR(N177=18,N177=19),"+4",IF(OR(N177=20,N177=21),"+5",IF(OR(N177=22,N177=23),"+6",IF(OR(N177=24,N177=25),"+7",IF(OR(N177=26,N177=27),"+8",IF(OR(N177=28,N177=29),"+9",IF(N177=30,"+10"," "))))))))))))))))</f>
        <v>+3</v>
      </c>
      <c r="P177" s="3" t="n">
        <v>12</v>
      </c>
      <c r="Q177" s="1" t="str">
        <f aca="false">IF(P177=1,"-5",IF(OR(P177=2,P177=3),"-4",IF(OR(P177=4,P177=5),"-3",IF(OR(P177=6,P177=7),"-2",IF(OR(P177=8,P177=9),"-1",IF(OR(P177=10,P177=11),"0",IF(OR(P177=12,P177=13),"+1",IF(OR(P177=14,P177=15),"+2",IF(OR(P177=16,P177=17),"+3",IF(OR(P177=18,P177=19),"+4",IF(OR(P177=20,P177=21),"+5",IF(OR(P177=22,P177=23),"+6",IF(OR(P177=24,P177=25),"+7",IF(OR(P177=26,P177=27),"+8",IF(OR(P177=28,P177=29),"+9",IF(P177=30,"+10"," "))))))))))))))))</f>
        <v>+1</v>
      </c>
      <c r="R177" s="3" t="n">
        <v>11</v>
      </c>
      <c r="S177" s="1" t="str">
        <f aca="false">IF(R177=1,"-5",IF(OR(R177=2,R177=3),"-4",IF(OR(R177=4,R177=5),"-3",IF(OR(R177=6,R177=7),"-2",IF(OR(R177=8,R177=9),"-1",IF(OR(R177=10,R177=11),"0",IF(OR(R177=12,R177=13),"+1",IF(OR(R177=14,R177=15),"+2",IF(OR(R177=16,R177=17),"+3",IF(OR(R177=18,R177=19),"+4",IF(OR(R177=20,R177=21),"+5",IF(OR(R177=22,R177=23),"+6",IF(OR(R177=24,R177=25),"+7",IF(OR(R177=26,R177=27),"+8",IF(OR(R177=28,R177=29),"+9",IF(R177=30,"+10"," "))))))))))))))))</f>
        <v>0</v>
      </c>
      <c r="T177" s="3" t="n">
        <v>15</v>
      </c>
      <c r="U177" s="1" t="str">
        <f aca="false">IF(T177=1,"-5",IF(OR(T177=2,T177=3),"-4",IF(OR(T177=4,T177=5),"-3",IF(OR(T177=6,T177=7),"-2",IF(OR(T177=8,T177=9),"-1",IF(OR(T177=10,T177=11),"0",IF(OR(T177=12,T177=13),"+1",IF(OR(T177=14,T177=15),"+2",IF(OR(T177=16,T177=17),"+3",IF(OR(T177=18,T177=19),"+4",IF(OR(T177=20,T177=21),"+5",IF(OR(T177=22,T177=23),"+6",IF(OR(T177=24,T177=25),"+7",IF(OR(T177=26,T177=27),"+8",IF(OR(T177=28,T177=29),"+9",IF(T177=30,"+10"," "))))))))))))))))</f>
        <v>+2</v>
      </c>
      <c r="V177" s="3" t="s">
        <v>985</v>
      </c>
      <c r="W177" s="3" t="s">
        <v>643</v>
      </c>
      <c r="X177" s="11" t="s">
        <v>986</v>
      </c>
      <c r="Y177" s="11" t="s">
        <v>987</v>
      </c>
      <c r="Z177" s="11" t="s">
        <v>37</v>
      </c>
      <c r="AA177" s="12" t="s">
        <v>37</v>
      </c>
    </row>
    <row r="178" customFormat="false" ht="16.4" hidden="false" customHeight="false" outlineLevel="0" collapsed="false">
      <c r="A178" s="14" t="s">
        <v>988</v>
      </c>
      <c r="B178" s="1" t="s">
        <v>938</v>
      </c>
      <c r="C178" s="1" t="s">
        <v>230</v>
      </c>
      <c r="D178" s="8" t="n">
        <v>15</v>
      </c>
      <c r="E178" s="9" t="n">
        <f aca="false">VLOOKUP(D178,'[1]REF Tables'!$A$2:$B$40,2)</f>
        <v>13000</v>
      </c>
      <c r="F178" s="1" t="s">
        <v>121</v>
      </c>
      <c r="G178" s="10" t="n">
        <v>19</v>
      </c>
      <c r="H178" s="1" t="s">
        <v>970</v>
      </c>
      <c r="I178" s="1" t="s">
        <v>247</v>
      </c>
      <c r="J178" s="10" t="n">
        <v>20</v>
      </c>
      <c r="K178" s="1" t="str">
        <f aca="false">IF(J178=1,"-5",IF(OR(J178=2,J178=3),"-4",IF(OR(J178=4,J178=5),"-3",IF(OR(J178=6,J178=7),"-2",IF(OR(J178=8,J178=9),"-1",IF(OR(J178=10,J178=11),"0",IF(OR(J178=12,J178=13),"+1",IF(OR(J178=14,J178=15),"+2",IF(OR(J178=16,J178=17),"+3",IF(OR(J178=18,J178=19),"+4",IF(OR(J178=20,J178=21),"+5",IF(OR(J178=22,J178=23),"+6",IF(OR(J178=24,J178=25),"+7",IF(OR(J178=26,J178=27),"+8",IF(OR(J178=28,J178=29),"+9",IF(J178=30,"+10"," "))))))))))))))))</f>
        <v>+5</v>
      </c>
      <c r="L178" s="10" t="n">
        <v>18</v>
      </c>
      <c r="M178" s="1" t="str">
        <f aca="false">IF(L178=1,"-5",IF(OR(L178=2,L178=3),"-4",IF(OR(L178=4,L178=5),"-3",IF(OR(L178=6,L178=7),"-2",IF(OR(L178=8,L178=9),"-1",IF(OR(L178=10,L178=11),"0",IF(OR(L178=12,L178=13),"+1",IF(OR(L178=14,L178=15),"+2",IF(OR(L178=16,L178=17),"+3",IF(OR(L178=18,L178=19),"+4",IF(OR(L178=20,L178=21),"+5",IF(OR(L178=22,L178=23),"+6",IF(OR(L178=24,L178=25),"+7",IF(OR(L178=26,L178=27),"+8",IF(OR(L178=28,L178=29),"+9",IF(L178=30,"+10"," "))))))))))))))))</f>
        <v>+4</v>
      </c>
      <c r="N178" s="10" t="n">
        <v>20</v>
      </c>
      <c r="O178" s="1" t="str">
        <f aca="false">IF(N178=1,"-5",IF(OR(N178=2,N178=3),"-4",IF(OR(N178=4,N178=5),"-3",IF(OR(N178=6,N178=7),"-2",IF(OR(N178=8,N178=9),"-1",IF(OR(N178=10,N178=11),"0",IF(OR(N178=12,N178=13),"+1",IF(OR(N178=14,N178=15),"+2",IF(OR(N178=16,N178=17),"+3",IF(OR(N178=18,N178=19),"+4",IF(OR(N178=20,N178=21),"+5",IF(OR(N178=22,N178=23),"+6",IF(OR(N178=24,N178=25),"+7",IF(OR(N178=26,N178=27),"+8",IF(OR(N178=28,N178=29),"+9",IF(N178=30,"+10"," "))))))))))))))))</f>
        <v>+5</v>
      </c>
      <c r="P178" s="10" t="n">
        <v>22</v>
      </c>
      <c r="Q178" s="1" t="str">
        <f aca="false">IF(P178=1,"-5",IF(OR(P178=2,P178=3),"-4",IF(OR(P178=4,P178=5),"-3",IF(OR(P178=6,P178=7),"-2",IF(OR(P178=8,P178=9),"-1",IF(OR(P178=10,P178=11),"0",IF(OR(P178=12,P178=13),"+1",IF(OR(P178=14,P178=15),"+2",IF(OR(P178=16,P178=17),"+3",IF(OR(P178=18,P178=19),"+4",IF(OR(P178=20,P178=21),"+5",IF(OR(P178=22,P178=23),"+6",IF(OR(P178=24,P178=25),"+7",IF(OR(P178=26,P178=27),"+8",IF(OR(P178=28,P178=29),"+9",IF(P178=30,"+10"," "))))))))))))))))</f>
        <v>+6</v>
      </c>
      <c r="R178" s="10" t="n">
        <v>20</v>
      </c>
      <c r="S178" s="1" t="str">
        <f aca="false">IF(R178=1,"-5",IF(OR(R178=2,R178=3),"-4",IF(OR(R178=4,R178=5),"-3",IF(OR(R178=6,R178=7),"-2",IF(OR(R178=8,R178=9),"-1",IF(OR(R178=10,R178=11),"0",IF(OR(R178=12,R178=13),"+1",IF(OR(R178=14,R178=15),"+2",IF(OR(R178=16,R178=17),"+3",IF(OR(R178=18,R178=19),"+4",IF(OR(R178=20,R178=21),"+5",IF(OR(R178=22,R178=23),"+6",IF(OR(R178=24,R178=25),"+7",IF(OR(R178=26,R178=27),"+8",IF(OR(R178=28,R178=29),"+9",IF(R178=30,"+10"," "))))))))))))))))</f>
        <v>+5</v>
      </c>
      <c r="T178" s="10" t="n">
        <v>23</v>
      </c>
      <c r="U178" s="1" t="str">
        <f aca="false">IF(T178=1,"-5",IF(OR(T178=2,T178=3),"-4",IF(OR(T178=4,T178=5),"-3",IF(OR(T178=6,T178=7),"-2",IF(OR(T178=8,T178=9),"-1",IF(OR(T178=10,T178=11),"0",IF(OR(T178=12,T178=13),"+1",IF(OR(T178=14,T178=15),"+2",IF(OR(T178=16,T178=17),"+3",IF(OR(T178=18,T178=19),"+4",IF(OR(T178=20,T178=21),"+5",IF(OR(T178=22,T178=23),"+6",IF(OR(T178=24,T178=25),"+7",IF(OR(T178=26,T178=27),"+8",IF(OR(T178=28,T178=29),"+9",IF(T178=30,"+10"," "))))))))))))))))</f>
        <v>+6</v>
      </c>
      <c r="V178" s="1" t="s">
        <v>989</v>
      </c>
      <c r="W178" s="1" t="s">
        <v>990</v>
      </c>
      <c r="X178" s="11" t="s">
        <v>991</v>
      </c>
      <c r="Y178" s="11" t="s">
        <v>992</v>
      </c>
      <c r="Z178" s="11" t="s">
        <v>37</v>
      </c>
      <c r="AA178" s="12" t="s">
        <v>993</v>
      </c>
      <c r="AB178" s="1"/>
      <c r="AC178" s="1"/>
      <c r="AD178" s="1"/>
      <c r="AE178" s="1"/>
      <c r="AF178" s="1"/>
    </row>
    <row r="179" customFormat="false" ht="16.4" hidden="false" customHeight="false" outlineLevel="0" collapsed="false">
      <c r="A179" s="15" t="s">
        <v>994</v>
      </c>
      <c r="B179" s="3" t="s">
        <v>776</v>
      </c>
      <c r="C179" s="3" t="s">
        <v>222</v>
      </c>
      <c r="D179" s="16" t="n">
        <v>17</v>
      </c>
      <c r="E179" s="6" t="n">
        <f aca="false">VLOOKUP(D179,'[1]REF Tables'!$A$2:$B$40,2)</f>
        <v>18000</v>
      </c>
      <c r="F179" s="3" t="s">
        <v>121</v>
      </c>
      <c r="G179" s="3" t="n">
        <v>19</v>
      </c>
      <c r="H179" s="3" t="s">
        <v>943</v>
      </c>
      <c r="I179" s="3" t="s">
        <v>904</v>
      </c>
      <c r="J179" s="3" t="n">
        <v>27</v>
      </c>
      <c r="K179" s="1" t="str">
        <f aca="false">IF(J179=1,"-5",IF(OR(J179=2,J179=3),"-4",IF(OR(J179=4,J179=5),"-3",IF(OR(J179=6,J179=7),"-2",IF(OR(J179=8,J179=9),"-1",IF(OR(J179=10,J179=11),"0",IF(OR(J179=12,J179=13),"+1",IF(OR(J179=14,J179=15),"+2",IF(OR(J179=16,J179=17),"+3",IF(OR(J179=18,J179=19),"+4",IF(OR(J179=20,J179=21),"+5",IF(OR(J179=22,J179=23),"+6",IF(OR(J179=24,J179=25),"+7",IF(OR(J179=26,J179=27),"+8",IF(OR(J179=28,J179=29),"+9",IF(J179=30,"+10"," "))))))))))))))))</f>
        <v>+8</v>
      </c>
      <c r="L179" s="3" t="n">
        <v>10</v>
      </c>
      <c r="M179" s="1" t="str">
        <f aca="false">IF(L179=1,"-5",IF(OR(L179=2,L179=3),"-4",IF(OR(L179=4,L179=5),"-3",IF(OR(L179=6,L179=7),"-2",IF(OR(L179=8,L179=9),"-1",IF(OR(L179=10,L179=11),"0",IF(OR(L179=12,L179=13),"+1",IF(OR(L179=14,L179=15),"+2",IF(OR(L179=16,L179=17),"+3",IF(OR(L179=18,L179=19),"+4",IF(OR(L179=20,L179=21),"+5",IF(OR(L179=22,L179=23),"+6",IF(OR(L179=24,L179=25),"+7",IF(OR(L179=26,L179=27),"+8",IF(OR(L179=28,L179=29),"+9",IF(L179=30,"+10"," "))))))))))))))))</f>
        <v>0</v>
      </c>
      <c r="N179" s="3" t="n">
        <v>25</v>
      </c>
      <c r="O179" s="1" t="str">
        <f aca="false">IF(N179=1,"-5",IF(OR(N179=2,N179=3),"-4",IF(OR(N179=4,N179=5),"-3",IF(OR(N179=6,N179=7),"-2",IF(OR(N179=8,N179=9),"-1",IF(OR(N179=10,N179=11),"0",IF(OR(N179=12,N179=13),"+1",IF(OR(N179=14,N179=15),"+2",IF(OR(N179=16,N179=17),"+3",IF(OR(N179=18,N179=19),"+4",IF(OR(N179=20,N179=21),"+5",IF(OR(N179=22,N179=23),"+6",IF(OR(N179=24,N179=25),"+7",IF(OR(N179=26,N179=27),"+8",IF(OR(N179=28,N179=29),"+9",IF(N179=30,"+10"," "))))))))))))))))</f>
        <v>+7</v>
      </c>
      <c r="P179" s="3" t="n">
        <v>16</v>
      </c>
      <c r="Q179" s="1" t="str">
        <f aca="false">IF(P179=1,"-5",IF(OR(P179=2,P179=3),"-4",IF(OR(P179=4,P179=5),"-3",IF(OR(P179=6,P179=7),"-2",IF(OR(P179=8,P179=9),"-1",IF(OR(P179=10,P179=11),"0",IF(OR(P179=12,P179=13),"+1",IF(OR(P179=14,P179=15),"+2",IF(OR(P179=16,P179=17),"+3",IF(OR(P179=18,P179=19),"+4",IF(OR(P179=20,P179=21),"+5",IF(OR(P179=22,P179=23),"+6",IF(OR(P179=24,P179=25),"+7",IF(OR(P179=26,P179=27),"+8",IF(OR(P179=28,P179=29),"+9",IF(P179=30,"+10"," "))))))))))))))))</f>
        <v>+3</v>
      </c>
      <c r="R179" s="3" t="n">
        <v>13</v>
      </c>
      <c r="S179" s="1" t="str">
        <f aca="false">IF(R179=1,"-5",IF(OR(R179=2,R179=3),"-4",IF(OR(R179=4,R179=5),"-3",IF(OR(R179=6,R179=7),"-2",IF(OR(R179=8,R179=9),"-1",IF(OR(R179=10,R179=11),"0",IF(OR(R179=12,R179=13),"+1",IF(OR(R179=14,R179=15),"+2",IF(OR(R179=16,R179=17),"+3",IF(OR(R179=18,R179=19),"+4",IF(OR(R179=20,R179=21),"+5",IF(OR(R179=22,R179=23),"+6",IF(OR(R179=24,R179=25),"+7",IF(OR(R179=26,R179=27),"+8",IF(OR(R179=28,R179=29),"+9",IF(R179=30,"+10"," "))))))))))))))))</f>
        <v>+1</v>
      </c>
      <c r="T179" s="3" t="n">
        <v>21</v>
      </c>
      <c r="U179" s="1" t="str">
        <f aca="false">IF(T179=1,"-5",IF(OR(T179=2,T179=3),"-4",IF(OR(T179=4,T179=5),"-3",IF(OR(T179=6,T179=7),"-2",IF(OR(T179=8,T179=9),"-1",IF(OR(T179=10,T179=11),"0",IF(OR(T179=12,T179=13),"+1",IF(OR(T179=14,T179=15),"+2",IF(OR(T179=16,T179=17),"+3",IF(OR(T179=18,T179=19),"+4",IF(OR(T179=20,T179=21),"+5",IF(OR(T179=22,T179=23),"+6",IF(OR(T179=24,T179=25),"+7",IF(OR(T179=26,T179=27),"+8",IF(OR(T179=28,T179=29),"+9",IF(T179=30,"+10"," "))))))))))))))))</f>
        <v>+5</v>
      </c>
      <c r="V179" s="3" t="s">
        <v>995</v>
      </c>
      <c r="W179" s="3" t="s">
        <v>643</v>
      </c>
      <c r="X179" s="11" t="s">
        <v>996</v>
      </c>
      <c r="Y179" s="11" t="s">
        <v>997</v>
      </c>
      <c r="Z179" s="11" t="s">
        <v>37</v>
      </c>
      <c r="AA179" s="12" t="s">
        <v>998</v>
      </c>
    </row>
    <row r="180" customFormat="false" ht="16.4" hidden="false" customHeight="false" outlineLevel="0" collapsed="false">
      <c r="A180" s="15" t="s">
        <v>999</v>
      </c>
      <c r="B180" s="3" t="s">
        <v>776</v>
      </c>
      <c r="C180" s="3" t="s">
        <v>222</v>
      </c>
      <c r="D180" s="16" t="n">
        <v>24</v>
      </c>
      <c r="E180" s="6" t="n">
        <f aca="false">VLOOKUP(D180,'[1]REF Tables'!$A$2:$B$40,2)</f>
        <v>62000</v>
      </c>
      <c r="F180" s="3" t="s">
        <v>601</v>
      </c>
      <c r="G180" s="3" t="n">
        <v>22</v>
      </c>
      <c r="H180" s="3" t="s">
        <v>1000</v>
      </c>
      <c r="I180" s="3" t="s">
        <v>904</v>
      </c>
      <c r="J180" s="3" t="n">
        <v>30</v>
      </c>
      <c r="K180" s="1" t="str">
        <f aca="false">IF(J180=1,"-5",IF(OR(J180=2,J180=3),"-4",IF(OR(J180=4,J180=5),"-3",IF(OR(J180=6,J180=7),"-2",IF(OR(J180=8,J180=9),"-1",IF(OR(J180=10,J180=11),"0",IF(OR(J180=12,J180=13),"+1",IF(OR(J180=14,J180=15),"+2",IF(OR(J180=16,J180=17),"+3",IF(OR(J180=18,J180=19),"+4",IF(OR(J180=20,J180=21),"+5",IF(OR(J180=22,J180=23),"+6",IF(OR(J180=24,J180=25),"+7",IF(OR(J180=26,J180=27),"+8",IF(OR(J180=28,J180=29),"+9",IF(J180=30,"+10"," "))))))))))))))))</f>
        <v>+10</v>
      </c>
      <c r="L180" s="3" t="n">
        <v>10</v>
      </c>
      <c r="M180" s="1" t="str">
        <f aca="false">IF(L180=1,"-5",IF(OR(L180=2,L180=3),"-4",IF(OR(L180=4,L180=5),"-3",IF(OR(L180=6,L180=7),"-2",IF(OR(L180=8,L180=9),"-1",IF(OR(L180=10,L180=11),"0",IF(OR(L180=12,L180=13),"+1",IF(OR(L180=14,L180=15),"+2",IF(OR(L180=16,L180=17),"+3",IF(OR(L180=18,L180=19),"+4",IF(OR(L180=20,L180=21),"+5",IF(OR(L180=22,L180=23),"+6",IF(OR(L180=24,L180=25),"+7",IF(OR(L180=26,L180=27),"+8",IF(OR(L180=28,L180=29),"+9",IF(L180=30,"+10"," "))))))))))))))))</f>
        <v>0</v>
      </c>
      <c r="N180" s="3" t="n">
        <v>29</v>
      </c>
      <c r="O180" s="1" t="str">
        <f aca="false">IF(N180=1,"-5",IF(OR(N180=2,N180=3),"-4",IF(OR(N180=4,N180=5),"-3",IF(OR(N180=6,N180=7),"-2",IF(OR(N180=8,N180=9),"-1",IF(OR(N180=10,N180=11),"0",IF(OR(N180=12,N180=13),"+1",IF(OR(N180=14,N180=15),"+2",IF(OR(N180=16,N180=17),"+3",IF(OR(N180=18,N180=19),"+4",IF(OR(N180=20,N180=21),"+5",IF(OR(N180=22,N180=23),"+6",IF(OR(N180=24,N180=25),"+7",IF(OR(N180=26,N180=27),"+8",IF(OR(N180=28,N180=29),"+9",IF(N180=30,"+10"," "))))))))))))))))</f>
        <v>+9</v>
      </c>
      <c r="P180" s="3" t="n">
        <v>18</v>
      </c>
      <c r="Q180" s="1" t="str">
        <f aca="false">IF(P180=1,"-5",IF(OR(P180=2,P180=3),"-4",IF(OR(P180=4,P180=5),"-3",IF(OR(P180=6,P180=7),"-2",IF(OR(P180=8,P180=9),"-1",IF(OR(P180=10,P180=11),"0",IF(OR(P180=12,P180=13),"+1",IF(OR(P180=14,P180=15),"+2",IF(OR(P180=16,P180=17),"+3",IF(OR(P180=18,P180=19),"+4",IF(OR(P180=20,P180=21),"+5",IF(OR(P180=22,P180=23),"+6",IF(OR(P180=24,P180=25),"+7",IF(OR(P180=26,P180=27),"+8",IF(OR(P180=28,P180=29),"+9",IF(P180=30,"+10"," "))))))))))))))))</f>
        <v>+4</v>
      </c>
      <c r="R180" s="3" t="n">
        <v>15</v>
      </c>
      <c r="S180" s="1" t="str">
        <f aca="false">IF(R180=1,"-5",IF(OR(R180=2,R180=3),"-4",IF(OR(R180=4,R180=5),"-3",IF(OR(R180=6,R180=7),"-2",IF(OR(R180=8,R180=9),"-1",IF(OR(R180=10,R180=11),"0",IF(OR(R180=12,R180=13),"+1",IF(OR(R180=14,R180=15),"+2",IF(OR(R180=16,R180=17),"+3",IF(OR(R180=18,R180=19),"+4",IF(OR(R180=20,R180=21),"+5",IF(OR(R180=22,R180=23),"+6",IF(OR(R180=24,R180=25),"+7",IF(OR(R180=26,R180=27),"+8",IF(OR(R180=28,R180=29),"+9",IF(R180=30,"+10"," "))))))))))))))))</f>
        <v>+2</v>
      </c>
      <c r="T180" s="3" t="n">
        <v>23</v>
      </c>
      <c r="U180" s="1" t="str">
        <f aca="false">IF(T180=1,"-5",IF(OR(T180=2,T180=3),"-4",IF(OR(T180=4,T180=5),"-3",IF(OR(T180=6,T180=7),"-2",IF(OR(T180=8,T180=9),"-1",IF(OR(T180=10,T180=11),"0",IF(OR(T180=12,T180=13),"+1",IF(OR(T180=14,T180=15),"+2",IF(OR(T180=16,T180=17),"+3",IF(OR(T180=18,T180=19),"+4",IF(OR(T180=20,T180=21),"+5",IF(OR(T180=22,T180=23),"+6",IF(OR(T180=24,T180=25),"+7",IF(OR(T180=26,T180=27),"+8",IF(OR(T180=28,T180=29),"+9",IF(T180=30,"+10"," "))))))))))))))))</f>
        <v>+6</v>
      </c>
      <c r="V180" s="3" t="s">
        <v>1001</v>
      </c>
      <c r="W180" s="3" t="s">
        <v>643</v>
      </c>
      <c r="X180" s="11" t="s">
        <v>1002</v>
      </c>
      <c r="Y180" s="11" t="s">
        <v>1003</v>
      </c>
      <c r="Z180" s="11" t="s">
        <v>37</v>
      </c>
      <c r="AA180" s="12" t="s">
        <v>1004</v>
      </c>
    </row>
    <row r="181" customFormat="false" ht="16.4" hidden="false" customHeight="false" outlineLevel="0" collapsed="false">
      <c r="A181" s="15" t="s">
        <v>1005</v>
      </c>
      <c r="B181" s="3" t="s">
        <v>776</v>
      </c>
      <c r="C181" s="3" t="s">
        <v>222</v>
      </c>
      <c r="D181" s="16" t="n">
        <v>4</v>
      </c>
      <c r="E181" s="6" t="n">
        <f aca="false">VLOOKUP(D181,'[1]REF Tables'!$A$2:$B$40,2)</f>
        <v>1100</v>
      </c>
      <c r="F181" s="3" t="s">
        <v>30</v>
      </c>
      <c r="G181" s="3" t="n">
        <v>17</v>
      </c>
      <c r="H181" s="3" t="s">
        <v>178</v>
      </c>
      <c r="I181" s="3" t="s">
        <v>915</v>
      </c>
      <c r="J181" s="3" t="n">
        <v>19</v>
      </c>
      <c r="K181" s="1" t="str">
        <f aca="false">IF(J181=1,"-5",IF(OR(J181=2,J181=3),"-4",IF(OR(J181=4,J181=5),"-3",IF(OR(J181=6,J181=7),"-2",IF(OR(J181=8,J181=9),"-1",IF(OR(J181=10,J181=11),"0",IF(OR(J181=12,J181=13),"+1",IF(OR(J181=14,J181=15),"+2",IF(OR(J181=16,J181=17),"+3",IF(OR(J181=18,J181=19),"+4",IF(OR(J181=20,J181=21),"+5",IF(OR(J181=22,J181=23),"+6",IF(OR(J181=24,J181=25),"+7",IF(OR(J181=26,J181=27),"+8",IF(OR(J181=28,J181=29),"+9",IF(J181=30,"+10"," "))))))))))))))))</f>
        <v>+4</v>
      </c>
      <c r="L181" s="3" t="n">
        <v>10</v>
      </c>
      <c r="M181" s="1" t="str">
        <f aca="false">IF(L181=1,"-5",IF(OR(L181=2,L181=3),"-4",IF(OR(L181=4,L181=5),"-3",IF(OR(L181=6,L181=7),"-2",IF(OR(L181=8,L181=9),"-1",IF(OR(L181=10,L181=11),"0",IF(OR(L181=12,L181=13),"+1",IF(OR(L181=14,L181=15),"+2",IF(OR(L181=16,L181=17),"+3",IF(OR(L181=18,L181=19),"+4",IF(OR(L181=20,L181=21),"+5",IF(OR(L181=22,L181=23),"+6",IF(OR(L181=24,L181=25),"+7",IF(OR(L181=26,L181=27),"+8",IF(OR(L181=28,L181=29),"+9",IF(L181=30,"+10"," "))))))))))))))))</f>
        <v>0</v>
      </c>
      <c r="N181" s="3" t="n">
        <v>17</v>
      </c>
      <c r="O181" s="1" t="str">
        <f aca="false">IF(N181=1,"-5",IF(OR(N181=2,N181=3),"-4",IF(OR(N181=4,N181=5),"-3",IF(OR(N181=6,N181=7),"-2",IF(OR(N181=8,N181=9),"-1",IF(OR(N181=10,N181=11),"0",IF(OR(N181=12,N181=13),"+1",IF(OR(N181=14,N181=15),"+2",IF(OR(N181=16,N181=17),"+3",IF(OR(N181=18,N181=19),"+4",IF(OR(N181=20,N181=21),"+5",IF(OR(N181=22,N181=23),"+6",IF(OR(N181=24,N181=25),"+7",IF(OR(N181=26,N181=27),"+8",IF(OR(N181=28,N181=29),"+9",IF(N181=30,"+10"," "))))))))))))))))</f>
        <v>+3</v>
      </c>
      <c r="P181" s="3" t="n">
        <v>12</v>
      </c>
      <c r="Q181" s="1" t="str">
        <f aca="false">IF(P181=1,"-5",IF(OR(P181=2,P181=3),"-4",IF(OR(P181=4,P181=5),"-3",IF(OR(P181=6,P181=7),"-2",IF(OR(P181=8,P181=9),"-1",IF(OR(P181=10,P181=11),"0",IF(OR(P181=12,P181=13),"+1",IF(OR(P181=14,P181=15),"+2",IF(OR(P181=16,P181=17),"+3",IF(OR(P181=18,P181=19),"+4",IF(OR(P181=20,P181=21),"+5",IF(OR(P181=22,P181=23),"+6",IF(OR(P181=24,P181=25),"+7",IF(OR(P181=26,P181=27),"+8",IF(OR(P181=28,P181=29),"+9",IF(P181=30,"+10"," "))))))))))))))))</f>
        <v>+1</v>
      </c>
      <c r="R181" s="3" t="n">
        <v>11</v>
      </c>
      <c r="S181" s="1" t="str">
        <f aca="false">IF(R181=1,"-5",IF(OR(R181=2,R181=3),"-4",IF(OR(R181=4,R181=5),"-3",IF(OR(R181=6,R181=7),"-2",IF(OR(R181=8,R181=9),"-1",IF(OR(R181=10,R181=11),"0",IF(OR(R181=12,R181=13),"+1",IF(OR(R181=14,R181=15),"+2",IF(OR(R181=16,R181=17),"+3",IF(OR(R181=18,R181=19),"+4",IF(OR(R181=20,R181=21),"+5",IF(OR(R181=22,R181=23),"+6",IF(OR(R181=24,R181=25),"+7",IF(OR(R181=26,R181=27),"+8",IF(OR(R181=28,R181=29),"+9",IF(R181=30,"+10"," "))))))))))))))))</f>
        <v>0</v>
      </c>
      <c r="T181" s="3" t="n">
        <v>15</v>
      </c>
      <c r="U181" s="1" t="str">
        <f aca="false">IF(T181=1,"-5",IF(OR(T181=2,T181=3),"-4",IF(OR(T181=4,T181=5),"-3",IF(OR(T181=6,T181=7),"-2",IF(OR(T181=8,T181=9),"-1",IF(OR(T181=10,T181=11),"0",IF(OR(T181=12,T181=13),"+1",IF(OR(T181=14,T181=15),"+2",IF(OR(T181=16,T181=17),"+3",IF(OR(T181=18,T181=19),"+4",IF(OR(T181=20,T181=21),"+5",IF(OR(T181=22,T181=23),"+6",IF(OR(T181=24,T181=25),"+7",IF(OR(T181=26,T181=27),"+8",IF(OR(T181=28,T181=29),"+9",IF(T181=30,"+10"," "))))))))))))))))</f>
        <v>+2</v>
      </c>
      <c r="V181" s="3" t="s">
        <v>867</v>
      </c>
      <c r="W181" s="3" t="s">
        <v>311</v>
      </c>
      <c r="X181" s="11" t="s">
        <v>1006</v>
      </c>
      <c r="Y181" s="11" t="s">
        <v>1007</v>
      </c>
      <c r="Z181" s="11" t="s">
        <v>37</v>
      </c>
      <c r="AA181" s="12" t="s">
        <v>37</v>
      </c>
    </row>
    <row r="182" customFormat="false" ht="16.4" hidden="false" customHeight="false" outlineLevel="0" collapsed="false">
      <c r="A182" s="15" t="s">
        <v>1008</v>
      </c>
      <c r="B182" s="3" t="s">
        <v>776</v>
      </c>
      <c r="C182" s="3" t="s">
        <v>222</v>
      </c>
      <c r="D182" s="16" t="n">
        <v>10</v>
      </c>
      <c r="E182" s="6" t="n">
        <f aca="false">VLOOKUP(D182,'[1]REF Tables'!$A$2:$B$40,2)</f>
        <v>5900</v>
      </c>
      <c r="F182" s="3" t="s">
        <v>50</v>
      </c>
      <c r="G182" s="3" t="n">
        <v>18</v>
      </c>
      <c r="H182" s="3" t="s">
        <v>689</v>
      </c>
      <c r="I182" s="3" t="s">
        <v>904</v>
      </c>
      <c r="J182" s="3" t="n">
        <v>23</v>
      </c>
      <c r="K182" s="1" t="str">
        <f aca="false">IF(J182=1,"-5",IF(OR(J182=2,J182=3),"-4",IF(OR(J182=4,J182=5),"-3",IF(OR(J182=6,J182=7),"-2",IF(OR(J182=8,J182=9),"-1",IF(OR(J182=10,J182=11),"0",IF(OR(J182=12,J182=13),"+1",IF(OR(J182=14,J182=15),"+2",IF(OR(J182=16,J182=17),"+3",IF(OR(J182=18,J182=19),"+4",IF(OR(J182=20,J182=21),"+5",IF(OR(J182=22,J182=23),"+6",IF(OR(J182=24,J182=25),"+7",IF(OR(J182=26,J182=27),"+8",IF(OR(J182=28,J182=29),"+9",IF(J182=30,"+10"," "))))))))))))))))</f>
        <v>+6</v>
      </c>
      <c r="L182" s="3" t="n">
        <v>10</v>
      </c>
      <c r="M182" s="1" t="str">
        <f aca="false">IF(L182=1,"-5",IF(OR(L182=2,L182=3),"-4",IF(OR(L182=4,L182=5),"-3",IF(OR(L182=6,L182=7),"-2",IF(OR(L182=8,L182=9),"-1",IF(OR(L182=10,L182=11),"0",IF(OR(L182=12,L182=13),"+1",IF(OR(L182=14,L182=15),"+2",IF(OR(L182=16,L182=17),"+3",IF(OR(L182=18,L182=19),"+4",IF(OR(L182=20,L182=21),"+5",IF(OR(L182=22,L182=23),"+6",IF(OR(L182=24,L182=25),"+7",IF(OR(L182=26,L182=27),"+8",IF(OR(L182=28,L182=29),"+9",IF(L182=30,"+10"," "))))))))))))))))</f>
        <v>0</v>
      </c>
      <c r="N182" s="3" t="n">
        <v>21</v>
      </c>
      <c r="O182" s="1" t="str">
        <f aca="false">IF(N182=1,"-5",IF(OR(N182=2,N182=3),"-4",IF(OR(N182=4,N182=5),"-3",IF(OR(N182=6,N182=7),"-2",IF(OR(N182=8,N182=9),"-1",IF(OR(N182=10,N182=11),"0",IF(OR(N182=12,N182=13),"+1",IF(OR(N182=14,N182=15),"+2",IF(OR(N182=16,N182=17),"+3",IF(OR(N182=18,N182=19),"+4",IF(OR(N182=20,N182=21),"+5",IF(OR(N182=22,N182=23),"+6",IF(OR(N182=24,N182=25),"+7",IF(OR(N182=26,N182=27),"+8",IF(OR(N182=28,N182=29),"+9",IF(N182=30,"+10"," "))))))))))))))))</f>
        <v>+5</v>
      </c>
      <c r="P182" s="3" t="n">
        <v>14</v>
      </c>
      <c r="Q182" s="1" t="str">
        <f aca="false">IF(P182=1,"-5",IF(OR(P182=2,P182=3),"-4",IF(OR(P182=4,P182=5),"-3",IF(OR(P182=6,P182=7),"-2",IF(OR(P182=8,P182=9),"-1",IF(OR(P182=10,P182=11),"0",IF(OR(P182=12,P182=13),"+1",IF(OR(P182=14,P182=15),"+2",IF(OR(P182=16,P182=17),"+3",IF(OR(P182=18,P182=19),"+4",IF(OR(P182=20,P182=21),"+5",IF(OR(P182=22,P182=23),"+6",IF(OR(P182=24,P182=25),"+7",IF(OR(P182=26,P182=27),"+8",IF(OR(P182=28,P182=29),"+9",IF(P182=30,"+10"," "))))))))))))))))</f>
        <v>+2</v>
      </c>
      <c r="R182" s="3" t="n">
        <v>11</v>
      </c>
      <c r="S182" s="1" t="str">
        <f aca="false">IF(R182=1,"-5",IF(OR(R182=2,R182=3),"-4",IF(OR(R182=4,R182=5),"-3",IF(OR(R182=6,R182=7),"-2",IF(OR(R182=8,R182=9),"-1",IF(OR(R182=10,R182=11),"0",IF(OR(R182=12,R182=13),"+1",IF(OR(R182=14,R182=15),"+2",IF(OR(R182=16,R182=17),"+3",IF(OR(R182=18,R182=19),"+4",IF(OR(R182=20,R182=21),"+5",IF(OR(R182=22,R182=23),"+6",IF(OR(R182=24,R182=25),"+7",IF(OR(R182=26,R182=27),"+8",IF(OR(R182=28,R182=29),"+9",IF(R182=30,"+10"," "))))))))))))))))</f>
        <v>0</v>
      </c>
      <c r="T182" s="3" t="n">
        <v>19</v>
      </c>
      <c r="U182" s="1" t="str">
        <f aca="false">IF(T182=1,"-5",IF(OR(T182=2,T182=3),"-4",IF(OR(T182=4,T182=5),"-3",IF(OR(T182=6,T182=7),"-2",IF(OR(T182=8,T182=9),"-1",IF(OR(T182=10,T182=11),"0",IF(OR(T182=12,T182=13),"+1",IF(OR(T182=14,T182=15),"+2",IF(OR(T182=16,T182=17),"+3",IF(OR(T182=18,T182=19),"+4",IF(OR(T182=20,T182=21),"+5",IF(OR(T182=22,T182=23),"+6",IF(OR(T182=24,T182=25),"+7",IF(OR(T182=26,T182=27),"+8",IF(OR(T182=28,T182=29),"+9",IF(T182=30,"+10"," "))))))))))))))))</f>
        <v>+4</v>
      </c>
      <c r="V182" s="3" t="s">
        <v>1009</v>
      </c>
      <c r="W182" s="3" t="s">
        <v>643</v>
      </c>
      <c r="X182" s="11" t="s">
        <v>1010</v>
      </c>
      <c r="Y182" s="11" t="s">
        <v>1011</v>
      </c>
      <c r="Z182" s="11" t="s">
        <v>37</v>
      </c>
      <c r="AA182" s="12" t="s">
        <v>37</v>
      </c>
    </row>
    <row r="183" customFormat="false" ht="16.4" hidden="false" customHeight="false" outlineLevel="0" collapsed="false">
      <c r="A183" s="15" t="s">
        <v>1012</v>
      </c>
      <c r="B183" s="3" t="s">
        <v>776</v>
      </c>
      <c r="C183" s="3" t="s">
        <v>49</v>
      </c>
      <c r="D183" s="16" t="n">
        <v>15</v>
      </c>
      <c r="E183" s="6" t="n">
        <f aca="false">VLOOKUP(D183,'[1]REF Tables'!$A$2:$B$40,2)</f>
        <v>13000</v>
      </c>
      <c r="F183" s="3" t="s">
        <v>121</v>
      </c>
      <c r="G183" s="3" t="n">
        <v>19</v>
      </c>
      <c r="H183" s="3" t="s">
        <v>628</v>
      </c>
      <c r="I183" s="3" t="s">
        <v>876</v>
      </c>
      <c r="J183" s="3" t="n">
        <v>23</v>
      </c>
      <c r="K183" s="1" t="str">
        <f aca="false">IF(J183=1,"-5",IF(OR(J183=2,J183=3),"-4",IF(OR(J183=4,J183=5),"-3",IF(OR(J183=6,J183=7),"-2",IF(OR(J183=8,J183=9),"-1",IF(OR(J183=10,J183=11),"0",IF(OR(J183=12,J183=13),"+1",IF(OR(J183=14,J183=15),"+2",IF(OR(J183=16,J183=17),"+3",IF(OR(J183=18,J183=19),"+4",IF(OR(J183=20,J183=21),"+5",IF(OR(J183=22,J183=23),"+6",IF(OR(J183=24,J183=25),"+7",IF(OR(J183=26,J183=27),"+8",IF(OR(J183=28,J183=29),"+9",IF(J183=30,"+10"," "))))))))))))))))</f>
        <v>+6</v>
      </c>
      <c r="L183" s="3" t="n">
        <v>12</v>
      </c>
      <c r="M183" s="1" t="str">
        <f aca="false">IF(L183=1,"-5",IF(OR(L183=2,L183=3),"-4",IF(OR(L183=4,L183=5),"-3",IF(OR(L183=6,L183=7),"-2",IF(OR(L183=8,L183=9),"-1",IF(OR(L183=10,L183=11),"0",IF(OR(L183=12,L183=13),"+1",IF(OR(L183=14,L183=15),"+2",IF(OR(L183=16,L183=17),"+3",IF(OR(L183=18,L183=19),"+4",IF(OR(L183=20,L183=21),"+5",IF(OR(L183=22,L183=23),"+6",IF(OR(L183=24,L183=25),"+7",IF(OR(L183=26,L183=27),"+8",IF(OR(L183=28,L183=29),"+9",IF(L183=30,"+10"," "))))))))))))))))</f>
        <v>+1</v>
      </c>
      <c r="N183" s="3" t="n">
        <v>21</v>
      </c>
      <c r="O183" s="1" t="str">
        <f aca="false">IF(N183=1,"-5",IF(OR(N183=2,N183=3),"-4",IF(OR(N183=4,N183=5),"-3",IF(OR(N183=6,N183=7),"-2",IF(OR(N183=8,N183=9),"-1",IF(OR(N183=10,N183=11),"0",IF(OR(N183=12,N183=13),"+1",IF(OR(N183=14,N183=15),"+2",IF(OR(N183=16,N183=17),"+3",IF(OR(N183=18,N183=19),"+4",IF(OR(N183=20,N183=21),"+5",IF(OR(N183=22,N183=23),"+6",IF(OR(N183=24,N183=25),"+7",IF(OR(N183=26,N183=27),"+8",IF(OR(N183=28,N183=29),"+9",IF(N183=30,"+10"," "))))))))))))))))</f>
        <v>+5</v>
      </c>
      <c r="P183" s="3" t="n">
        <v>18</v>
      </c>
      <c r="Q183" s="1" t="str">
        <f aca="false">IF(P183=1,"-5",IF(OR(P183=2,P183=3),"-4",IF(OR(P183=4,P183=5),"-3",IF(OR(P183=6,P183=7),"-2",IF(OR(P183=8,P183=9),"-1",IF(OR(P183=10,P183=11),"0",IF(OR(P183=12,P183=13),"+1",IF(OR(P183=14,P183=15),"+2",IF(OR(P183=16,P183=17),"+3",IF(OR(P183=18,P183=19),"+4",IF(OR(P183=20,P183=21),"+5",IF(OR(P183=22,P183=23),"+6",IF(OR(P183=24,P183=25),"+7",IF(OR(P183=26,P183=27),"+8",IF(OR(P183=28,P183=29),"+9",IF(P183=30,"+10"," "))))))))))))))))</f>
        <v>+4</v>
      </c>
      <c r="R183" s="3" t="n">
        <v>15</v>
      </c>
      <c r="S183" s="1" t="str">
        <f aca="false">IF(R183=1,"-5",IF(OR(R183=2,R183=3),"-4",IF(OR(R183=4,R183=5),"-3",IF(OR(R183=6,R183=7),"-2",IF(OR(R183=8,R183=9),"-1",IF(OR(R183=10,R183=11),"0",IF(OR(R183=12,R183=13),"+1",IF(OR(R183=14,R183=15),"+2",IF(OR(R183=16,R183=17),"+3",IF(OR(R183=18,R183=19),"+4",IF(OR(R183=20,R183=21),"+5",IF(OR(R183=22,R183=23),"+6",IF(OR(R183=24,R183=25),"+7",IF(OR(R183=26,R183=27),"+8",IF(OR(R183=28,R183=29),"+9",IF(R183=30,"+10"," "))))))))))))))))</f>
        <v>+2</v>
      </c>
      <c r="T183" s="3" t="n">
        <v>17</v>
      </c>
      <c r="U183" s="1" t="str">
        <f aca="false">IF(T183=1,"-5",IF(OR(T183=2,T183=3),"-4",IF(OR(T183=4,T183=5),"-3",IF(OR(T183=6,T183=7),"-2",IF(OR(T183=8,T183=9),"-1",IF(OR(T183=10,T183=11),"0",IF(OR(T183=12,T183=13),"+1",IF(OR(T183=14,T183=15),"+2",IF(OR(T183=16,T183=17),"+3",IF(OR(T183=18,T183=19),"+4",IF(OR(T183=20,T183=21),"+5",IF(OR(T183=22,T183=23),"+6",IF(OR(T183=24,T183=25),"+7",IF(OR(T183=26,T183=27),"+8",IF(OR(T183=28,T183=29),"+9",IF(T183=30,"+10"," "))))))))))))))))</f>
        <v>+3</v>
      </c>
      <c r="V183" s="3" t="s">
        <v>1013</v>
      </c>
      <c r="W183" s="3" t="s">
        <v>643</v>
      </c>
      <c r="X183" s="11" t="s">
        <v>1014</v>
      </c>
      <c r="Y183" s="11" t="s">
        <v>1015</v>
      </c>
      <c r="Z183" s="11" t="s">
        <v>37</v>
      </c>
      <c r="AA183" s="12" t="s">
        <v>837</v>
      </c>
    </row>
    <row r="184" customFormat="false" ht="16.4" hidden="false" customHeight="false" outlineLevel="0" collapsed="false">
      <c r="A184" s="15" t="s">
        <v>1016</v>
      </c>
      <c r="B184" s="3" t="s">
        <v>776</v>
      </c>
      <c r="C184" s="3" t="s">
        <v>49</v>
      </c>
      <c r="D184" s="16" t="n">
        <v>22</v>
      </c>
      <c r="E184" s="6" t="n">
        <f aca="false">VLOOKUP(D184,'[1]REF Tables'!$A$2:$B$40,2)</f>
        <v>41000</v>
      </c>
      <c r="F184" s="3" t="s">
        <v>601</v>
      </c>
      <c r="G184" s="3" t="n">
        <v>21</v>
      </c>
      <c r="H184" s="3" t="s">
        <v>1017</v>
      </c>
      <c r="I184" s="3" t="s">
        <v>876</v>
      </c>
      <c r="J184" s="3" t="n">
        <v>27</v>
      </c>
      <c r="K184" s="1" t="str">
        <f aca="false">IF(J184=1,"-5",IF(OR(J184=2,J184=3),"-4",IF(OR(J184=4,J184=5),"-3",IF(OR(J184=6,J184=7),"-2",IF(OR(J184=8,J184=9),"-1",IF(OR(J184=10,J184=11),"0",IF(OR(J184=12,J184=13),"+1",IF(OR(J184=14,J184=15),"+2",IF(OR(J184=16,J184=17),"+3",IF(OR(J184=18,J184=19),"+4",IF(OR(J184=20,J184=21),"+5",IF(OR(J184=22,J184=23),"+6",IF(OR(J184=24,J184=25),"+7",IF(OR(J184=26,J184=27),"+8",IF(OR(J184=28,J184=29),"+9",IF(J184=30,"+10"," "))))))))))))))))</f>
        <v>+8</v>
      </c>
      <c r="L184" s="3" t="n">
        <v>12</v>
      </c>
      <c r="M184" s="1" t="str">
        <f aca="false">IF(L184=1,"-5",IF(OR(L184=2,L184=3),"-4",IF(OR(L184=4,L184=5),"-3",IF(OR(L184=6,L184=7),"-2",IF(OR(L184=8,L184=9),"-1",IF(OR(L184=10,L184=11),"0",IF(OR(L184=12,L184=13),"+1",IF(OR(L184=14,L184=15),"+2",IF(OR(L184=16,L184=17),"+3",IF(OR(L184=18,L184=19),"+4",IF(OR(L184=20,L184=21),"+5",IF(OR(L184=22,L184=23),"+6",IF(OR(L184=24,L184=25),"+7",IF(OR(L184=26,L184=27),"+8",IF(OR(L184=28,L184=29),"+9",IF(L184=30,"+10"," "))))))))))))))))</f>
        <v>+1</v>
      </c>
      <c r="N184" s="3" t="n">
        <v>25</v>
      </c>
      <c r="O184" s="1" t="str">
        <f aca="false">IF(N184=1,"-5",IF(OR(N184=2,N184=3),"-4",IF(OR(N184=4,N184=5),"-3",IF(OR(N184=6,N184=7),"-2",IF(OR(N184=8,N184=9),"-1",IF(OR(N184=10,N184=11),"0",IF(OR(N184=12,N184=13),"+1",IF(OR(N184=14,N184=15),"+2",IF(OR(N184=16,N184=17),"+3",IF(OR(N184=18,N184=19),"+4",IF(OR(N184=20,N184=21),"+5",IF(OR(N184=22,N184=23),"+6",IF(OR(N184=24,N184=25),"+7",IF(OR(N184=26,N184=27),"+8",IF(OR(N184=28,N184=29),"+9",IF(N184=30,"+10"," "))))))))))))))))</f>
        <v>+7</v>
      </c>
      <c r="P184" s="3" t="n">
        <v>20</v>
      </c>
      <c r="Q184" s="1" t="str">
        <f aca="false">IF(P184=1,"-5",IF(OR(P184=2,P184=3),"-4",IF(OR(P184=4,P184=5),"-3",IF(OR(P184=6,P184=7),"-2",IF(OR(P184=8,P184=9),"-1",IF(OR(P184=10,P184=11),"0",IF(OR(P184=12,P184=13),"+1",IF(OR(P184=14,P184=15),"+2",IF(OR(P184=16,P184=17),"+3",IF(OR(P184=18,P184=19),"+4",IF(OR(P184=20,P184=21),"+5",IF(OR(P184=22,P184=23),"+6",IF(OR(P184=24,P184=25),"+7",IF(OR(P184=26,P184=27),"+8",IF(OR(P184=28,P184=29),"+9",IF(P184=30,"+10"," "))))))))))))))))</f>
        <v>+5</v>
      </c>
      <c r="R184" s="3" t="n">
        <v>17</v>
      </c>
      <c r="S184" s="1" t="str">
        <f aca="false">IF(R184=1,"-5",IF(OR(R184=2,R184=3),"-4",IF(OR(R184=4,R184=5),"-3",IF(OR(R184=6,R184=7),"-2",IF(OR(R184=8,R184=9),"-1",IF(OR(R184=10,R184=11),"0",IF(OR(R184=12,R184=13),"+1",IF(OR(R184=14,R184=15),"+2",IF(OR(R184=16,R184=17),"+3",IF(OR(R184=18,R184=19),"+4",IF(OR(R184=20,R184=21),"+5",IF(OR(R184=22,R184=23),"+6",IF(OR(R184=24,R184=25),"+7",IF(OR(R184=26,R184=27),"+8",IF(OR(R184=28,R184=29),"+9",IF(R184=30,"+10"," "))))))))))))))))</f>
        <v>+3</v>
      </c>
      <c r="T184" s="3" t="n">
        <v>19</v>
      </c>
      <c r="U184" s="1" t="str">
        <f aca="false">IF(T184=1,"-5",IF(OR(T184=2,T184=3),"-4",IF(OR(T184=4,T184=5),"-3",IF(OR(T184=6,T184=7),"-2",IF(OR(T184=8,T184=9),"-1",IF(OR(T184=10,T184=11),"0",IF(OR(T184=12,T184=13),"+1",IF(OR(T184=14,T184=15),"+2",IF(OR(T184=16,T184=17),"+3",IF(OR(T184=18,T184=19),"+4",IF(OR(T184=20,T184=21),"+5",IF(OR(T184=22,T184=23),"+6",IF(OR(T184=24,T184=25),"+7",IF(OR(T184=26,T184=27),"+8",IF(OR(T184=28,T184=29),"+9",IF(T184=30,"+10"," "))))))))))))))))</f>
        <v>+4</v>
      </c>
      <c r="V184" s="3" t="s">
        <v>1018</v>
      </c>
      <c r="W184" s="3" t="s">
        <v>643</v>
      </c>
      <c r="X184" s="11" t="s">
        <v>1019</v>
      </c>
      <c r="Y184" s="11" t="s">
        <v>1020</v>
      </c>
      <c r="Z184" s="11" t="s">
        <v>37</v>
      </c>
      <c r="AA184" s="12" t="s">
        <v>913</v>
      </c>
    </row>
    <row r="185" customFormat="false" ht="16.4" hidden="false" customHeight="false" outlineLevel="0" collapsed="false">
      <c r="A185" s="15" t="s">
        <v>1021</v>
      </c>
      <c r="B185" s="3" t="s">
        <v>776</v>
      </c>
      <c r="C185" s="3" t="s">
        <v>49</v>
      </c>
      <c r="D185" s="16" t="n">
        <v>2</v>
      </c>
      <c r="E185" s="3" t="n">
        <f aca="false">VLOOKUP(D185,'[1]REF Tables'!$A$2:$B$40,2)</f>
        <v>450</v>
      </c>
      <c r="F185" s="3" t="s">
        <v>30</v>
      </c>
      <c r="G185" s="3" t="n">
        <v>17</v>
      </c>
      <c r="H185" s="3" t="s">
        <v>1022</v>
      </c>
      <c r="I185" s="3" t="s">
        <v>887</v>
      </c>
      <c r="J185" s="3" t="n">
        <v>15</v>
      </c>
      <c r="K185" s="1" t="str">
        <f aca="false">IF(J185=1,"-5",IF(OR(J185=2,J185=3),"-4",IF(OR(J185=4,J185=5),"-3",IF(OR(J185=6,J185=7),"-2",IF(OR(J185=8,J185=9),"-1",IF(OR(J185=10,J185=11),"0",IF(OR(J185=12,J185=13),"+1",IF(OR(J185=14,J185=15),"+2",IF(OR(J185=16,J185=17),"+3",IF(OR(J185=18,J185=19),"+4",IF(OR(J185=20,J185=21),"+5",IF(OR(J185=22,J185=23),"+6",IF(OR(J185=24,J185=25),"+7",IF(OR(J185=26,J185=27),"+8",IF(OR(J185=28,J185=29),"+9",IF(J185=30,"+10"," "))))))))))))))))</f>
        <v>+2</v>
      </c>
      <c r="L185" s="3" t="n">
        <v>12</v>
      </c>
      <c r="M185" s="1" t="str">
        <f aca="false">IF(L185=1,"-5",IF(OR(L185=2,L185=3),"-4",IF(OR(L185=4,L185=5),"-3",IF(OR(L185=6,L185=7),"-2",IF(OR(L185=8,L185=9),"-1",IF(OR(L185=10,L185=11),"0",IF(OR(L185=12,L185=13),"+1",IF(OR(L185=14,L185=15),"+2",IF(OR(L185=16,L185=17),"+3",IF(OR(L185=18,L185=19),"+4",IF(OR(L185=20,L185=21),"+5",IF(OR(L185=22,L185=23),"+6",IF(OR(L185=24,L185=25),"+7",IF(OR(L185=26,L185=27),"+8",IF(OR(L185=28,L185=29),"+9",IF(L185=30,"+10"," "))))))))))))))))</f>
        <v>+1</v>
      </c>
      <c r="N185" s="3" t="n">
        <v>13</v>
      </c>
      <c r="O185" s="1" t="str">
        <f aca="false">IF(N185=1,"-5",IF(OR(N185=2,N185=3),"-4",IF(OR(N185=4,N185=5),"-3",IF(OR(N185=6,N185=7),"-2",IF(OR(N185=8,N185=9),"-1",IF(OR(N185=10,N185=11),"0",IF(OR(N185=12,N185=13),"+1",IF(OR(N185=14,N185=15),"+2",IF(OR(N185=16,N185=17),"+3",IF(OR(N185=18,N185=19),"+4",IF(OR(N185=20,N185=21),"+5",IF(OR(N185=22,N185=23),"+6",IF(OR(N185=24,N185=25),"+7",IF(OR(N185=26,N185=27),"+8",IF(OR(N185=28,N185=29),"+9",IF(N185=30,"+10"," "))))))))))))))))</f>
        <v>+1</v>
      </c>
      <c r="P185" s="3" t="n">
        <v>14</v>
      </c>
      <c r="Q185" s="1" t="str">
        <f aca="false">IF(P185=1,"-5",IF(OR(P185=2,P185=3),"-4",IF(OR(P185=4,P185=5),"-3",IF(OR(P185=6,P185=7),"-2",IF(OR(P185=8,P185=9),"-1",IF(OR(P185=10,P185=11),"0",IF(OR(P185=12,P185=13),"+1",IF(OR(P185=14,P185=15),"+2",IF(OR(P185=16,P185=17),"+3",IF(OR(P185=18,P185=19),"+4",IF(OR(P185=20,P185=21),"+5",IF(OR(P185=22,P185=23),"+6",IF(OR(P185=24,P185=25),"+7",IF(OR(P185=26,P185=27),"+8",IF(OR(P185=28,P185=29),"+9",IF(P185=30,"+10"," "))))))))))))))))</f>
        <v>+2</v>
      </c>
      <c r="R185" s="3" t="n">
        <v>11</v>
      </c>
      <c r="S185" s="1" t="str">
        <f aca="false">IF(R185=1,"-5",IF(OR(R185=2,R185=3),"-4",IF(OR(R185=4,R185=5),"-3",IF(OR(R185=6,R185=7),"-2",IF(OR(R185=8,R185=9),"-1",IF(OR(R185=10,R185=11),"0",IF(OR(R185=12,R185=13),"+1",IF(OR(R185=14,R185=15),"+2",IF(OR(R185=16,R185=17),"+3",IF(OR(R185=18,R185=19),"+4",IF(OR(R185=20,R185=21),"+5",IF(OR(R185=22,R185=23),"+6",IF(OR(R185=24,R185=25),"+7",IF(OR(R185=26,R185=27),"+8",IF(OR(R185=28,R185=29),"+9",IF(R185=30,"+10"," "))))))))))))))))</f>
        <v>0</v>
      </c>
      <c r="T185" s="3" t="n">
        <v>13</v>
      </c>
      <c r="U185" s="1" t="str">
        <f aca="false">IF(T185=1,"-5",IF(OR(T185=2,T185=3),"-4",IF(OR(T185=4,T185=5),"-3",IF(OR(T185=6,T185=7),"-2",IF(OR(T185=8,T185=9),"-1",IF(OR(T185=10,T185=11),"0",IF(OR(T185=12,T185=13),"+1",IF(OR(T185=14,T185=15),"+2",IF(OR(T185=16,T185=17),"+3",IF(OR(T185=18,T185=19),"+4",IF(OR(T185=20,T185=21),"+5",IF(OR(T185=22,T185=23),"+6",IF(OR(T185=24,T185=25),"+7",IF(OR(T185=26,T185=27),"+8",IF(OR(T185=28,T185=29),"+9",IF(T185=30,"+10"," "))))))))))))))))</f>
        <v>+1</v>
      </c>
      <c r="V185" s="3" t="s">
        <v>916</v>
      </c>
      <c r="W185" s="3" t="s">
        <v>311</v>
      </c>
      <c r="X185" s="11" t="s">
        <v>1023</v>
      </c>
      <c r="Y185" s="11" t="s">
        <v>1024</v>
      </c>
      <c r="Z185" s="11" t="s">
        <v>37</v>
      </c>
      <c r="AA185" s="12" t="s">
        <v>37</v>
      </c>
    </row>
    <row r="186" customFormat="false" ht="16.4" hidden="false" customHeight="false" outlineLevel="0" collapsed="false">
      <c r="A186" s="14" t="s">
        <v>1025</v>
      </c>
      <c r="B186" s="1" t="s">
        <v>938</v>
      </c>
      <c r="C186" s="1" t="s">
        <v>49</v>
      </c>
      <c r="D186" s="5" t="n">
        <v>8</v>
      </c>
      <c r="E186" s="6" t="n">
        <f aca="false">VLOOKUP(D186,'[1]REF Tables'!$A$2:$B$40,2)</f>
        <v>3900</v>
      </c>
      <c r="F186" s="1" t="s">
        <v>50</v>
      </c>
      <c r="G186" s="1" t="n">
        <v>18</v>
      </c>
      <c r="H186" s="1" t="s">
        <v>1026</v>
      </c>
      <c r="I186" s="3" t="s">
        <v>1027</v>
      </c>
      <c r="J186" s="1" t="n">
        <v>19</v>
      </c>
      <c r="K186" s="1" t="str">
        <f aca="false">IF(J186=1,"-5",IF(OR(J186=2,J186=3),"-4",IF(OR(J186=4,J186=5),"-3",IF(OR(J186=6,J186=7),"-2",IF(OR(J186=8,J186=9),"-1",IF(OR(J186=10,J186=11),"0",IF(OR(J186=12,J186=13),"+1",IF(OR(J186=14,J186=15),"+2",IF(OR(J186=16,J186=17),"+3",IF(OR(J186=18,J186=19),"+4",IF(OR(J186=20,J186=21),"+5",IF(OR(J186=22,J186=23),"+6",IF(OR(J186=24,J186=25),"+7",IF(OR(J186=26,J186=27),"+8",IF(OR(J186=28,J186=29),"+9",IF(J186=30,"+10"," "))))))))))))))))</f>
        <v>+4</v>
      </c>
      <c r="L186" s="1" t="n">
        <v>12</v>
      </c>
      <c r="M186" s="1" t="str">
        <f aca="false">IF(L186=1,"-5",IF(OR(L186=2,L186=3),"-4",IF(OR(L186=4,L186=5),"-3",IF(OR(L186=6,L186=7),"-2",IF(OR(L186=8,L186=9),"-1",IF(OR(L186=10,L186=11),"0",IF(OR(L186=12,L186=13),"+1",IF(OR(L186=14,L186=15),"+2",IF(OR(L186=16,L186=17),"+3",IF(OR(L186=18,L186=19),"+4",IF(OR(L186=20,L186=21),"+5",IF(OR(L186=22,L186=23),"+6",IF(OR(L186=24,L186=25),"+7",IF(OR(L186=26,L186=27),"+8",IF(OR(L186=28,L186=29),"+9",IF(L186=30,"+10"," "))))))))))))))))</f>
        <v>+1</v>
      </c>
      <c r="N186" s="1" t="n">
        <v>17</v>
      </c>
      <c r="O186" s="1" t="str">
        <f aca="false">IF(N186=1,"-5",IF(OR(N186=2,N186=3),"-4",IF(OR(N186=4,N186=5),"-3",IF(OR(N186=6,N186=7),"-2",IF(OR(N186=8,N186=9),"-1",IF(OR(N186=10,N186=11),"0",IF(OR(N186=12,N186=13),"+1",IF(OR(N186=14,N186=15),"+2",IF(OR(N186=16,N186=17),"+3",IF(OR(N186=18,N186=19),"+4",IF(OR(N186=20,N186=21),"+5",IF(OR(N186=22,N186=23),"+6",IF(OR(N186=24,N186=25),"+7",IF(OR(N186=26,N186=27),"+8",IF(OR(N186=28,N186=29),"+9",IF(N186=30,"+10"," "))))))))))))))))</f>
        <v>+3</v>
      </c>
      <c r="P186" s="1" t="n">
        <v>16</v>
      </c>
      <c r="Q186" s="1" t="str">
        <f aca="false">IF(P186=1,"-5",IF(OR(P186=2,P186=3),"-4",IF(OR(P186=4,P186=5),"-3",IF(OR(P186=6,P186=7),"-2",IF(OR(P186=8,P186=9),"-1",IF(OR(P186=10,P186=11),"0",IF(OR(P186=12,P186=13),"+1",IF(OR(P186=14,P186=15),"+2",IF(OR(P186=16,P186=17),"+3",IF(OR(P186=18,P186=19),"+4",IF(OR(P186=20,P186=21),"+5",IF(OR(P186=22,P186=23),"+6",IF(OR(P186=24,P186=25),"+7",IF(OR(P186=26,P186=27),"+8",IF(OR(P186=28,P186=29),"+9",IF(P186=30,"+10"," "))))))))))))))))</f>
        <v>+3</v>
      </c>
      <c r="R186" s="1" t="n">
        <v>13</v>
      </c>
      <c r="S186" s="1" t="str">
        <f aca="false">IF(R186=1,"-5",IF(OR(R186=2,R186=3),"-4",IF(OR(R186=4,R186=5),"-3",IF(OR(R186=6,R186=7),"-2",IF(OR(R186=8,R186=9),"-1",IF(OR(R186=10,R186=11),"0",IF(OR(R186=12,R186=13),"+1",IF(OR(R186=14,R186=15),"+2",IF(OR(R186=16,R186=17),"+3",IF(OR(R186=18,R186=19),"+4",IF(OR(R186=20,R186=21),"+5",IF(OR(R186=22,R186=23),"+6",IF(OR(R186=24,R186=25),"+7",IF(OR(R186=26,R186=27),"+8",IF(OR(R186=28,R186=29),"+9",IF(R186=30,"+10"," "))))))))))))))))</f>
        <v>+1</v>
      </c>
      <c r="T186" s="1" t="n">
        <v>15</v>
      </c>
      <c r="U186" s="1" t="str">
        <f aca="false">IF(T186=1,"-5",IF(OR(T186=2,T186=3),"-4",IF(OR(T186=4,T186=5),"-3",IF(OR(T186=6,T186=7),"-2",IF(OR(T186=8,T186=9),"-1",IF(OR(T186=10,T186=11),"0",IF(OR(T186=12,T186=13),"+1",IF(OR(T186=14,T186=15),"+2",IF(OR(T186=16,T186=17),"+3",IF(OR(T186=18,T186=19),"+4",IF(OR(T186=20,T186=21),"+5",IF(OR(T186=22,T186=23),"+6",IF(OR(T186=24,T186=25),"+7",IF(OR(T186=26,T186=27),"+8",IF(OR(T186=28,T186=29),"+9",IF(T186=30,"+10"," "))))))))))))))))</f>
        <v>+2</v>
      </c>
      <c r="V186" s="1" t="s">
        <v>1028</v>
      </c>
      <c r="W186" s="1" t="s">
        <v>643</v>
      </c>
      <c r="X186" s="2" t="s">
        <v>1029</v>
      </c>
      <c r="Y186" s="2" t="s">
        <v>1030</v>
      </c>
      <c r="Z186" s="2" t="s">
        <v>37</v>
      </c>
      <c r="AA186" s="1" t="s">
        <v>37</v>
      </c>
    </row>
    <row r="187" customFormat="false" ht="16.4" hidden="false" customHeight="false" outlineLevel="0" collapsed="false">
      <c r="A187" s="15" t="s">
        <v>1031</v>
      </c>
      <c r="B187" s="3" t="s">
        <v>938</v>
      </c>
      <c r="C187" s="3" t="s">
        <v>230</v>
      </c>
      <c r="D187" s="16" t="n">
        <v>17</v>
      </c>
      <c r="E187" s="6" t="n">
        <f aca="false">VLOOKUP(D187,'[1]REF Tables'!$A$2:$B$40,2)</f>
        <v>18000</v>
      </c>
      <c r="F187" s="3" t="s">
        <v>601</v>
      </c>
      <c r="G187" s="3" t="n">
        <v>20</v>
      </c>
      <c r="H187" s="3" t="s">
        <v>1032</v>
      </c>
      <c r="I187" s="3" t="s">
        <v>374</v>
      </c>
      <c r="J187" s="3" t="n">
        <v>25</v>
      </c>
      <c r="K187" s="1" t="str">
        <f aca="false">IF(J187=1,"-5",IF(OR(J187=2,J187=3),"-4",IF(OR(J187=4,J187=5),"-3",IF(OR(J187=6,J187=7),"-2",IF(OR(J187=8,J187=9),"-1",IF(OR(J187=10,J187=11),"0",IF(OR(J187=12,J187=13),"+1",IF(OR(J187=14,J187=15),"+2",IF(OR(J187=16,J187=17),"+3",IF(OR(J187=18,J187=19),"+4",IF(OR(J187=20,J187=21),"+5",IF(OR(J187=22,J187=23),"+6",IF(OR(J187=24,J187=25),"+7",IF(OR(J187=26,J187=27),"+8",IF(OR(J187=28,J187=29),"+9",IF(J187=30,"+10"," "))))))))))))))))</f>
        <v>+7</v>
      </c>
      <c r="L187" s="3" t="n">
        <v>10</v>
      </c>
      <c r="M187" s="1" t="str">
        <f aca="false">IF(L187=1,"-5",IF(OR(L187=2,L187=3),"-4",IF(OR(L187=4,L187=5),"-3",IF(OR(L187=6,L187=7),"-2",IF(OR(L187=8,L187=9),"-1",IF(OR(L187=10,L187=11),"0",IF(OR(L187=12,L187=13),"+1",IF(OR(L187=14,L187=15),"+2",IF(OR(L187=16,L187=17),"+3",IF(OR(L187=18,L187=19),"+4",IF(OR(L187=20,L187=21),"+5",IF(OR(L187=22,L187=23),"+6",IF(OR(L187=24,L187=25),"+7",IF(OR(L187=26,L187=27),"+8",IF(OR(L187=28,L187=29),"+9",IF(L187=30,"+10"," "))))))))))))))))</f>
        <v>0</v>
      </c>
      <c r="N187" s="3" t="n">
        <v>20</v>
      </c>
      <c r="O187" s="1" t="str">
        <f aca="false">IF(N187=1,"-5",IF(OR(N187=2,N187=3),"-4",IF(OR(N187=4,N187=5),"-3",IF(OR(N187=6,N187=7),"-2",IF(OR(N187=8,N187=9),"-1",IF(OR(N187=10,N187=11),"0",IF(OR(N187=12,N187=13),"+1",IF(OR(N187=14,N187=15),"+2",IF(OR(N187=16,N187=17),"+3",IF(OR(N187=18,N187=19),"+4",IF(OR(N187=20,N187=21),"+5",IF(OR(N187=22,N187=23),"+6",IF(OR(N187=24,N187=25),"+7",IF(OR(N187=26,N187=27),"+8",IF(OR(N187=28,N187=29),"+9",IF(N187=30,"+10"," "))))))))))))))))</f>
        <v>+5</v>
      </c>
      <c r="P187" s="3" t="n">
        <v>10</v>
      </c>
      <c r="Q187" s="1" t="str">
        <f aca="false">IF(P187=1,"-5",IF(OR(P187=2,P187=3),"-4",IF(OR(P187=4,P187=5),"-3",IF(OR(P187=6,P187=7),"-2",IF(OR(P187=8,P187=9),"-1",IF(OR(P187=10,P187=11),"0",IF(OR(P187=12,P187=13),"+1",IF(OR(P187=14,P187=15),"+2",IF(OR(P187=16,P187=17),"+3",IF(OR(P187=18,P187=19),"+4",IF(OR(P187=20,P187=21),"+5",IF(OR(P187=22,P187=23),"+6",IF(OR(P187=24,P187=25),"+7",IF(OR(P187=26,P187=27),"+8",IF(OR(P187=28,P187=29),"+9",IF(P187=30,"+10"," "))))))))))))))))</f>
        <v>0</v>
      </c>
      <c r="R187" s="3" t="n">
        <v>12</v>
      </c>
      <c r="S187" s="1" t="str">
        <f aca="false">IF(R187=1,"-5",IF(OR(R187=2,R187=3),"-4",IF(OR(R187=4,R187=5),"-3",IF(OR(R187=6,R187=7),"-2",IF(OR(R187=8,R187=9),"-1",IF(OR(R187=10,R187=11),"0",IF(OR(R187=12,R187=13),"+1",IF(OR(R187=14,R187=15),"+2",IF(OR(R187=16,R187=17),"+3",IF(OR(R187=18,R187=19),"+4",IF(OR(R187=20,R187=21),"+5",IF(OR(R187=22,R187=23),"+6",IF(OR(R187=24,R187=25),"+7",IF(OR(R187=26,R187=27),"+8",IF(OR(R187=28,R187=29),"+9",IF(R187=30,"+10"," "))))))))))))))))</f>
        <v>+1</v>
      </c>
      <c r="T187" s="3" t="n">
        <v>12</v>
      </c>
      <c r="U187" s="1" t="str">
        <f aca="false">IF(T187=1,"-5",IF(OR(T187=2,T187=3),"-4",IF(OR(T187=4,T187=5),"-3",IF(OR(T187=6,T187=7),"-2",IF(OR(T187=8,T187=9),"-1",IF(OR(T187=10,T187=11),"0",IF(OR(T187=12,T187=13),"+1",IF(OR(T187=14,T187=15),"+2",IF(OR(T187=16,T187=17),"+3",IF(OR(T187=18,T187=19),"+4",IF(OR(T187=20,T187=21),"+5",IF(OR(T187=22,T187=23),"+6",IF(OR(T187=24,T187=25),"+7",IF(OR(T187=26,T187=27),"+8",IF(OR(T187=28,T187=29),"+9",IF(T187=30,"+10"," "))))))))))))))))</f>
        <v>+1</v>
      </c>
      <c r="V187" s="3" t="s">
        <v>1033</v>
      </c>
      <c r="W187" s="3" t="s">
        <v>1034</v>
      </c>
      <c r="X187" s="11" t="s">
        <v>1035</v>
      </c>
      <c r="Y187" s="11" t="s">
        <v>1036</v>
      </c>
      <c r="Z187" s="11" t="s">
        <v>37</v>
      </c>
      <c r="AA187" s="12" t="s">
        <v>37</v>
      </c>
    </row>
    <row r="188" customFormat="false" ht="16.4" hidden="false" customHeight="false" outlineLevel="0" collapsed="false">
      <c r="A188" s="15" t="s">
        <v>1037</v>
      </c>
      <c r="B188" s="3" t="s">
        <v>938</v>
      </c>
      <c r="C188" s="3" t="s">
        <v>37</v>
      </c>
      <c r="D188" s="16" t="n">
        <v>2</v>
      </c>
      <c r="E188" s="3" t="n">
        <f aca="false">VLOOKUP(D188,'[1]REF Tables'!$A$2:$B$40,2)</f>
        <v>450</v>
      </c>
      <c r="F188" s="3" t="s">
        <v>30</v>
      </c>
      <c r="G188" s="3" t="n">
        <v>14</v>
      </c>
      <c r="H188" s="3" t="s">
        <v>1038</v>
      </c>
      <c r="I188" s="3" t="s">
        <v>42</v>
      </c>
      <c r="J188" s="3" t="n">
        <v>16</v>
      </c>
      <c r="K188" s="1" t="str">
        <f aca="false">IF(J188=1,"-5",IF(OR(J188=2,J188=3),"-4",IF(OR(J188=4,J188=5),"-3",IF(OR(J188=6,J188=7),"-2",IF(OR(J188=8,J188=9),"-1",IF(OR(J188=10,J188=11),"0",IF(OR(J188=12,J188=13),"+1",IF(OR(J188=14,J188=15),"+2",IF(OR(J188=16,J188=17),"+3",IF(OR(J188=18,J188=19),"+4",IF(OR(J188=20,J188=21),"+5",IF(OR(J188=22,J188=23),"+6",IF(OR(J188=24,J188=25),"+7",IF(OR(J188=26,J188=27),"+8",IF(OR(J188=28,J188=29),"+9",IF(J188=30,"+10"," "))))))))))))))))</f>
        <v>+3</v>
      </c>
      <c r="L188" s="3" t="n">
        <v>11</v>
      </c>
      <c r="M188" s="1" t="str">
        <f aca="false">IF(L188=1,"-5",IF(OR(L188=2,L188=3),"-4",IF(OR(L188=4,L188=5),"-3",IF(OR(L188=6,L188=7),"-2",IF(OR(L188=8,L188=9),"-1",IF(OR(L188=10,L188=11),"0",IF(OR(L188=12,L188=13),"+1",IF(OR(L188=14,L188=15),"+2",IF(OR(L188=16,L188=17),"+3",IF(OR(L188=18,L188=19),"+4",IF(OR(L188=20,L188=21),"+5",IF(OR(L188=22,L188=23),"+6",IF(OR(L188=24,L188=25),"+7",IF(OR(L188=26,L188=27),"+8",IF(OR(L188=28,L188=29),"+9",IF(L188=30,"+10"," "))))))))))))))))</f>
        <v>0</v>
      </c>
      <c r="N188" s="3" t="n">
        <v>16</v>
      </c>
      <c r="O188" s="1" t="str">
        <f aca="false">IF(N188=1,"-5",IF(OR(N188=2,N188=3),"-4",IF(OR(N188=4,N188=5),"-3",IF(OR(N188=6,N188=7),"-2",IF(OR(N188=8,N188=9),"-1",IF(OR(N188=10,N188=11),"0",IF(OR(N188=12,N188=13),"+1",IF(OR(N188=14,N188=15),"+2",IF(OR(N188=16,N188=17),"+3",IF(OR(N188=18,N188=19),"+4",IF(OR(N188=20,N188=21),"+5",IF(OR(N188=22,N188=23),"+6",IF(OR(N188=24,N188=25),"+7",IF(OR(N188=26,N188=27),"+8",IF(OR(N188=28,N188=29),"+9",IF(N188=30,"+10"," "))))))))))))))))</f>
        <v>+3</v>
      </c>
      <c r="P188" s="3" t="n">
        <v>4</v>
      </c>
      <c r="Q188" s="1" t="str">
        <f aca="false">IF(P188=1,"-5",IF(OR(P188=2,P188=3),"-4",IF(OR(P188=4,P188=5),"-3",IF(OR(P188=6,P188=7),"-2",IF(OR(P188=8,P188=9),"-1",IF(OR(P188=10,P188=11),"0",IF(OR(P188=12,P188=13),"+1",IF(OR(P188=14,P188=15),"+2",IF(OR(P188=16,P188=17),"+3",IF(OR(P188=18,P188=19),"+4",IF(OR(P188=20,P188=21),"+5",IF(OR(P188=22,P188=23),"+6",IF(OR(P188=24,P188=25),"+7",IF(OR(P188=26,P188=27),"+8",IF(OR(P188=28,P188=29),"+9",IF(P188=30,"+10"," "))))))))))))))))</f>
        <v>-3</v>
      </c>
      <c r="R188" s="3" t="n">
        <v>10</v>
      </c>
      <c r="S188" s="1" t="str">
        <f aca="false">IF(R188=1,"-5",IF(OR(R188=2,R188=3),"-4",IF(OR(R188=4,R188=5),"-3",IF(OR(R188=6,R188=7),"-2",IF(OR(R188=8,R188=9),"-1",IF(OR(R188=10,R188=11),"0",IF(OR(R188=12,R188=13),"+1",IF(OR(R188=14,R188=15),"+2",IF(OR(R188=16,R188=17),"+3",IF(OR(R188=18,R188=19),"+4",IF(OR(R188=20,R188=21),"+5",IF(OR(R188=22,R188=23),"+6",IF(OR(R188=24,R188=25),"+7",IF(OR(R188=26,R188=27),"+8",IF(OR(R188=28,R188=29),"+9",IF(R188=30,"+10"," "))))))))))))))))</f>
        <v>0</v>
      </c>
      <c r="T188" s="3" t="n">
        <v>7</v>
      </c>
      <c r="U188" s="1" t="str">
        <f aca="false">IF(T188=1,"-5",IF(OR(T188=2,T188=3),"-4",IF(OR(T188=4,T188=5),"-3",IF(OR(T188=6,T188=7),"-2",IF(OR(T188=8,T188=9),"-1",IF(OR(T188=10,T188=11),"0",IF(OR(T188=12,T188=13),"+1",IF(OR(T188=14,T188=15),"+2",IF(OR(T188=16,T188=17),"+3",IF(OR(T188=18,T188=19),"+4",IF(OR(T188=20,T188=21),"+5",IF(OR(T188=22,T188=23),"+6",IF(OR(T188=24,T188=25),"+7",IF(OR(T188=26,T188=27),"+8",IF(OR(T188=28,T188=29),"+9",IF(T188=30,"+10"," "))))))))))))))))</f>
        <v>-2</v>
      </c>
      <c r="V188" s="3" t="s">
        <v>1039</v>
      </c>
      <c r="W188" s="3" t="s">
        <v>510</v>
      </c>
      <c r="X188" s="11" t="s">
        <v>1040</v>
      </c>
      <c r="Y188" s="11" t="s">
        <v>1041</v>
      </c>
      <c r="Z188" s="11" t="s">
        <v>37</v>
      </c>
      <c r="AA188" s="12" t="s">
        <v>37</v>
      </c>
    </row>
    <row r="189" customFormat="false" ht="16.4" hidden="false" customHeight="false" outlineLevel="0" collapsed="false">
      <c r="A189" s="15" t="s">
        <v>1042</v>
      </c>
      <c r="B189" s="3" t="s">
        <v>221</v>
      </c>
      <c r="C189" s="3" t="s">
        <v>222</v>
      </c>
      <c r="D189" s="16" t="n">
        <v>0.25</v>
      </c>
      <c r="E189" s="3" t="n">
        <f aca="false">VLOOKUP(D189,'[1]REF Tables'!$A$2:$B$40,2)</f>
        <v>50</v>
      </c>
      <c r="F189" s="3" t="s">
        <v>165</v>
      </c>
      <c r="G189" s="3" t="n">
        <v>11</v>
      </c>
      <c r="H189" s="3" t="s">
        <v>514</v>
      </c>
      <c r="I189" s="3" t="s">
        <v>160</v>
      </c>
      <c r="J189" s="3" t="n">
        <v>11</v>
      </c>
      <c r="K189" s="1" t="str">
        <f aca="false">IF(J189=1,"-5",IF(OR(J189=2,J189=3),"-4",IF(OR(J189=4,J189=5),"-3",IF(OR(J189=6,J189=7),"-2",IF(OR(J189=8,J189=9),"-1",IF(OR(J189=10,J189=11),"0",IF(OR(J189=12,J189=13),"+1",IF(OR(J189=14,J189=15),"+2",IF(OR(J189=16,J189=17),"+3",IF(OR(J189=18,J189=19),"+4",IF(OR(J189=20,J189=21),"+5",IF(OR(J189=22,J189=23),"+6",IF(OR(J189=24,J189=25),"+7",IF(OR(J189=26,J189=27),"+8",IF(OR(J189=28,J189=29),"+9",IF(J189=30,"+10"," "))))))))))))))))</f>
        <v>0</v>
      </c>
      <c r="L189" s="3" t="n">
        <v>11</v>
      </c>
      <c r="M189" s="1" t="str">
        <f aca="false">IF(L189=1,"-5",IF(OR(L189=2,L189=3),"-4",IF(OR(L189=4,L189=5),"-3",IF(OR(L189=6,L189=7),"-2",IF(OR(L189=8,L189=9),"-1",IF(OR(L189=10,L189=11),"0",IF(OR(L189=12,L189=13),"+1",IF(OR(L189=14,L189=15),"+2",IF(OR(L189=16,L189=17),"+3",IF(OR(L189=18,L189=19),"+4",IF(OR(L189=20,L189=21),"+5",IF(OR(L189=22,L189=23),"+6",IF(OR(L189=24,L189=25),"+7",IF(OR(L189=26,L189=27),"+8",IF(OR(L189=28,L189=29),"+9",IF(L189=30,"+10"," "))))))))))))))))</f>
        <v>0</v>
      </c>
      <c r="N189" s="3" t="n">
        <v>12</v>
      </c>
      <c r="O189" s="1" t="str">
        <f aca="false">IF(N189=1,"-5",IF(OR(N189=2,N189=3),"-4",IF(OR(N189=4,N189=5),"-3",IF(OR(N189=6,N189=7),"-2",IF(OR(N189=8,N189=9),"-1",IF(OR(N189=10,N189=11),"0",IF(OR(N189=12,N189=13),"+1",IF(OR(N189=14,N189=15),"+2",IF(OR(N189=16,N189=17),"+3",IF(OR(N189=18,N189=19),"+4",IF(OR(N189=20,N189=21),"+5",IF(OR(N189=22,N189=23),"+6",IF(OR(N189=24,N189=25),"+7",IF(OR(N189=26,N189=27),"+8",IF(OR(N189=28,N189=29),"+9",IF(N189=30,"+10"," "))))))))))))))))</f>
        <v>+1</v>
      </c>
      <c r="P189" s="3" t="n">
        <v>5</v>
      </c>
      <c r="Q189" s="1" t="str">
        <f aca="false">IF(P189=1,"-5",IF(OR(P189=2,P189=3),"-4",IF(OR(P189=4,P189=5),"-3",IF(OR(P189=6,P189=7),"-2",IF(OR(P189=8,P189=9),"-1",IF(OR(P189=10,P189=11),"0",IF(OR(P189=12,P189=13),"+1",IF(OR(P189=14,P189=15),"+2",IF(OR(P189=16,P189=17),"+3",IF(OR(P189=18,P189=19),"+4",IF(OR(P189=20,P189=21),"+5",IF(OR(P189=22,P189=23),"+6",IF(OR(P189=24,P189=25),"+7",IF(OR(P189=26,P189=27),"+8",IF(OR(P189=28,P189=29),"+9",IF(P189=30,"+10"," "))))))))))))))))</f>
        <v>-3</v>
      </c>
      <c r="R189" s="3" t="n">
        <v>8</v>
      </c>
      <c r="S189" s="1" t="str">
        <f aca="false">IF(R189=1,"-5",IF(OR(R189=2,R189=3),"-4",IF(OR(R189=4,R189=5),"-3",IF(OR(R189=6,R189=7),"-2",IF(OR(R189=8,R189=9),"-1",IF(OR(R189=10,R189=11),"0",IF(OR(R189=12,R189=13),"+1",IF(OR(R189=14,R189=15),"+2",IF(OR(R189=16,R189=17),"+3",IF(OR(R189=18,R189=19),"+4",IF(OR(R189=20,R189=21),"+5",IF(OR(R189=22,R189=23),"+6",IF(OR(R189=24,R189=25),"+7",IF(OR(R189=26,R189=27),"+8",IF(OR(R189=28,R189=29),"+9",IF(R189=30,"+10"," "))))))))))))))))</f>
        <v>-1</v>
      </c>
      <c r="T189" s="3" t="n">
        <v>3</v>
      </c>
      <c r="U189" s="1" t="str">
        <f aca="false">IF(T189=1,"-5",IF(OR(T189=2,T189=3),"-4",IF(OR(T189=4,T189=5),"-3",IF(OR(T189=6,T189=7),"-2",IF(OR(T189=8,T189=9),"-1",IF(OR(T189=10,T189=11),"0",IF(OR(T189=12,T189=13),"+1",IF(OR(T189=14,T189=15),"+2",IF(OR(T189=16,T189=17),"+3",IF(OR(T189=18,T189=19),"+4",IF(OR(T189=20,T189=21),"+5",IF(OR(T189=22,T189=23),"+6",IF(OR(T189=24,T189=25),"+7",IF(OR(T189=26,T189=27),"+8",IF(OR(T189=28,T189=29),"+9",IF(T189=30,"+10"," "))))))))))))))))</f>
        <v>-4</v>
      </c>
      <c r="V189" s="3" t="s">
        <v>37</v>
      </c>
      <c r="W189" s="3" t="s">
        <v>1043</v>
      </c>
      <c r="X189" s="11" t="s">
        <v>1044</v>
      </c>
      <c r="Y189" s="11" t="s">
        <v>1045</v>
      </c>
      <c r="Z189" s="11" t="s">
        <v>37</v>
      </c>
      <c r="AA189" s="12" t="s">
        <v>37</v>
      </c>
    </row>
    <row r="190" customFormat="false" ht="16.4" hidden="false" customHeight="false" outlineLevel="0" collapsed="false">
      <c r="A190" s="15" t="s">
        <v>1046</v>
      </c>
      <c r="B190" s="3" t="s">
        <v>105</v>
      </c>
      <c r="C190" s="3" t="s">
        <v>222</v>
      </c>
      <c r="D190" s="16" t="n">
        <v>6</v>
      </c>
      <c r="E190" s="6" t="n">
        <f aca="false">VLOOKUP(D190,'[1]REF Tables'!$A$2:$B$40,2)</f>
        <v>2300</v>
      </c>
      <c r="F190" s="3" t="s">
        <v>50</v>
      </c>
      <c r="G190" s="3" t="n">
        <v>19</v>
      </c>
      <c r="H190" s="3" t="s">
        <v>770</v>
      </c>
      <c r="I190" s="3" t="s">
        <v>131</v>
      </c>
      <c r="J190" s="3" t="n">
        <v>16</v>
      </c>
      <c r="K190" s="1" t="str">
        <f aca="false">IF(J190=1,"-5",IF(OR(J190=2,J190=3),"-4",IF(OR(J190=4,J190=5),"-3",IF(OR(J190=6,J190=7),"-2",IF(OR(J190=8,J190=9),"-1",IF(OR(J190=10,J190=11),"0",IF(OR(J190=12,J190=13),"+1",IF(OR(J190=14,J190=15),"+2",IF(OR(J190=16,J190=17),"+3",IF(OR(J190=18,J190=19),"+4",IF(OR(J190=20,J190=21),"+5",IF(OR(J190=22,J190=23),"+6",IF(OR(J190=24,J190=25),"+7",IF(OR(J190=26,J190=27),"+8",IF(OR(J190=28,J190=29),"+9",IF(J190=30,"+10"," "))))))))))))))))</f>
        <v>+3</v>
      </c>
      <c r="L190" s="3" t="n">
        <v>16</v>
      </c>
      <c r="M190" s="1" t="str">
        <f aca="false">IF(L190=1,"-5",IF(OR(L190=2,L190=3),"-4",IF(OR(L190=4,L190=5),"-3",IF(OR(L190=6,L190=7),"-2",IF(OR(L190=8,L190=9),"-1",IF(OR(L190=10,L190=11),"0",IF(OR(L190=12,L190=13),"+1",IF(OR(L190=14,L190=15),"+2",IF(OR(L190=16,L190=17),"+3",IF(OR(L190=18,L190=19),"+4",IF(OR(L190=20,L190=21),"+5",IF(OR(L190=22,L190=23),"+6",IF(OR(L190=24,L190=25),"+7",IF(OR(L190=26,L190=27),"+8",IF(OR(L190=28,L190=29),"+9",IF(L190=30,"+10"," "))))))))))))))))</f>
        <v>+3</v>
      </c>
      <c r="N190" s="3" t="n">
        <v>18</v>
      </c>
      <c r="O190" s="1" t="str">
        <f aca="false">IF(N190=1,"-5",IF(OR(N190=2,N190=3),"-4",IF(OR(N190=4,N190=5),"-3",IF(OR(N190=6,N190=7),"-2",IF(OR(N190=8,N190=9),"-1",IF(OR(N190=10,N190=11),"0",IF(OR(N190=12,N190=13),"+1",IF(OR(N190=14,N190=15),"+2",IF(OR(N190=16,N190=17),"+3",IF(OR(N190=18,N190=19),"+4",IF(OR(N190=20,N190=21),"+5",IF(OR(N190=22,N190=23),"+6",IF(OR(N190=24,N190=25),"+7",IF(OR(N190=26,N190=27),"+8",IF(OR(N190=28,N190=29),"+9",IF(N190=30,"+10"," "))))))))))))))))</f>
        <v>+4</v>
      </c>
      <c r="P190" s="3" t="n">
        <v>13</v>
      </c>
      <c r="Q190" s="1" t="str">
        <f aca="false">IF(P190=1,"-5",IF(OR(P190=2,P190=3),"-4",IF(OR(P190=4,P190=5),"-3",IF(OR(P190=6,P190=7),"-2",IF(OR(P190=8,P190=9),"-1",IF(OR(P190=10,P190=11),"0",IF(OR(P190=12,P190=13),"+1",IF(OR(P190=14,P190=15),"+2",IF(OR(P190=16,P190=17),"+3",IF(OR(P190=18,P190=19),"+4",IF(OR(P190=20,P190=21),"+5",IF(OR(P190=22,P190=23),"+6",IF(OR(P190=24,P190=25),"+7",IF(OR(P190=26,P190=27),"+8",IF(OR(P190=28,P190=29),"+9",IF(P190=30,"+10"," "))))))))))))))))</f>
        <v>+1</v>
      </c>
      <c r="R190" s="3" t="n">
        <v>14</v>
      </c>
      <c r="S190" s="1" t="str">
        <f aca="false">IF(R190=1,"-5",IF(OR(R190=2,R190=3),"-4",IF(OR(R190=4,R190=5),"-3",IF(OR(R190=6,R190=7),"-2",IF(OR(R190=8,R190=9),"-1",IF(OR(R190=10,R190=11),"0",IF(OR(R190=12,R190=13),"+1",IF(OR(R190=14,R190=15),"+2",IF(OR(R190=16,R190=17),"+3",IF(OR(R190=18,R190=19),"+4",IF(OR(R190=20,R190=21),"+5",IF(OR(R190=22,R190=23),"+6",IF(OR(R190=24,R190=25),"+7",IF(OR(R190=26,R190=27),"+8",IF(OR(R190=28,R190=29),"+9",IF(R190=30,"+10"," "))))))))))))))))</f>
        <v>+2</v>
      </c>
      <c r="T190" s="3" t="n">
        <v>12</v>
      </c>
      <c r="U190" s="1" t="str">
        <f aca="false">IF(T190=1,"-5",IF(OR(T190=2,T190=3),"-4",IF(OR(T190=4,T190=5),"-3",IF(OR(T190=6,T190=7),"-2",IF(OR(T190=8,T190=9),"-1",IF(OR(T190=10,T190=11),"0",IF(OR(T190=12,T190=13),"+1",IF(OR(T190=14,T190=15),"+2",IF(OR(T190=16,T190=17),"+3",IF(OR(T190=18,T190=19),"+4",IF(OR(T190=20,T190=21),"+5",IF(OR(T190=22,T190=23),"+6",IF(OR(T190=24,T190=25),"+7",IF(OR(T190=26,T190=27),"+8",IF(OR(T190=28,T190=29),"+9",IF(T190=30,"+10"," "))))))))))))))))</f>
        <v>+1</v>
      </c>
      <c r="V190" s="3" t="s">
        <v>1047</v>
      </c>
      <c r="W190" s="3" t="s">
        <v>1048</v>
      </c>
      <c r="X190" s="11" t="s">
        <v>1049</v>
      </c>
      <c r="Y190" s="11" t="s">
        <v>1050</v>
      </c>
      <c r="Z190" s="11" t="s">
        <v>37</v>
      </c>
      <c r="AA190" s="12" t="s">
        <v>37</v>
      </c>
    </row>
    <row r="191" customFormat="false" ht="16.4" hidden="false" customHeight="false" outlineLevel="0" collapsed="false">
      <c r="A191" s="15" t="s">
        <v>1051</v>
      </c>
      <c r="B191" s="3" t="s">
        <v>1052</v>
      </c>
      <c r="C191" s="3" t="s">
        <v>85</v>
      </c>
      <c r="D191" s="16" t="n">
        <v>0.25</v>
      </c>
      <c r="E191" s="3" t="n">
        <f aca="false">VLOOKUP(D191,'[1]REF Tables'!$A$2:$B$40,2)</f>
        <v>50</v>
      </c>
      <c r="F191" s="3" t="s">
        <v>30</v>
      </c>
      <c r="G191" s="3" t="n">
        <v>15</v>
      </c>
      <c r="H191" s="3" t="s">
        <v>31</v>
      </c>
      <c r="I191" s="3" t="s">
        <v>42</v>
      </c>
      <c r="J191" s="3" t="n">
        <v>10</v>
      </c>
      <c r="K191" s="1" t="str">
        <f aca="false">IF(J191=1,"-5",IF(OR(J191=2,J191=3),"-4",IF(OR(J191=4,J191=5),"-3",IF(OR(J191=6,J191=7),"-2",IF(OR(J191=8,J191=9),"-1",IF(OR(J191=10,J191=11),"0",IF(OR(J191=12,J191=13),"+1",IF(OR(J191=14,J191=15),"+2",IF(OR(J191=16,J191=17),"+3",IF(OR(J191=18,J191=19),"+4",IF(OR(J191=20,J191=21),"+5",IF(OR(J191=22,J191=23),"+6",IF(OR(J191=24,J191=25),"+7",IF(OR(J191=26,J191=27),"+8",IF(OR(J191=28,J191=29),"+9",IF(J191=30,"+10"," "))))))))))))))))</f>
        <v>0</v>
      </c>
      <c r="L191" s="3" t="n">
        <v>14</v>
      </c>
      <c r="M191" s="1" t="str">
        <f aca="false">IF(L191=1,"-5",IF(OR(L191=2,L191=3),"-4",IF(OR(L191=4,L191=5),"-3",IF(OR(L191=6,L191=7),"-2",IF(OR(L191=8,L191=9),"-1",IF(OR(L191=10,L191=11),"0",IF(OR(L191=12,L191=13),"+1",IF(OR(L191=14,L191=15),"+2",IF(OR(L191=16,L191=17),"+3",IF(OR(L191=18,L191=19),"+4",IF(OR(L191=20,L191=21),"+5",IF(OR(L191=22,L191=23),"+6",IF(OR(L191=24,L191=25),"+7",IF(OR(L191=26,L191=27),"+8",IF(OR(L191=28,L191=29),"+9",IF(L191=30,"+10"," "))))))))))))))))</f>
        <v>+2</v>
      </c>
      <c r="N191" s="3" t="n">
        <v>10</v>
      </c>
      <c r="O191" s="1" t="str">
        <f aca="false">IF(N191=1,"-5",IF(OR(N191=2,N191=3),"-4",IF(OR(N191=4,N191=5),"-3",IF(OR(N191=6,N191=7),"-2",IF(OR(N191=8,N191=9),"-1",IF(OR(N191=10,N191=11),"0",IF(OR(N191=12,N191=13),"+1",IF(OR(N191=14,N191=15),"+2",IF(OR(N191=16,N191=17),"+3",IF(OR(N191=18,N191=19),"+4",IF(OR(N191=20,N191=21),"+5",IF(OR(N191=22,N191=23),"+6",IF(OR(N191=24,N191=25),"+7",IF(OR(N191=26,N191=27),"+8",IF(OR(N191=28,N191=29),"+9",IF(N191=30,"+10"," "))))))))))))))))</f>
        <v>0</v>
      </c>
      <c r="P191" s="3" t="n">
        <v>11</v>
      </c>
      <c r="Q191" s="1" t="str">
        <f aca="false">IF(P191=1,"-5",IF(OR(P191=2,P191=3),"-4",IF(OR(P191=4,P191=5),"-3",IF(OR(P191=6,P191=7),"-2",IF(OR(P191=8,P191=9),"-1",IF(OR(P191=10,P191=11),"0",IF(OR(P191=12,P191=13),"+1",IF(OR(P191=14,P191=15),"+2",IF(OR(P191=16,P191=17),"+3",IF(OR(P191=18,P191=19),"+4",IF(OR(P191=20,P191=21),"+5",IF(OR(P191=22,P191=23),"+6",IF(OR(P191=24,P191=25),"+7",IF(OR(P191=26,P191=27),"+8",IF(OR(P191=28,P191=29),"+9",IF(P191=30,"+10"," "))))))))))))))))</f>
        <v>0</v>
      </c>
      <c r="R191" s="3" t="n">
        <v>11</v>
      </c>
      <c r="S191" s="1" t="str">
        <f aca="false">IF(R191=1,"-5",IF(OR(R191=2,R191=3),"-4",IF(OR(R191=4,R191=5),"-3",IF(OR(R191=6,R191=7),"-2",IF(OR(R191=8,R191=9),"-1",IF(OR(R191=10,R191=11),"0",IF(OR(R191=12,R191=13),"+1",IF(OR(R191=14,R191=15),"+2",IF(OR(R191=16,R191=17),"+3",IF(OR(R191=18,R191=19),"+4",IF(OR(R191=20,R191=21),"+5",IF(OR(R191=22,R191=23),"+6",IF(OR(R191=24,R191=25),"+7",IF(OR(R191=26,R191=27),"+8",IF(OR(R191=28,R191=29),"+9",IF(R191=30,"+10"," "))))))))))))))))</f>
        <v>0</v>
      </c>
      <c r="T191" s="3" t="n">
        <v>12</v>
      </c>
      <c r="U191" s="1" t="str">
        <f aca="false">IF(T191=1,"-5",IF(OR(T191=2,T191=3),"-4",IF(OR(T191=4,T191=5),"-3",IF(OR(T191=6,T191=7),"-2",IF(OR(T191=8,T191=9),"-1",IF(OR(T191=10,T191=11),"0",IF(OR(T191=12,T191=13),"+1",IF(OR(T191=14,T191=15),"+2",IF(OR(T191=16,T191=17),"+3",IF(OR(T191=18,T191=19),"+4",IF(OR(T191=20,T191=21),"+5",IF(OR(T191=22,T191=23),"+6",IF(OR(T191=24,T191=25),"+7",IF(OR(T191=26,T191=27),"+8",IF(OR(T191=28,T191=29),"+9",IF(T191=30,"+10"," "))))))))))))))))</f>
        <v>+1</v>
      </c>
      <c r="V191" s="3" t="s">
        <v>694</v>
      </c>
      <c r="W191" s="3" t="s">
        <v>1048</v>
      </c>
      <c r="X191" s="11" t="s">
        <v>1053</v>
      </c>
      <c r="Y191" s="11" t="s">
        <v>1054</v>
      </c>
      <c r="Z191" s="11" t="s">
        <v>37</v>
      </c>
      <c r="AA191" s="12" t="s">
        <v>37</v>
      </c>
    </row>
    <row r="192" customFormat="false" ht="16.4" hidden="false" customHeight="false" outlineLevel="0" collapsed="false">
      <c r="A192" s="7" t="s">
        <v>1055</v>
      </c>
      <c r="B192" s="1" t="s">
        <v>1052</v>
      </c>
      <c r="C192" s="1" t="s">
        <v>85</v>
      </c>
      <c r="D192" s="8" t="n">
        <v>9</v>
      </c>
      <c r="E192" s="9" t="n">
        <f aca="false">VLOOKUP(D192,'[1]REF Tables'!$A$2:$B$40,2)</f>
        <v>5000</v>
      </c>
      <c r="F192" s="1" t="s">
        <v>30</v>
      </c>
      <c r="G192" s="10" t="n">
        <v>16</v>
      </c>
      <c r="H192" s="1" t="s">
        <v>1056</v>
      </c>
      <c r="I192" s="1" t="s">
        <v>42</v>
      </c>
      <c r="J192" s="10" t="n">
        <v>14</v>
      </c>
      <c r="K192" s="1" t="str">
        <f aca="false">IF(J192=1,"-5",IF(OR(J192=2,J192=3),"-4",IF(OR(J192=4,J192=5),"-3",IF(OR(J192=6,J192=7),"-2",IF(OR(J192=8,J192=9),"-1",IF(OR(J192=10,J192=11),"0",IF(OR(J192=12,J192=13),"+1",IF(OR(J192=14,J192=15),"+2",IF(OR(J192=16,J192=17),"+3",IF(OR(J192=18,J192=19),"+4",IF(OR(J192=20,J192=21),"+5",IF(OR(J192=22,J192=23),"+6",IF(OR(J192=24,J192=25),"+7",IF(OR(J192=26,J192=27),"+8",IF(OR(J192=28,J192=29),"+9",IF(J192=30,"+10"," "))))))))))))))))</f>
        <v>+2</v>
      </c>
      <c r="L192" s="10" t="n">
        <v>19</v>
      </c>
      <c r="M192" s="1" t="str">
        <f aca="false">IF(L192=1,"-5",IF(OR(L192=2,L192=3),"-4",IF(OR(L192=4,L192=5),"-3",IF(OR(L192=6,L192=7),"-2",IF(OR(L192=8,L192=9),"-1",IF(OR(L192=10,L192=11),"0",IF(OR(L192=12,L192=13),"+1",IF(OR(L192=14,L192=15),"+2",IF(OR(L192=16,L192=17),"+3",IF(OR(L192=18,L192=19),"+4",IF(OR(L192=20,L192=21),"+5",IF(OR(L192=22,L192=23),"+6",IF(OR(L192=24,L192=25),"+7",IF(OR(L192=26,L192=27),"+8",IF(OR(L192=28,L192=29),"+9",IF(L192=30,"+10"," "))))))))))))))))</f>
        <v>+4</v>
      </c>
      <c r="N192" s="10" t="n">
        <v>15</v>
      </c>
      <c r="O192" s="1" t="str">
        <f aca="false">IF(N192=1,"-5",IF(OR(N192=2,N192=3),"-4",IF(OR(N192=4,N192=5),"-3",IF(OR(N192=6,N192=7),"-2",IF(OR(N192=8,N192=9),"-1",IF(OR(N192=10,N192=11),"0",IF(OR(N192=12,N192=13),"+1",IF(OR(N192=14,N192=15),"+2",IF(OR(N192=16,N192=17),"+3",IF(OR(N192=18,N192=19),"+4",IF(OR(N192=20,N192=21),"+5",IF(OR(N192=22,N192=23),"+6",IF(OR(N192=24,N192=25),"+7",IF(OR(N192=26,N192=27),"+8",IF(OR(N192=28,N192=29),"+9",IF(N192=30,"+10"," "))))))))))))))))</f>
        <v>+2</v>
      </c>
      <c r="P192" s="10" t="n">
        <v>12</v>
      </c>
      <c r="Q192" s="1" t="str">
        <f aca="false">IF(P192=1,"-5",IF(OR(P192=2,P192=3),"-4",IF(OR(P192=4,P192=5),"-3",IF(OR(P192=6,P192=7),"-2",IF(OR(P192=8,P192=9),"-1",IF(OR(P192=10,P192=11),"0",IF(OR(P192=12,P192=13),"+1",IF(OR(P192=14,P192=15),"+2",IF(OR(P192=16,P192=17),"+3",IF(OR(P192=18,P192=19),"+4",IF(OR(P192=20,P192=21),"+5",IF(OR(P192=22,P192=23),"+6",IF(OR(P192=24,P192=25),"+7",IF(OR(P192=26,P192=27),"+8",IF(OR(P192=28,P192=29),"+9",IF(P192=30,"+10"," "))))))))))))))))</f>
        <v>+1</v>
      </c>
      <c r="R192" s="10" t="n">
        <v>14</v>
      </c>
      <c r="S192" s="1" t="str">
        <f aca="false">IF(R192=1,"-5",IF(OR(R192=2,R192=3),"-4",IF(OR(R192=4,R192=5),"-3",IF(OR(R192=6,R192=7),"-2",IF(OR(R192=8,R192=9),"-1",IF(OR(R192=10,R192=11),"0",IF(OR(R192=12,R192=13),"+1",IF(OR(R192=14,R192=15),"+2",IF(OR(R192=16,R192=17),"+3",IF(OR(R192=18,R192=19),"+4",IF(OR(R192=20,R192=21),"+5",IF(OR(R192=22,R192=23),"+6",IF(OR(R192=24,R192=25),"+7",IF(OR(R192=26,R192=27),"+8",IF(OR(R192=28,R192=29),"+9",IF(R192=30,"+10"," "))))))))))))))))</f>
        <v>+2</v>
      </c>
      <c r="T192" s="10" t="n">
        <v>13</v>
      </c>
      <c r="U192" s="1" t="str">
        <f aca="false">IF(T192=1,"-5",IF(OR(T192=2,T192=3),"-4",IF(OR(T192=4,T192=5),"-3",IF(OR(T192=6,T192=7),"-2",IF(OR(T192=8,T192=9),"-1",IF(OR(T192=10,T192=11),"0",IF(OR(T192=12,T192=13),"+1",IF(OR(T192=14,T192=15),"+2",IF(OR(T192=16,T192=17),"+3",IF(OR(T192=18,T192=19),"+4",IF(OR(T192=20,T192=21),"+5",IF(OR(T192=22,T192=23),"+6",IF(OR(T192=24,T192=25),"+7",IF(OR(T192=26,T192=27),"+8",IF(OR(T192=28,T192=29),"+9",IF(T192=30,"+10"," "))))))))))))))))</f>
        <v>+1</v>
      </c>
      <c r="V192" s="1" t="s">
        <v>1057</v>
      </c>
      <c r="W192" s="1" t="s">
        <v>1048</v>
      </c>
      <c r="X192" s="11" t="s">
        <v>1058</v>
      </c>
      <c r="Y192" s="11" t="s">
        <v>1059</v>
      </c>
      <c r="Z192" s="11" t="s">
        <v>1060</v>
      </c>
      <c r="AA192" s="12" t="s">
        <v>37</v>
      </c>
      <c r="AB192" s="1"/>
      <c r="AC192" s="1"/>
      <c r="AD192" s="1"/>
      <c r="AE192" s="1"/>
      <c r="AF192" s="1"/>
    </row>
    <row r="193" customFormat="false" ht="16.4" hidden="false" customHeight="false" outlineLevel="0" collapsed="false">
      <c r="A193" s="15" t="s">
        <v>1061</v>
      </c>
      <c r="B193" s="3" t="s">
        <v>1052</v>
      </c>
      <c r="C193" s="3" t="s">
        <v>85</v>
      </c>
      <c r="D193" s="16" t="n">
        <v>5</v>
      </c>
      <c r="E193" s="6" t="n">
        <f aca="false">VLOOKUP(D193,'[1]REF Tables'!$A$2:$B$40,2)</f>
        <v>1800</v>
      </c>
      <c r="F193" s="3" t="s">
        <v>30</v>
      </c>
      <c r="G193" s="3" t="n">
        <v>18</v>
      </c>
      <c r="H193" s="3" t="s">
        <v>1062</v>
      </c>
      <c r="I193" s="3" t="s">
        <v>42</v>
      </c>
      <c r="J193" s="3" t="n">
        <v>13</v>
      </c>
      <c r="K193" s="1" t="str">
        <f aca="false">IF(J193=1,"-5",IF(OR(J193=2,J193=3),"-4",IF(OR(J193=4,J193=5),"-3",IF(OR(J193=6,J193=7),"-2",IF(OR(J193=8,J193=9),"-1",IF(OR(J193=10,J193=11),"0",IF(OR(J193=12,J193=13),"+1",IF(OR(J193=14,J193=15),"+2",IF(OR(J193=16,J193=17),"+3",IF(OR(J193=18,J193=19),"+4",IF(OR(J193=20,J193=21),"+5",IF(OR(J193=22,J193=23),"+6",IF(OR(J193=24,J193=25),"+7",IF(OR(J193=26,J193=27),"+8",IF(OR(J193=28,J193=29),"+9",IF(J193=30,"+10"," "))))))))))))))))</f>
        <v>+1</v>
      </c>
      <c r="L193" s="3" t="n">
        <v>18</v>
      </c>
      <c r="M193" s="1" t="str">
        <f aca="false">IF(L193=1,"-5",IF(OR(L193=2,L193=3),"-4",IF(OR(L193=4,L193=5),"-3",IF(OR(L193=6,L193=7),"-2",IF(OR(L193=8,L193=9),"-1",IF(OR(L193=10,L193=11),"0",IF(OR(L193=12,L193=13),"+1",IF(OR(L193=14,L193=15),"+2",IF(OR(L193=16,L193=17),"+3",IF(OR(L193=18,L193=19),"+4",IF(OR(L193=20,L193=21),"+5",IF(OR(L193=22,L193=23),"+6",IF(OR(L193=24,L193=25),"+7",IF(OR(L193=26,L193=27),"+8",IF(OR(L193=28,L193=29),"+9",IF(L193=30,"+10"," "))))))))))))))))</f>
        <v>+4</v>
      </c>
      <c r="N193" s="3" t="n">
        <v>14</v>
      </c>
      <c r="O193" s="1" t="str">
        <f aca="false">IF(N193=1,"-5",IF(OR(N193=2,N193=3),"-4",IF(OR(N193=4,N193=5),"-3",IF(OR(N193=6,N193=7),"-2",IF(OR(N193=8,N193=9),"-1",IF(OR(N193=10,N193=11),"0",IF(OR(N193=12,N193=13),"+1",IF(OR(N193=14,N193=15),"+2",IF(OR(N193=16,N193=17),"+3",IF(OR(N193=18,N193=19),"+4",IF(OR(N193=20,N193=21),"+5",IF(OR(N193=22,N193=23),"+6",IF(OR(N193=24,N193=25),"+7",IF(OR(N193=26,N193=27),"+8",IF(OR(N193=28,N193=29),"+9",IF(N193=30,"+10"," "))))))))))))))))</f>
        <v>+2</v>
      </c>
      <c r="P193" s="3" t="n">
        <v>11</v>
      </c>
      <c r="Q193" s="1" t="str">
        <f aca="false">IF(P193=1,"-5",IF(OR(P193=2,P193=3),"-4",IF(OR(P193=4,P193=5),"-3",IF(OR(P193=6,P193=7),"-2",IF(OR(P193=8,P193=9),"-1",IF(OR(P193=10,P193=11),"0",IF(OR(P193=12,P193=13),"+1",IF(OR(P193=14,P193=15),"+2",IF(OR(P193=16,P193=17),"+3",IF(OR(P193=18,P193=19),"+4",IF(OR(P193=20,P193=21),"+5",IF(OR(P193=22,P193=23),"+6",IF(OR(P193=24,P193=25),"+7",IF(OR(P193=26,P193=27),"+8",IF(OR(P193=28,P193=29),"+9",IF(P193=30,"+10"," "))))))))))))))))</f>
        <v>0</v>
      </c>
      <c r="R193" s="3" t="n">
        <v>13</v>
      </c>
      <c r="S193" s="1" t="str">
        <f aca="false">IF(R193=1,"-5",IF(OR(R193=2,R193=3),"-4",IF(OR(R193=4,R193=5),"-3",IF(OR(R193=6,R193=7),"-2",IF(OR(R193=8,R193=9),"-1",IF(OR(R193=10,R193=11),"0",IF(OR(R193=12,R193=13),"+1",IF(OR(R193=14,R193=15),"+2",IF(OR(R193=16,R193=17),"+3",IF(OR(R193=18,R193=19),"+4",IF(OR(R193=20,R193=21),"+5",IF(OR(R193=22,R193=23),"+6",IF(OR(R193=24,R193=25),"+7",IF(OR(R193=26,R193=27),"+8",IF(OR(R193=28,R193=29),"+9",IF(R193=30,"+10"," "))))))))))))))))</f>
        <v>+1</v>
      </c>
      <c r="T193" s="3" t="n">
        <v>12</v>
      </c>
      <c r="U193" s="1" t="str">
        <f aca="false">IF(T193=1,"-5",IF(OR(T193=2,T193=3),"-4",IF(OR(T193=4,T193=5),"-3",IF(OR(T193=6,T193=7),"-2",IF(OR(T193=8,T193=9),"-1",IF(OR(T193=10,T193=11),"0",IF(OR(T193=12,T193=13),"+1",IF(OR(T193=14,T193=15),"+2",IF(OR(T193=16,T193=17),"+3",IF(OR(T193=18,T193=19),"+4",IF(OR(T193=20,T193=21),"+5",IF(OR(T193=22,T193=23),"+6",IF(OR(T193=24,T193=25),"+7",IF(OR(T193=26,T193=27),"+8",IF(OR(T193=28,T193=29),"+9",IF(T193=30,"+10"," "))))))))))))))))</f>
        <v>+1</v>
      </c>
      <c r="V193" s="3" t="s">
        <v>1063</v>
      </c>
      <c r="W193" s="3" t="s">
        <v>1048</v>
      </c>
      <c r="X193" s="11" t="s">
        <v>1064</v>
      </c>
      <c r="Y193" s="11" t="s">
        <v>1065</v>
      </c>
      <c r="Z193" s="11" t="s">
        <v>1066</v>
      </c>
      <c r="AA193" s="12" t="s">
        <v>37</v>
      </c>
    </row>
    <row r="194" customFormat="false" ht="16.4" hidden="false" customHeight="false" outlineLevel="0" collapsed="false">
      <c r="A194" s="7" t="s">
        <v>1067</v>
      </c>
      <c r="B194" s="1" t="s">
        <v>1052</v>
      </c>
      <c r="C194" s="1" t="s">
        <v>85</v>
      </c>
      <c r="D194" s="8" t="n">
        <v>14</v>
      </c>
      <c r="E194" s="9" t="n">
        <f aca="false">VLOOKUP(D194,'[1]REF Tables'!$A$2:$B$40,2)</f>
        <v>11500</v>
      </c>
      <c r="F194" s="1" t="s">
        <v>30</v>
      </c>
      <c r="G194" s="10" t="n">
        <v>16</v>
      </c>
      <c r="H194" s="1" t="s">
        <v>422</v>
      </c>
      <c r="I194" s="1" t="s">
        <v>42</v>
      </c>
      <c r="J194" s="10" t="n">
        <v>11</v>
      </c>
      <c r="K194" s="1" t="str">
        <f aca="false">IF(J194=1,"-5",IF(OR(J194=2,J194=3),"-4",IF(OR(J194=4,J194=5),"-3",IF(OR(J194=6,J194=7),"-2",IF(OR(J194=8,J194=9),"-1",IF(OR(J194=10,J194=11),"0",IF(OR(J194=12,J194=13),"+1",IF(OR(J194=14,J194=15),"+2",IF(OR(J194=16,J194=17),"+3",IF(OR(J194=18,J194=19),"+4",IF(OR(J194=20,J194=21),"+5",IF(OR(J194=22,J194=23),"+6",IF(OR(J194=24,J194=25),"+7",IF(OR(J194=26,J194=27),"+8",IF(OR(J194=28,J194=29),"+9",IF(J194=30,"+10"," "))))))))))))))))</f>
        <v>0</v>
      </c>
      <c r="L194" s="10" t="n">
        <v>15</v>
      </c>
      <c r="M194" s="1" t="str">
        <f aca="false">IF(L194=1,"-5",IF(OR(L194=2,L194=3),"-4",IF(OR(L194=4,L194=5),"-3",IF(OR(L194=6,L194=7),"-2",IF(OR(L194=8,L194=9),"-1",IF(OR(L194=10,L194=11),"0",IF(OR(L194=12,L194=13),"+1",IF(OR(L194=14,L194=15),"+2",IF(OR(L194=16,L194=17),"+3",IF(OR(L194=18,L194=19),"+4",IF(OR(L194=20,L194=21),"+5",IF(OR(L194=22,L194=23),"+6",IF(OR(L194=24,L194=25),"+7",IF(OR(L194=26,L194=27),"+8",IF(OR(L194=28,L194=29),"+9",IF(L194=30,"+10"," "))))))))))))))))</f>
        <v>+2</v>
      </c>
      <c r="N194" s="10" t="n">
        <v>14</v>
      </c>
      <c r="O194" s="1" t="str">
        <f aca="false">IF(N194=1,"-5",IF(OR(N194=2,N194=3),"-4",IF(OR(N194=4,N194=5),"-3",IF(OR(N194=6,N194=7),"-2",IF(OR(N194=8,N194=9),"-1",IF(OR(N194=10,N194=11),"0",IF(OR(N194=12,N194=13),"+1",IF(OR(N194=14,N194=15),"+2",IF(OR(N194=16,N194=17),"+3",IF(OR(N194=18,N194=19),"+4",IF(OR(N194=20,N194=21),"+5",IF(OR(N194=22,N194=23),"+6",IF(OR(N194=24,N194=25),"+7",IF(OR(N194=26,N194=27),"+8",IF(OR(N194=28,N194=29),"+9",IF(N194=30,"+10"," "))))))))))))))))</f>
        <v>+2</v>
      </c>
      <c r="P194" s="10" t="n">
        <v>16</v>
      </c>
      <c r="Q194" s="1" t="str">
        <f aca="false">IF(P194=1,"-5",IF(OR(P194=2,P194=3),"-4",IF(OR(P194=4,P194=5),"-3",IF(OR(P194=6,P194=7),"-2",IF(OR(P194=8,P194=9),"-1",IF(OR(P194=10,P194=11),"0",IF(OR(P194=12,P194=13),"+1",IF(OR(P194=14,P194=15),"+2",IF(OR(P194=16,P194=17),"+3",IF(OR(P194=18,P194=19),"+4",IF(OR(P194=20,P194=21),"+5",IF(OR(P194=22,P194=23),"+6",IF(OR(P194=24,P194=25),"+7",IF(OR(P194=26,P194=27),"+8",IF(OR(P194=28,P194=29),"+9",IF(P194=30,"+10"," "))))))))))))))))</f>
        <v>+3</v>
      </c>
      <c r="R194" s="10" t="n">
        <v>21</v>
      </c>
      <c r="S194" s="1" t="str">
        <f aca="false">IF(R194=1,"-5",IF(OR(R194=2,R194=3),"-4",IF(OR(R194=4,R194=5),"-3",IF(OR(R194=6,R194=7),"-2",IF(OR(R194=8,R194=9),"-1",IF(OR(R194=10,R194=11),"0",IF(OR(R194=12,R194=13),"+1",IF(OR(R194=14,R194=15),"+2",IF(OR(R194=16,R194=17),"+3",IF(OR(R194=18,R194=19),"+4",IF(OR(R194=20,R194=21),"+5",IF(OR(R194=22,R194=23),"+6",IF(OR(R194=24,R194=25),"+7",IF(OR(R194=26,R194=27),"+8",IF(OR(R194=28,R194=29),"+9",IF(R194=30,"+10"," "))))))))))))))))</f>
        <v>+5</v>
      </c>
      <c r="T194" s="10" t="n">
        <v>20</v>
      </c>
      <c r="U194" s="1" t="str">
        <f aca="false">IF(T194=1,"-5",IF(OR(T194=2,T194=3),"-4",IF(OR(T194=4,T194=5),"-3",IF(OR(T194=6,T194=7),"-2",IF(OR(T194=8,T194=9),"-1",IF(OR(T194=10,T194=11),"0",IF(OR(T194=12,T194=13),"+1",IF(OR(T194=14,T194=15),"+2",IF(OR(T194=16,T194=17),"+3",IF(OR(T194=18,T194=19),"+4",IF(OR(T194=20,T194=21),"+5",IF(OR(T194=22,T194=23),"+6",IF(OR(T194=24,T194=25),"+7",IF(OR(T194=26,T194=27),"+8",IF(OR(T194=28,T194=29),"+9",IF(T194=30,"+10"," "))))))))))))))))</f>
        <v>+5</v>
      </c>
      <c r="V194" s="1" t="s">
        <v>1068</v>
      </c>
      <c r="W194" s="1" t="s">
        <v>1048</v>
      </c>
      <c r="X194" s="11" t="s">
        <v>1069</v>
      </c>
      <c r="Y194" s="11" t="s">
        <v>1070</v>
      </c>
      <c r="Z194" s="11"/>
      <c r="AA194" s="12"/>
      <c r="AB194" s="1"/>
      <c r="AC194" s="1"/>
      <c r="AD194" s="1"/>
      <c r="AE194" s="1"/>
      <c r="AF194" s="1"/>
    </row>
    <row r="195" customFormat="false" ht="16.4" hidden="false" customHeight="false" outlineLevel="0" collapsed="false">
      <c r="A195" s="15" t="s">
        <v>1071</v>
      </c>
      <c r="B195" s="3" t="s">
        <v>1052</v>
      </c>
      <c r="C195" s="3" t="s">
        <v>85</v>
      </c>
      <c r="D195" s="16" t="n">
        <v>7</v>
      </c>
      <c r="E195" s="6" t="n">
        <f aca="false">VLOOKUP(D195,'[1]REF Tables'!$A$2:$B$40,2)</f>
        <v>2900</v>
      </c>
      <c r="F195" s="3" t="s">
        <v>30</v>
      </c>
      <c r="G195" s="3" t="n">
        <v>12</v>
      </c>
      <c r="H195" s="3" t="s">
        <v>1072</v>
      </c>
      <c r="I195" s="3" t="s">
        <v>42</v>
      </c>
      <c r="J195" s="3" t="n">
        <v>9</v>
      </c>
      <c r="K195" s="1" t="str">
        <f aca="false">IF(J195=1,"-5",IF(OR(J195=2,J195=3),"-4",IF(OR(J195=4,J195=5),"-3",IF(OR(J195=6,J195=7),"-2",IF(OR(J195=8,J195=9),"-1",IF(OR(J195=10,J195=11),"0",IF(OR(J195=12,J195=13),"+1",IF(OR(J195=14,J195=15),"+2",IF(OR(J195=16,J195=17),"+3",IF(OR(J195=18,J195=19),"+4",IF(OR(J195=20,J195=21),"+5",IF(OR(J195=22,J195=23),"+6",IF(OR(J195=24,J195=25),"+7",IF(OR(J195=26,J195=27),"+8",IF(OR(J195=28,J195=29),"+9",IF(J195=30,"+10"," "))))))))))))))))</f>
        <v>-1</v>
      </c>
      <c r="L195" s="3" t="n">
        <v>14</v>
      </c>
      <c r="M195" s="1" t="str">
        <f aca="false">IF(L195=1,"-5",IF(OR(L195=2,L195=3),"-4",IF(OR(L195=4,L195=5),"-3",IF(OR(L195=6,L195=7),"-2",IF(OR(L195=8,L195=9),"-1",IF(OR(L195=10,L195=11),"0",IF(OR(L195=12,L195=13),"+1",IF(OR(L195=14,L195=15),"+2",IF(OR(L195=16,L195=17),"+3",IF(OR(L195=18,L195=19),"+4",IF(OR(L195=20,L195=21),"+5",IF(OR(L195=22,L195=23),"+6",IF(OR(L195=24,L195=25),"+7",IF(OR(L195=26,L195=27),"+8",IF(OR(L195=28,L195=29),"+9",IF(L195=30,"+10"," "))))))))))))))))</f>
        <v>+2</v>
      </c>
      <c r="N195" s="3" t="n">
        <v>10</v>
      </c>
      <c r="O195" s="1" t="str">
        <f aca="false">IF(N195=1,"-5",IF(OR(N195=2,N195=3),"-4",IF(OR(N195=4,N195=5),"-3",IF(OR(N195=6,N195=7),"-2",IF(OR(N195=8,N195=9),"-1",IF(OR(N195=10,N195=11),"0",IF(OR(N195=12,N195=13),"+1",IF(OR(N195=14,N195=15),"+2",IF(OR(N195=16,N195=17),"+3",IF(OR(N195=18,N195=19),"+4",IF(OR(N195=20,N195=21),"+5",IF(OR(N195=22,N195=23),"+6",IF(OR(N195=24,N195=25),"+7",IF(OR(N195=26,N195=27),"+8",IF(OR(N195=28,N195=29),"+9",IF(N195=30,"+10"," "))))))))))))))))</f>
        <v>0</v>
      </c>
      <c r="P195" s="3" t="n">
        <v>17</v>
      </c>
      <c r="Q195" s="1" t="str">
        <f aca="false">IF(P195=1,"-5",IF(OR(P195=2,P195=3),"-4",IF(OR(P195=4,P195=5),"-3",IF(OR(P195=6,P195=7),"-2",IF(OR(P195=8,P195=9),"-1",IF(OR(P195=10,P195=11),"0",IF(OR(P195=12,P195=13),"+1",IF(OR(P195=14,P195=15),"+2",IF(OR(P195=16,P195=17),"+3",IF(OR(P195=18,P195=19),"+4",IF(OR(P195=20,P195=21),"+5",IF(OR(P195=22,P195=23),"+6",IF(OR(P195=24,P195=25),"+7",IF(OR(P195=26,P195=27),"+8",IF(OR(P195=28,P195=29),"+9",IF(P195=30,"+10"," "))))))))))))))))</f>
        <v>+3</v>
      </c>
      <c r="R195" s="3" t="n">
        <v>13</v>
      </c>
      <c r="S195" s="1" t="str">
        <f aca="false">IF(R195=1,"-5",IF(OR(R195=2,R195=3),"-4",IF(OR(R195=4,R195=5),"-3",IF(OR(R195=6,R195=7),"-2",IF(OR(R195=8,R195=9),"-1",IF(OR(R195=10,R195=11),"0",IF(OR(R195=12,R195=13),"+1",IF(OR(R195=14,R195=15),"+2",IF(OR(R195=16,R195=17),"+3",IF(OR(R195=18,R195=19),"+4",IF(OR(R195=20,R195=21),"+5",IF(OR(R195=22,R195=23),"+6",IF(OR(R195=24,R195=25),"+7",IF(OR(R195=26,R195=27),"+8",IF(OR(R195=28,R195=29),"+9",IF(R195=30,"+10"," "))))))))))))))))</f>
        <v>+1</v>
      </c>
      <c r="T195" s="3" t="n">
        <v>12</v>
      </c>
      <c r="U195" s="1" t="str">
        <f aca="false">IF(T195=1,"-5",IF(OR(T195=2,T195=3),"-4",IF(OR(T195=4,T195=5),"-3",IF(OR(T195=6,T195=7),"-2",IF(OR(T195=8,T195=9),"-1",IF(OR(T195=10,T195=11),"0",IF(OR(T195=12,T195=13),"+1",IF(OR(T195=14,T195=15),"+2",IF(OR(T195=16,T195=17),"+3",IF(OR(T195=18,T195=19),"+4",IF(OR(T195=20,T195=21),"+5",IF(OR(T195=22,T195=23),"+6",IF(OR(T195=24,T195=25),"+7",IF(OR(T195=26,T195=27),"+8",IF(OR(T195=28,T195=29),"+9",IF(T195=30,"+10"," "))))))))))))))))</f>
        <v>+1</v>
      </c>
      <c r="V195" s="3" t="s">
        <v>1073</v>
      </c>
      <c r="W195" s="3" t="s">
        <v>1048</v>
      </c>
      <c r="X195" s="11" t="s">
        <v>1074</v>
      </c>
      <c r="Y195" s="11" t="s">
        <v>1075</v>
      </c>
      <c r="Z195" s="11" t="s">
        <v>37</v>
      </c>
      <c r="AA195" s="12" t="s">
        <v>37</v>
      </c>
    </row>
    <row r="196" customFormat="false" ht="16.4" hidden="false" customHeight="false" outlineLevel="0" collapsed="false">
      <c r="A196" s="15" t="s">
        <v>1076</v>
      </c>
      <c r="B196" s="3" t="s">
        <v>1052</v>
      </c>
      <c r="C196" s="3" t="s">
        <v>85</v>
      </c>
      <c r="D196" s="16" t="n">
        <v>8</v>
      </c>
      <c r="E196" s="6" t="n">
        <f aca="false">VLOOKUP(D196,'[1]REF Tables'!$A$2:$B$40,2)</f>
        <v>3900</v>
      </c>
      <c r="F196" s="3" t="s">
        <v>30</v>
      </c>
      <c r="G196" s="3" t="n">
        <v>16</v>
      </c>
      <c r="H196" s="3" t="s">
        <v>1077</v>
      </c>
      <c r="I196" s="3" t="s">
        <v>42</v>
      </c>
      <c r="J196" s="3" t="n">
        <v>10</v>
      </c>
      <c r="K196" s="1" t="str">
        <f aca="false">IF(J196=1,"-5",IF(OR(J196=2,J196=3),"-4",IF(OR(J196=4,J196=5),"-3",IF(OR(J196=6,J196=7),"-2",IF(OR(J196=8,J196=9),"-1",IF(OR(J196=10,J196=11),"0",IF(OR(J196=12,J196=13),"+1",IF(OR(J196=14,J196=15),"+2",IF(OR(J196=16,J196=17),"+3",IF(OR(J196=18,J196=19),"+4",IF(OR(J196=20,J196=21),"+5",IF(OR(J196=22,J196=23),"+6",IF(OR(J196=24,J196=25),"+7",IF(OR(J196=26,J196=27),"+8",IF(OR(J196=28,J196=29),"+9",IF(J196=30,"+10"," "))))))))))))))))</f>
        <v>0</v>
      </c>
      <c r="L196" s="3" t="n">
        <v>14</v>
      </c>
      <c r="M196" s="1" t="str">
        <f aca="false">IF(L196=1,"-5",IF(OR(L196=2,L196=3),"-4",IF(OR(L196=4,L196=5),"-3",IF(OR(L196=6,L196=7),"-2",IF(OR(L196=8,L196=9),"-1",IF(OR(L196=10,L196=11),"0",IF(OR(L196=12,L196=13),"+1",IF(OR(L196=14,L196=15),"+2",IF(OR(L196=16,L196=17),"+3",IF(OR(L196=18,L196=19),"+4",IF(OR(L196=20,L196=21),"+5",IF(OR(L196=22,L196=23),"+6",IF(OR(L196=24,L196=25),"+7",IF(OR(L196=26,L196=27),"+8",IF(OR(L196=28,L196=29),"+9",IF(L196=30,"+10"," "))))))))))))))))</f>
        <v>+2</v>
      </c>
      <c r="N196" s="3" t="n">
        <v>12</v>
      </c>
      <c r="O196" s="1" t="str">
        <f aca="false">IF(N196=1,"-5",IF(OR(N196=2,N196=3),"-4",IF(OR(N196=4,N196=5),"-3",IF(OR(N196=6,N196=7),"-2",IF(OR(N196=8,N196=9),"-1",IF(OR(N196=10,N196=11),"0",IF(OR(N196=12,N196=13),"+1",IF(OR(N196=14,N196=15),"+2",IF(OR(N196=16,N196=17),"+3",IF(OR(N196=18,N196=19),"+4",IF(OR(N196=20,N196=21),"+5",IF(OR(N196=22,N196=23),"+6",IF(OR(N196=24,N196=25),"+7",IF(OR(N196=26,N196=27),"+8",IF(OR(N196=28,N196=29),"+9",IF(N196=30,"+10"," "))))))))))))))))</f>
        <v>+1</v>
      </c>
      <c r="P196" s="3" t="n">
        <v>13</v>
      </c>
      <c r="Q196" s="1" t="str">
        <f aca="false">IF(P196=1,"-5",IF(OR(P196=2,P196=3),"-4",IF(OR(P196=4,P196=5),"-3",IF(OR(P196=6,P196=7),"-2",IF(OR(P196=8,P196=9),"-1",IF(OR(P196=10,P196=11),"0",IF(OR(P196=12,P196=13),"+1",IF(OR(P196=14,P196=15),"+2",IF(OR(P196=16,P196=17),"+3",IF(OR(P196=18,P196=19),"+4",IF(OR(P196=20,P196=21),"+5",IF(OR(P196=22,P196=23),"+6",IF(OR(P196=24,P196=25),"+7",IF(OR(P196=26,P196=27),"+8",IF(OR(P196=28,P196=29),"+9",IF(P196=30,"+10"," "))))))))))))))))</f>
        <v>+1</v>
      </c>
      <c r="R196" s="3" t="n">
        <v>17</v>
      </c>
      <c r="S196" s="1" t="str">
        <f aca="false">IF(R196=1,"-5",IF(OR(R196=2,R196=3),"-4",IF(OR(R196=4,R196=5),"-3",IF(OR(R196=6,R196=7),"-2",IF(OR(R196=8,R196=9),"-1",IF(OR(R196=10,R196=11),"0",IF(OR(R196=12,R196=13),"+1",IF(OR(R196=14,R196=15),"+2",IF(OR(R196=16,R196=17),"+3",IF(OR(R196=18,R196=19),"+4",IF(OR(R196=20,R196=21),"+5",IF(OR(R196=22,R196=23),"+6",IF(OR(R196=24,R196=25),"+7",IF(OR(R196=26,R196=27),"+8",IF(OR(R196=28,R196=29),"+9",IF(R196=30,"+10"," "))))))))))))))))</f>
        <v>+3</v>
      </c>
      <c r="T196" s="3" t="n">
        <v>18</v>
      </c>
      <c r="U196" s="1" t="str">
        <f aca="false">IF(T196=1,"-5",IF(OR(T196=2,T196=3),"-4",IF(OR(T196=4,T196=5),"-3",IF(OR(T196=6,T196=7),"-2",IF(OR(T196=8,T196=9),"-1",IF(OR(T196=10,T196=11),"0",IF(OR(T196=12,T196=13),"+1",IF(OR(T196=14,T196=15),"+2",IF(OR(T196=16,T196=17),"+3",IF(OR(T196=18,T196=19),"+4",IF(OR(T196=20,T196=21),"+5",IF(OR(T196=22,T196=23),"+6",IF(OR(T196=24,T196=25),"+7",IF(OR(T196=26,T196=27),"+8",IF(OR(T196=28,T196=29),"+9",IF(T196=30,"+10"," "))))))))))))))))</f>
        <v>+4</v>
      </c>
      <c r="V196" s="3" t="s">
        <v>1078</v>
      </c>
      <c r="W196" s="3" t="s">
        <v>1048</v>
      </c>
      <c r="X196" s="11" t="s">
        <v>1079</v>
      </c>
      <c r="Y196" s="11" t="s">
        <v>1080</v>
      </c>
      <c r="Z196" s="11" t="s">
        <v>37</v>
      </c>
      <c r="AA196" s="12" t="s">
        <v>37</v>
      </c>
    </row>
    <row r="197" customFormat="false" ht="16.4" hidden="false" customHeight="false" outlineLevel="0" collapsed="false">
      <c r="A197" s="15" t="s">
        <v>1081</v>
      </c>
      <c r="B197" s="3" t="s">
        <v>39</v>
      </c>
      <c r="C197" s="3" t="s">
        <v>40</v>
      </c>
      <c r="D197" s="16" t="n">
        <v>2</v>
      </c>
      <c r="E197" s="3" t="n">
        <f aca="false">VLOOKUP(D197,'[1]REF Tables'!$A$2:$B$40,2)</f>
        <v>450</v>
      </c>
      <c r="F197" s="3" t="s">
        <v>30</v>
      </c>
      <c r="G197" s="3" t="n">
        <v>11</v>
      </c>
      <c r="H197" s="3" t="s">
        <v>1082</v>
      </c>
      <c r="I197" s="3" t="s">
        <v>42</v>
      </c>
      <c r="J197" s="3" t="n">
        <v>10</v>
      </c>
      <c r="K197" s="1" t="str">
        <f aca="false">IF(J197=1,"-5",IF(OR(J197=2,J197=3),"-4",IF(OR(J197=4,J197=5),"-3",IF(OR(J197=6,J197=7),"-2",IF(OR(J197=8,J197=9),"-1",IF(OR(J197=10,J197=11),"0",IF(OR(J197=12,J197=13),"+1",IF(OR(J197=14,J197=15),"+2",IF(OR(J197=16,J197=17),"+3",IF(OR(J197=18,J197=19),"+4",IF(OR(J197=20,J197=21),"+5",IF(OR(J197=22,J197=23),"+6",IF(OR(J197=24,J197=25),"+7",IF(OR(J197=26,J197=27),"+8",IF(OR(J197=28,J197=29),"+9",IF(J197=30,"+10"," "))))))))))))))))</f>
        <v>0</v>
      </c>
      <c r="L197" s="3" t="n">
        <v>12</v>
      </c>
      <c r="M197" s="1" t="str">
        <f aca="false">IF(L197=1,"-5",IF(OR(L197=2,L197=3),"-4",IF(OR(L197=4,L197=5),"-3",IF(OR(L197=6,L197=7),"-2",IF(OR(L197=8,L197=9),"-1",IF(OR(L197=10,L197=11),"0",IF(OR(L197=12,L197=13),"+1",IF(OR(L197=14,L197=15),"+2",IF(OR(L197=16,L197=17),"+3",IF(OR(L197=18,L197=19),"+4",IF(OR(L197=20,L197=21),"+5",IF(OR(L197=22,L197=23),"+6",IF(OR(L197=24,L197=25),"+7",IF(OR(L197=26,L197=27),"+8",IF(OR(L197=28,L197=29),"+9",IF(L197=30,"+10"," "))))))))))))))))</f>
        <v>+1</v>
      </c>
      <c r="N197" s="3" t="n">
        <v>13</v>
      </c>
      <c r="O197" s="1" t="str">
        <f aca="false">IF(N197=1,"-5",IF(OR(N197=2,N197=3),"-4",IF(OR(N197=4,N197=5),"-3",IF(OR(N197=6,N197=7),"-2",IF(OR(N197=8,N197=9),"-1",IF(OR(N197=10,N197=11),"0",IF(OR(N197=12,N197=13),"+1",IF(OR(N197=14,N197=15),"+2",IF(OR(N197=16,N197=17),"+3",IF(OR(N197=18,N197=19),"+4",IF(OR(N197=20,N197=21),"+5",IF(OR(N197=22,N197=23),"+6",IF(OR(N197=24,N197=25),"+7",IF(OR(N197=26,N197=27),"+8",IF(OR(N197=28,N197=29),"+9",IF(N197=30,"+10"," "))))))))))))))))</f>
        <v>+1</v>
      </c>
      <c r="P197" s="3" t="n">
        <v>12</v>
      </c>
      <c r="Q197" s="1" t="str">
        <f aca="false">IF(P197=1,"-5",IF(OR(P197=2,P197=3),"-4",IF(OR(P197=4,P197=5),"-3",IF(OR(P197=6,P197=7),"-2",IF(OR(P197=8,P197=9),"-1",IF(OR(P197=10,P197=11),"0",IF(OR(P197=12,P197=13),"+1",IF(OR(P197=14,P197=15),"+2",IF(OR(P197=16,P197=17),"+3",IF(OR(P197=18,P197=19),"+4",IF(OR(P197=20,P197=21),"+5",IF(OR(P197=22,P197=23),"+6",IF(OR(P197=24,P197=25),"+7",IF(OR(P197=26,P197=27),"+8",IF(OR(P197=28,P197=29),"+9",IF(P197=30,"+10"," "))))))))))))))))</f>
        <v>+1</v>
      </c>
      <c r="R197" s="3" t="n">
        <v>15</v>
      </c>
      <c r="S197" s="1" t="str">
        <f aca="false">IF(R197=1,"-5",IF(OR(R197=2,R197=3),"-4",IF(OR(R197=4,R197=5),"-3",IF(OR(R197=6,R197=7),"-2",IF(OR(R197=8,R197=9),"-1",IF(OR(R197=10,R197=11),"0",IF(OR(R197=12,R197=13),"+1",IF(OR(R197=14,R197=15),"+2",IF(OR(R197=16,R197=17),"+3",IF(OR(R197=18,R197=19),"+4",IF(OR(R197=20,R197=21),"+5",IF(OR(R197=22,R197=23),"+6",IF(OR(R197=24,R197=25),"+7",IF(OR(R197=26,R197=27),"+8",IF(OR(R197=28,R197=29),"+9",IF(R197=30,"+10"," "))))))))))))))))</f>
        <v>+2</v>
      </c>
      <c r="T197" s="3" t="n">
        <v>11</v>
      </c>
      <c r="U197" s="1" t="str">
        <f aca="false">IF(T197=1,"-5",IF(OR(T197=2,T197=3),"-4",IF(OR(T197=4,T197=5),"-3",IF(OR(T197=6,T197=7),"-2",IF(OR(T197=8,T197=9),"-1",IF(OR(T197=10,T197=11),"0",IF(OR(T197=12,T197=13),"+1",IF(OR(T197=14,T197=15),"+2",IF(OR(T197=16,T197=17),"+3",IF(OR(T197=18,T197=19),"+4",IF(OR(T197=20,T197=21),"+5",IF(OR(T197=22,T197=23),"+6",IF(OR(T197=24,T197=25),"+7",IF(OR(T197=26,T197=27),"+8",IF(OR(T197=28,T197=29),"+9",IF(T197=30,"+10"," "))))))))))))))))</f>
        <v>0</v>
      </c>
      <c r="V197" s="3" t="s">
        <v>1083</v>
      </c>
      <c r="W197" s="3" t="s">
        <v>187</v>
      </c>
      <c r="X197" s="11" t="s">
        <v>1084</v>
      </c>
      <c r="Y197" s="11" t="s">
        <v>1085</v>
      </c>
      <c r="Z197" s="11" t="s">
        <v>37</v>
      </c>
      <c r="AA197" s="12" t="s">
        <v>37</v>
      </c>
    </row>
    <row r="198" customFormat="false" ht="16.4" hidden="false" customHeight="false" outlineLevel="0" collapsed="false">
      <c r="A198" s="14" t="s">
        <v>1086</v>
      </c>
      <c r="B198" s="1" t="s">
        <v>356</v>
      </c>
      <c r="C198" s="1" t="s">
        <v>230</v>
      </c>
      <c r="D198" s="5" t="n">
        <v>1</v>
      </c>
      <c r="E198" s="3" t="n">
        <f aca="false">VLOOKUP(D198,'[1]REF Tables'!$A$2:$B$40,2)</f>
        <v>200</v>
      </c>
      <c r="F198" s="1" t="s">
        <v>30</v>
      </c>
      <c r="G198" s="1" t="n">
        <v>11</v>
      </c>
      <c r="H198" s="1" t="s">
        <v>1087</v>
      </c>
      <c r="I198" s="3" t="s">
        <v>42</v>
      </c>
      <c r="J198" s="1" t="n">
        <v>10</v>
      </c>
      <c r="K198" s="1" t="str">
        <f aca="false">IF(J198=1,"-5",IF(OR(J198=2,J198=3),"-4",IF(OR(J198=4,J198=5),"-3",IF(OR(J198=6,J198=7),"-2",IF(OR(J198=8,J198=9),"-1",IF(OR(J198=10,J198=11),"0",IF(OR(J198=12,J198=13),"+1",IF(OR(J198=14,J198=15),"+2",IF(OR(J198=16,J198=17),"+3",IF(OR(J198=18,J198=19),"+4",IF(OR(J198=20,J198=21),"+5",IF(OR(J198=22,J198=23),"+6",IF(OR(J198=24,J198=25),"+7",IF(OR(J198=26,J198=27),"+8",IF(OR(J198=28,J198=29),"+9",IF(J198=30,"+10"," "))))))))))))))))</f>
        <v>0</v>
      </c>
      <c r="L198" s="1" t="n">
        <v>12</v>
      </c>
      <c r="M198" s="1" t="str">
        <f aca="false">IF(L198=1,"-5",IF(OR(L198=2,L198=3),"-4",IF(OR(L198=4,L198=5),"-3",IF(OR(L198=6,L198=7),"-2",IF(OR(L198=8,L198=9),"-1",IF(OR(L198=10,L198=11),"0",IF(OR(L198=12,L198=13),"+1",IF(OR(L198=14,L198=15),"+2",IF(OR(L198=16,L198=17),"+3",IF(OR(L198=18,L198=19),"+4",IF(OR(L198=20,L198=21),"+5",IF(OR(L198=22,L198=23),"+6",IF(OR(L198=24,L198=25),"+7",IF(OR(L198=26,L198=27),"+8",IF(OR(L198=28,L198=29),"+9",IF(L198=30,"+10"," "))))))))))))))))</f>
        <v>+1</v>
      </c>
      <c r="N198" s="1" t="n">
        <v>11</v>
      </c>
      <c r="O198" s="1" t="str">
        <f aca="false">IF(N198=1,"-5",IF(OR(N198=2,N198=3),"-4",IF(OR(N198=4,N198=5),"-3",IF(OR(N198=6,N198=7),"-2",IF(OR(N198=8,N198=9),"-1",IF(OR(N198=10,N198=11),"0",IF(OR(N198=12,N198=13),"+1",IF(OR(N198=14,N198=15),"+2",IF(OR(N198=16,N198=17),"+3",IF(OR(N198=18,N198=19),"+4",IF(OR(N198=20,N198=21),"+5",IF(OR(N198=22,N198=23),"+6",IF(OR(N198=24,N198=25),"+7",IF(OR(N198=26,N198=27),"+8",IF(OR(N198=28,N198=29),"+9",IF(N198=30,"+10"," "))))))))))))))))</f>
        <v>0</v>
      </c>
      <c r="P198" s="1" t="n">
        <v>14</v>
      </c>
      <c r="Q198" s="1" t="str">
        <f aca="false">IF(P198=1,"-5",IF(OR(P198=2,P198=3),"-4",IF(OR(P198=4,P198=5),"-3",IF(OR(P198=6,P198=7),"-2",IF(OR(P198=8,P198=9),"-1",IF(OR(P198=10,P198=11),"0",IF(OR(P198=12,P198=13),"+1",IF(OR(P198=14,P198=15),"+2",IF(OR(P198=16,P198=17),"+3",IF(OR(P198=18,P198=19),"+4",IF(OR(P198=20,P198=21),"+5",IF(OR(P198=22,P198=23),"+6",IF(OR(P198=24,P198=25),"+7",IF(OR(P198=26,P198=27),"+8",IF(OR(P198=28,P198=29),"+9",IF(P198=30,"+10"," "))))))))))))))))</f>
        <v>+2</v>
      </c>
      <c r="R198" s="1" t="n">
        <v>15</v>
      </c>
      <c r="S198" s="1" t="str">
        <f aca="false">IF(R198=1,"-5",IF(OR(R198=2,R198=3),"-4",IF(OR(R198=4,R198=5),"-3",IF(OR(R198=6,R198=7),"-2",IF(OR(R198=8,R198=9),"-1",IF(OR(R198=10,R198=11),"0",IF(OR(R198=12,R198=13),"+1",IF(OR(R198=14,R198=15),"+2",IF(OR(R198=16,R198=17),"+3",IF(OR(R198=18,R198=19),"+4",IF(OR(R198=20,R198=21),"+5",IF(OR(R198=22,R198=23),"+6",IF(OR(R198=24,R198=25),"+7",IF(OR(R198=26,R198=27),"+8",IF(OR(R198=28,R198=29),"+9",IF(R198=30,"+10"," "))))))))))))))))</f>
        <v>+2</v>
      </c>
      <c r="T198" s="1" t="n">
        <v>18</v>
      </c>
      <c r="U198" s="1" t="str">
        <f aca="false">IF(T198=1,"-5",IF(OR(T198=2,T198=3),"-4",IF(OR(T198=4,T198=5),"-3",IF(OR(T198=6,T198=7),"-2",IF(OR(T198=8,T198=9),"-1",IF(OR(T198=10,T198=11),"0",IF(OR(T198=12,T198=13),"+1",IF(OR(T198=14,T198=15),"+2",IF(OR(T198=16,T198=17),"+3",IF(OR(T198=18,T198=19),"+4",IF(OR(T198=20,T198=21),"+5",IF(OR(T198=22,T198=23),"+6",IF(OR(T198=24,T198=25),"+7",IF(OR(T198=26,T198=27),"+8",IF(OR(T198=28,T198=29),"+9",IF(T198=30,"+10"," "))))))))))))))))</f>
        <v>+4</v>
      </c>
      <c r="V198" s="1" t="s">
        <v>137</v>
      </c>
      <c r="W198" s="1" t="s">
        <v>400</v>
      </c>
      <c r="X198" s="2" t="s">
        <v>1088</v>
      </c>
      <c r="Y198" s="2" t="s">
        <v>1089</v>
      </c>
      <c r="Z198" s="2" t="s">
        <v>37</v>
      </c>
      <c r="AA198" s="1" t="s">
        <v>37</v>
      </c>
    </row>
    <row r="199" customFormat="false" ht="16.4" hidden="false" customHeight="false" outlineLevel="0" collapsed="false">
      <c r="A199" s="15" t="s">
        <v>1090</v>
      </c>
      <c r="B199" s="3" t="s">
        <v>1091</v>
      </c>
      <c r="C199" s="3" t="s">
        <v>49</v>
      </c>
      <c r="D199" s="16" t="n">
        <v>1</v>
      </c>
      <c r="E199" s="3" t="n">
        <f aca="false">VLOOKUP(D199,'[1]REF Tables'!$A$2:$B$40,2)</f>
        <v>200</v>
      </c>
      <c r="F199" s="3" t="s">
        <v>30</v>
      </c>
      <c r="G199" s="3" t="n">
        <v>16</v>
      </c>
      <c r="H199" s="3" t="s">
        <v>1092</v>
      </c>
      <c r="I199" s="3" t="s">
        <v>358</v>
      </c>
      <c r="J199" s="3" t="n">
        <v>14</v>
      </c>
      <c r="K199" s="1" t="str">
        <f aca="false">IF(J199=1,"-5",IF(OR(J199=2,J199=3),"-4",IF(OR(J199=4,J199=5),"-3",IF(OR(J199=6,J199=7),"-2",IF(OR(J199=8,J199=9),"-1",IF(OR(J199=10,J199=11),"0",IF(OR(J199=12,J199=13),"+1",IF(OR(J199=14,J199=15),"+2",IF(OR(J199=16,J199=17),"+3",IF(OR(J199=18,J199=19),"+4",IF(OR(J199=20,J199=21),"+5",IF(OR(J199=22,J199=23),"+6",IF(OR(J199=24,J199=25),"+7",IF(OR(J199=26,J199=27),"+8",IF(OR(J199=28,J199=29),"+9",IF(J199=30,"+10"," "))))))))))))))))</f>
        <v>+2</v>
      </c>
      <c r="L199" s="3" t="n">
        <v>11</v>
      </c>
      <c r="M199" s="1" t="str">
        <f aca="false">IF(L199=1,"-5",IF(OR(L199=2,L199=3),"-4",IF(OR(L199=4,L199=5),"-3",IF(OR(L199=6,L199=7),"-2",IF(OR(L199=8,L199=9),"-1",IF(OR(L199=10,L199=11),"0",IF(OR(L199=12,L199=13),"+1",IF(OR(L199=14,L199=15),"+2",IF(OR(L199=16,L199=17),"+3",IF(OR(L199=18,L199=19),"+4",IF(OR(L199=20,L199=21),"+5",IF(OR(L199=22,L199=23),"+6",IF(OR(L199=24,L199=25),"+7",IF(OR(L199=26,L199=27),"+8",IF(OR(L199=28,L199=29),"+9",IF(L199=30,"+10"," "))))))))))))))))</f>
        <v>0</v>
      </c>
      <c r="N199" s="3" t="n">
        <v>14</v>
      </c>
      <c r="O199" s="1" t="str">
        <f aca="false">IF(N199=1,"-5",IF(OR(N199=2,N199=3),"-4",IF(OR(N199=4,N199=5),"-3",IF(OR(N199=6,N199=7),"-2",IF(OR(N199=8,N199=9),"-1",IF(OR(N199=10,N199=11),"0",IF(OR(N199=12,N199=13),"+1",IF(OR(N199=14,N199=15),"+2",IF(OR(N199=16,N199=17),"+3",IF(OR(N199=18,N199=19),"+4",IF(OR(N199=20,N199=21),"+5",IF(OR(N199=22,N199=23),"+6",IF(OR(N199=24,N199=25),"+7",IF(OR(N199=26,N199=27),"+8",IF(OR(N199=28,N199=29),"+9",IF(N199=30,"+10"," "))))))))))))))))</f>
        <v>+2</v>
      </c>
      <c r="P199" s="3" t="n">
        <v>11</v>
      </c>
      <c r="Q199" s="1" t="str">
        <f aca="false">IF(P199=1,"-5",IF(OR(P199=2,P199=3),"-4",IF(OR(P199=4,P199=5),"-3",IF(OR(P199=6,P199=7),"-2",IF(OR(P199=8,P199=9),"-1",IF(OR(P199=10,P199=11),"0",IF(OR(P199=12,P199=13),"+1",IF(OR(P199=14,P199=15),"+2",IF(OR(P199=16,P199=17),"+3",IF(OR(P199=18,P199=19),"+4",IF(OR(P199=20,P199=21),"+5",IF(OR(P199=22,P199=23),"+6",IF(OR(P199=24,P199=25),"+7",IF(OR(P199=26,P199=27),"+8",IF(OR(P199=28,P199=29),"+9",IF(P199=30,"+10"," "))))))))))))))))</f>
        <v>0</v>
      </c>
      <c r="R199" s="3" t="n">
        <v>10</v>
      </c>
      <c r="S199" s="1" t="str">
        <f aca="false">IF(R199=1,"-5",IF(OR(R199=2,R199=3),"-4",IF(OR(R199=4,R199=5),"-3",IF(OR(R199=6,R199=7),"-2",IF(OR(R199=8,R199=9),"-1",IF(OR(R199=10,R199=11),"0",IF(OR(R199=12,R199=13),"+1",IF(OR(R199=14,R199=15),"+2",IF(OR(R199=16,R199=17),"+3",IF(OR(R199=18,R199=19),"+4",IF(OR(R199=20,R199=21),"+5",IF(OR(R199=22,R199=23),"+6",IF(OR(R199=24,R199=25),"+7",IF(OR(R199=26,R199=27),"+8",IF(OR(R199=28,R199=29),"+9",IF(R199=30,"+10"," "))))))))))))))))</f>
        <v>0</v>
      </c>
      <c r="T199" s="3" t="n">
        <v>9</v>
      </c>
      <c r="U199" s="1" t="str">
        <f aca="false">IF(T199=1,"-5",IF(OR(T199=2,T199=3),"-4",IF(OR(T199=4,T199=5),"-3",IF(OR(T199=6,T199=7),"-2",IF(OR(T199=8,T199=9),"-1",IF(OR(T199=10,T199=11),"0",IF(OR(T199=12,T199=13),"+1",IF(OR(T199=14,T199=15),"+2",IF(OR(T199=16,T199=17),"+3",IF(OR(T199=18,T199=19),"+4",IF(OR(T199=20,T199=21),"+5",IF(OR(T199=22,T199=23),"+6",IF(OR(T199=24,T199=25),"+7",IF(OR(T199=26,T199=27),"+8",IF(OR(T199=28,T199=29),"+9",IF(T199=30,"+10"," "))))))))))))))))</f>
        <v>-1</v>
      </c>
      <c r="V199" s="3" t="s">
        <v>37</v>
      </c>
      <c r="W199" s="3" t="s">
        <v>1093</v>
      </c>
      <c r="X199" s="11" t="s">
        <v>1094</v>
      </c>
      <c r="Y199" s="11" t="s">
        <v>1095</v>
      </c>
      <c r="Z199" s="11" t="s">
        <v>37</v>
      </c>
      <c r="AA199" s="12" t="s">
        <v>37</v>
      </c>
    </row>
    <row r="200" customFormat="false" ht="16.4" hidden="false" customHeight="false" outlineLevel="0" collapsed="false">
      <c r="A200" s="7" t="s">
        <v>1096</v>
      </c>
      <c r="B200" s="1" t="s">
        <v>1091</v>
      </c>
      <c r="C200" s="1" t="s">
        <v>49</v>
      </c>
      <c r="D200" s="8" t="n">
        <v>12</v>
      </c>
      <c r="E200" s="9" t="n">
        <f aca="false">VLOOKUP(D200,'[1]REF Tables'!$A$2:$B$40,2)</f>
        <v>8400</v>
      </c>
      <c r="F200" s="1" t="s">
        <v>30</v>
      </c>
      <c r="G200" s="10" t="n">
        <v>21</v>
      </c>
      <c r="H200" s="1" t="s">
        <v>473</v>
      </c>
      <c r="I200" s="1" t="s">
        <v>358</v>
      </c>
      <c r="J200" s="10" t="n">
        <v>20</v>
      </c>
      <c r="K200" s="1" t="str">
        <f aca="false">IF(J200=1,"-5",IF(OR(J200=2,J200=3),"-4",IF(OR(J200=4,J200=5),"-3",IF(OR(J200=6,J200=7),"-2",IF(OR(J200=8,J200=9),"-1",IF(OR(J200=10,J200=11),"0",IF(OR(J200=12,J200=13),"+1",IF(OR(J200=14,J200=15),"+2",IF(OR(J200=16,J200=17),"+3",IF(OR(J200=18,J200=19),"+4",IF(OR(J200=20,J200=21),"+5",IF(OR(J200=22,J200=23),"+6",IF(OR(J200=24,J200=25),"+7",IF(OR(J200=26,J200=27),"+8",IF(OR(J200=28,J200=29),"+9",IF(J200=30,"+10"," "))))))))))))))))</f>
        <v>+5</v>
      </c>
      <c r="L200" s="10" t="n">
        <v>5</v>
      </c>
      <c r="M200" s="1" t="str">
        <f aca="false">IF(L200=1,"-5",IF(OR(L200=2,L200=3),"-4",IF(OR(L200=4,L200=5),"-3",IF(OR(L200=6,L200=7),"-2",IF(OR(L200=8,L200=9),"-1",IF(OR(L200=10,L200=11),"0",IF(OR(L200=12,L200=13),"+1",IF(OR(L200=14,L200=15),"+2",IF(OR(L200=16,L200=17),"+3",IF(OR(L200=18,L200=19),"+4",IF(OR(L200=20,L200=21),"+5",IF(OR(L200=22,L200=23),"+6",IF(OR(L200=24,L200=25),"+7",IF(OR(L200=26,L200=27),"+8",IF(OR(L200=28,L200=29),"+9",IF(L200=30,"+10"," "))))))))))))))))</f>
        <v>-3</v>
      </c>
      <c r="N200" s="10" t="n">
        <v>19</v>
      </c>
      <c r="O200" s="1" t="str">
        <f aca="false">IF(N200=1,"-5",IF(OR(N200=2,N200=3),"-4",IF(OR(N200=4,N200=5),"-3",IF(OR(N200=6,N200=7),"-2",IF(OR(N200=8,N200=9),"-1",IF(OR(N200=10,N200=11),"0",IF(OR(N200=12,N200=13),"+1",IF(OR(N200=14,N200=15),"+2",IF(OR(N200=16,N200=17),"+3",IF(OR(N200=18,N200=19),"+4",IF(OR(N200=20,N200=21),"+5",IF(OR(N200=22,N200=23),"+6",IF(OR(N200=24,N200=25),"+7",IF(OR(N200=26,N200=27),"+8",IF(OR(N200=28,N200=29),"+9",IF(N200=30,"+10"," "))))))))))))))))</f>
        <v>+4</v>
      </c>
      <c r="P200" s="10" t="n">
        <v>15</v>
      </c>
      <c r="Q200" s="1" t="str">
        <f aca="false">IF(P200=1,"-5",IF(OR(P200=2,P200=3),"-4",IF(OR(P200=4,P200=5),"-3",IF(OR(P200=6,P200=7),"-2",IF(OR(P200=8,P200=9),"-1",IF(OR(P200=10,P200=11),"0",IF(OR(P200=12,P200=13),"+1",IF(OR(P200=14,P200=15),"+2",IF(OR(P200=16,P200=17),"+3",IF(OR(P200=18,P200=19),"+4",IF(OR(P200=20,P200=21),"+5",IF(OR(P200=22,P200=23),"+6",IF(OR(P200=24,P200=25),"+7",IF(OR(P200=26,P200=27),"+8",IF(OR(P200=28,P200=29),"+9",IF(P200=30,"+10"," "))))))))))))))))</f>
        <v>+2</v>
      </c>
      <c r="R200" s="10" t="n">
        <v>14</v>
      </c>
      <c r="S200" s="1" t="str">
        <f aca="false">IF(R200=1,"-5",IF(OR(R200=2,R200=3),"-4",IF(OR(R200=4,R200=5),"-3",IF(OR(R200=6,R200=7),"-2",IF(OR(R200=8,R200=9),"-1",IF(OR(R200=10,R200=11),"0",IF(OR(R200=12,R200=13),"+1",IF(OR(R200=14,R200=15),"+2",IF(OR(R200=16,R200=17),"+3",IF(OR(R200=18,R200=19),"+4",IF(OR(R200=20,R200=21),"+5",IF(OR(R200=22,R200=23),"+6",IF(OR(R200=24,R200=25),"+7",IF(OR(R200=26,R200=27),"+8",IF(OR(R200=28,R200=29),"+9",IF(R200=30,"+10"," "))))))))))))))))</f>
        <v>+2</v>
      </c>
      <c r="T200" s="10" t="n">
        <v>13</v>
      </c>
      <c r="U200" s="1" t="str">
        <f aca="false">IF(T200=1,"-5",IF(OR(T200=2,T200=3),"-4",IF(OR(T200=4,T200=5),"-3",IF(OR(T200=6,T200=7),"-2",IF(OR(T200=8,T200=9),"-1",IF(OR(T200=10,T200=11),"0",IF(OR(T200=12,T200=13),"+1",IF(OR(T200=14,T200=15),"+2",IF(OR(T200=16,T200=17),"+3",IF(OR(T200=18,T200=19),"+4",IF(OR(T200=20,T200=21),"+5",IF(OR(T200=22,T200=23),"+6",IF(OR(T200=24,T200=25),"+7",IF(OR(T200=26,T200=27),"+8",IF(OR(T200=28,T200=29),"+9",IF(T200=30,"+10"," "))))))))))))))))</f>
        <v>+1</v>
      </c>
      <c r="V200" s="1" t="s">
        <v>1097</v>
      </c>
      <c r="W200" s="1" t="s">
        <v>1093</v>
      </c>
      <c r="X200" s="11" t="s">
        <v>1098</v>
      </c>
      <c r="Y200" s="11" t="s">
        <v>1099</v>
      </c>
      <c r="Z200" s="11" t="s">
        <v>37</v>
      </c>
      <c r="AA200" s="12" t="s">
        <v>37</v>
      </c>
      <c r="AB200" s="1"/>
      <c r="AC200" s="1"/>
      <c r="AD200" s="1"/>
      <c r="AE200" s="1"/>
      <c r="AF200" s="1"/>
    </row>
    <row r="201" customFormat="false" ht="16.4" hidden="false" customHeight="false" outlineLevel="0" collapsed="false">
      <c r="A201" s="7" t="s">
        <v>1100</v>
      </c>
      <c r="B201" s="1" t="s">
        <v>1091</v>
      </c>
      <c r="C201" s="1" t="s">
        <v>49</v>
      </c>
      <c r="D201" s="8" t="n">
        <v>2</v>
      </c>
      <c r="E201" s="10" t="n">
        <f aca="false">VLOOKUP(D201,'[1]REF Tables'!$A$2:$B$40,2)</f>
        <v>450</v>
      </c>
      <c r="F201" s="1" t="s">
        <v>30</v>
      </c>
      <c r="G201" s="10" t="n">
        <v>18</v>
      </c>
      <c r="H201" s="1" t="s">
        <v>215</v>
      </c>
      <c r="I201" s="1" t="s">
        <v>358</v>
      </c>
      <c r="J201" s="10" t="n">
        <v>18</v>
      </c>
      <c r="K201" s="1" t="str">
        <f aca="false">IF(J201=1,"-5",IF(OR(J201=2,J201=3),"-4",IF(OR(J201=4,J201=5),"-3",IF(OR(J201=6,J201=7),"-2",IF(OR(J201=8,J201=9),"-1",IF(OR(J201=10,J201=11),"0",IF(OR(J201=12,J201=13),"+1",IF(OR(J201=14,J201=15),"+2",IF(OR(J201=16,J201=17),"+3",IF(OR(J201=18,J201=19),"+4",IF(OR(J201=20,J201=21),"+5",IF(OR(J201=22,J201=23),"+6",IF(OR(J201=24,J201=25),"+7",IF(OR(J201=26,J201=27),"+8",IF(OR(J201=28,J201=29),"+9",IF(J201=30,"+10"," "))))))))))))))))</f>
        <v>+4</v>
      </c>
      <c r="L201" s="10" t="n">
        <v>11</v>
      </c>
      <c r="M201" s="1" t="str">
        <f aca="false">IF(L201=1,"-5",IF(OR(L201=2,L201=3),"-4",IF(OR(L201=4,L201=5),"-3",IF(OR(L201=6,L201=7),"-2",IF(OR(L201=8,L201=9),"-1",IF(OR(L201=10,L201=11),"0",IF(OR(L201=12,L201=13),"+1",IF(OR(L201=14,L201=15),"+2",IF(OR(L201=16,L201=17),"+3",IF(OR(L201=18,L201=19),"+4",IF(OR(L201=20,L201=21),"+5",IF(OR(L201=22,L201=23),"+6",IF(OR(L201=24,L201=25),"+7",IF(OR(L201=26,L201=27),"+8",IF(OR(L201=28,L201=29),"+9",IF(L201=30,"+10"," "))))))))))))))))</f>
        <v>0</v>
      </c>
      <c r="N201" s="10" t="n">
        <v>14</v>
      </c>
      <c r="O201" s="1" t="str">
        <f aca="false">IF(N201=1,"-5",IF(OR(N201=2,N201=3),"-4",IF(OR(N201=4,N201=5),"-3",IF(OR(N201=6,N201=7),"-2",IF(OR(N201=8,N201=9),"-1",IF(OR(N201=10,N201=11),"0",IF(OR(N201=12,N201=13),"+1",IF(OR(N201=14,N201=15),"+2",IF(OR(N201=16,N201=17),"+3",IF(OR(N201=18,N201=19),"+4",IF(OR(N201=20,N201=21),"+5",IF(OR(N201=22,N201=23),"+6",IF(OR(N201=24,N201=25),"+7",IF(OR(N201=26,N201=27),"+8",IF(OR(N201=28,N201=29),"+9",IF(N201=30,"+10"," "))))))))))))))))</f>
        <v>+2</v>
      </c>
      <c r="P201" s="10" t="n">
        <v>11</v>
      </c>
      <c r="Q201" s="1" t="str">
        <f aca="false">IF(P201=1,"-5",IF(OR(P201=2,P201=3),"-4",IF(OR(P201=4,P201=5),"-3",IF(OR(P201=6,P201=7),"-2",IF(OR(P201=8,P201=9),"-1",IF(OR(P201=10,P201=11),"0",IF(OR(P201=12,P201=13),"+1",IF(OR(P201=14,P201=15),"+2",IF(OR(P201=16,P201=17),"+3",IF(OR(P201=18,P201=19),"+4",IF(OR(P201=20,P201=21),"+5",IF(OR(P201=22,P201=23),"+6",IF(OR(P201=24,P201=25),"+7",IF(OR(P201=26,P201=27),"+8",IF(OR(P201=28,P201=29),"+9",IF(P201=30,"+10"," "))))))))))))))))</f>
        <v>0</v>
      </c>
      <c r="R201" s="10" t="n">
        <v>10</v>
      </c>
      <c r="S201" s="1" t="str">
        <f aca="false">IF(R201=1,"-5",IF(OR(R201=2,R201=3),"-4",IF(OR(R201=4,R201=5),"-3",IF(OR(R201=6,R201=7),"-2",IF(OR(R201=8,R201=9),"-1",IF(OR(R201=10,R201=11),"0",IF(OR(R201=12,R201=13),"+1",IF(OR(R201=14,R201=15),"+2",IF(OR(R201=16,R201=17),"+3",IF(OR(R201=18,R201=19),"+4",IF(OR(R201=20,R201=21),"+5",IF(OR(R201=22,R201=23),"+6",IF(OR(R201=24,R201=25),"+7",IF(OR(R201=26,R201=27),"+8",IF(OR(R201=28,R201=29),"+9",IF(R201=30,"+10"," "))))))))))))))))</f>
        <v>0</v>
      </c>
      <c r="T201" s="10" t="n">
        <v>9</v>
      </c>
      <c r="U201" s="1" t="str">
        <f aca="false">IF(T201=1,"-5",IF(OR(T201=2,T201=3),"-4",IF(OR(T201=4,T201=5),"-3",IF(OR(T201=6,T201=7),"-2",IF(OR(T201=8,T201=9),"-1",IF(OR(T201=10,T201=11),"0",IF(OR(T201=12,T201=13),"+1",IF(OR(T201=14,T201=15),"+2",IF(OR(T201=16,T201=17),"+3",IF(OR(T201=18,T201=19),"+4",IF(OR(T201=20,T201=21),"+5",IF(OR(T201=22,T201=23),"+6",IF(OR(T201=24,T201=25),"+7",IF(OR(T201=26,T201=27),"+8",IF(OR(T201=28,T201=29),"+9",IF(T201=30,"+10"," "))))))))))))))))</f>
        <v>-1</v>
      </c>
      <c r="V201" s="1" t="s">
        <v>37</v>
      </c>
      <c r="W201" s="1" t="s">
        <v>1093</v>
      </c>
      <c r="X201" s="11" t="s">
        <v>1101</v>
      </c>
      <c r="Y201" s="11" t="s">
        <v>1102</v>
      </c>
      <c r="Z201" s="11" t="s">
        <v>37</v>
      </c>
      <c r="AA201" s="12" t="s">
        <v>37</v>
      </c>
      <c r="AB201" s="1"/>
      <c r="AC201" s="1"/>
      <c r="AD201" s="1"/>
      <c r="AE201" s="1"/>
      <c r="AF201" s="1"/>
    </row>
    <row r="202" customFormat="false" ht="16.4" hidden="false" customHeight="false" outlineLevel="0" collapsed="false">
      <c r="A202" s="7" t="s">
        <v>1103</v>
      </c>
      <c r="B202" s="1" t="s">
        <v>1091</v>
      </c>
      <c r="C202" s="1" t="s">
        <v>49</v>
      </c>
      <c r="D202" s="8" t="n">
        <v>2</v>
      </c>
      <c r="E202" s="10" t="n">
        <f aca="false">VLOOKUP(D202,'[1]REF Tables'!$A$2:$B$40,2)</f>
        <v>450</v>
      </c>
      <c r="F202" s="1" t="s">
        <v>30</v>
      </c>
      <c r="G202" s="10" t="n">
        <v>16</v>
      </c>
      <c r="H202" s="1" t="s">
        <v>1092</v>
      </c>
      <c r="I202" s="1" t="s">
        <v>358</v>
      </c>
      <c r="J202" s="10" t="n">
        <v>14</v>
      </c>
      <c r="K202" s="1" t="str">
        <f aca="false">IF(J202=1,"-5",IF(OR(J202=2,J202=3),"-4",IF(OR(J202=4,J202=5),"-3",IF(OR(J202=6,J202=7),"-2",IF(OR(J202=8,J202=9),"-1",IF(OR(J202=10,J202=11),"0",IF(OR(J202=12,J202=13),"+1",IF(OR(J202=14,J202=15),"+2",IF(OR(J202=16,J202=17),"+3",IF(OR(J202=18,J202=19),"+4",IF(OR(J202=20,J202=21),"+5",IF(OR(J202=22,J202=23),"+6",IF(OR(J202=24,J202=25),"+7",IF(OR(J202=26,J202=27),"+8",IF(OR(J202=28,J202=29),"+9",IF(J202=30,"+10"," "))))))))))))))))</f>
        <v>+2</v>
      </c>
      <c r="L202" s="10" t="n">
        <v>11</v>
      </c>
      <c r="M202" s="1" t="str">
        <f aca="false">IF(L202=1,"-5",IF(OR(L202=2,L202=3),"-4",IF(OR(L202=4,L202=5),"-3",IF(OR(L202=6,L202=7),"-2",IF(OR(L202=8,L202=9),"-1",IF(OR(L202=10,L202=11),"0",IF(OR(L202=12,L202=13),"+1",IF(OR(L202=14,L202=15),"+2",IF(OR(L202=16,L202=17),"+3",IF(OR(L202=18,L202=19),"+4",IF(OR(L202=20,L202=21),"+5",IF(OR(L202=22,L202=23),"+6",IF(OR(L202=24,L202=25),"+7",IF(OR(L202=26,L202=27),"+8",IF(OR(L202=28,L202=29),"+9",IF(L202=30,"+10"," "))))))))))))))))</f>
        <v>0</v>
      </c>
      <c r="N202" s="10" t="n">
        <v>14</v>
      </c>
      <c r="O202" s="1" t="str">
        <f aca="false">IF(N202=1,"-5",IF(OR(N202=2,N202=3),"-4",IF(OR(N202=4,N202=5),"-3",IF(OR(N202=6,N202=7),"-2",IF(OR(N202=8,N202=9),"-1",IF(OR(N202=10,N202=11),"0",IF(OR(N202=12,N202=13),"+1",IF(OR(N202=14,N202=15),"+2",IF(OR(N202=16,N202=17),"+3",IF(OR(N202=18,N202=19),"+4",IF(OR(N202=20,N202=21),"+5",IF(OR(N202=22,N202=23),"+6",IF(OR(N202=24,N202=25),"+7",IF(OR(N202=26,N202=27),"+8",IF(OR(N202=28,N202=29),"+9",IF(N202=30,"+10"," "))))))))))))))))</f>
        <v>+2</v>
      </c>
      <c r="P202" s="10" t="n">
        <v>11</v>
      </c>
      <c r="Q202" s="1" t="str">
        <f aca="false">IF(P202=1,"-5",IF(OR(P202=2,P202=3),"-4",IF(OR(P202=4,P202=5),"-3",IF(OR(P202=6,P202=7),"-2",IF(OR(P202=8,P202=9),"-1",IF(OR(P202=10,P202=11),"0",IF(OR(P202=12,P202=13),"+1",IF(OR(P202=14,P202=15),"+2",IF(OR(P202=16,P202=17),"+3",IF(OR(P202=18,P202=19),"+4",IF(OR(P202=20,P202=21),"+5",IF(OR(P202=22,P202=23),"+6",IF(OR(P202=24,P202=25),"+7",IF(OR(P202=26,P202=27),"+8",IF(OR(P202=28,P202=29),"+9",IF(P202=30,"+10"," "))))))))))))))))</f>
        <v>0</v>
      </c>
      <c r="R202" s="10" t="n">
        <v>10</v>
      </c>
      <c r="S202" s="1" t="str">
        <f aca="false">IF(R202=1,"-5",IF(OR(R202=2,R202=3),"-4",IF(OR(R202=4,R202=5),"-3",IF(OR(R202=6,R202=7),"-2",IF(OR(R202=8,R202=9),"-1",IF(OR(R202=10,R202=11),"0",IF(OR(R202=12,R202=13),"+1",IF(OR(R202=14,R202=15),"+2",IF(OR(R202=16,R202=17),"+3",IF(OR(R202=18,R202=19),"+4",IF(OR(R202=20,R202=21),"+5",IF(OR(R202=22,R202=23),"+6",IF(OR(R202=24,R202=25),"+7",IF(OR(R202=26,R202=27),"+8",IF(OR(R202=28,R202=29),"+9",IF(R202=30,"+10"," "))))))))))))))))</f>
        <v>0</v>
      </c>
      <c r="T202" s="10" t="n">
        <v>9</v>
      </c>
      <c r="U202" s="1" t="str">
        <f aca="false">IF(T202=1,"-5",IF(OR(T202=2,T202=3),"-4",IF(OR(T202=4,T202=5),"-3",IF(OR(T202=6,T202=7),"-2",IF(OR(T202=8,T202=9),"-1",IF(OR(T202=10,T202=11),"0",IF(OR(T202=12,T202=13),"+1",IF(OR(T202=14,T202=15),"+2",IF(OR(T202=16,T202=17),"+3",IF(OR(T202=18,T202=19),"+4",IF(OR(T202=20,T202=21),"+5",IF(OR(T202=22,T202=23),"+6",IF(OR(T202=24,T202=25),"+7",IF(OR(T202=26,T202=27),"+8",IF(OR(T202=28,T202=29),"+9",IF(T202=30,"+10"," "))))))))))))))))</f>
        <v>-1</v>
      </c>
      <c r="V202" s="1" t="s">
        <v>37</v>
      </c>
      <c r="W202" s="1" t="s">
        <v>1093</v>
      </c>
      <c r="X202" s="11" t="s">
        <v>1104</v>
      </c>
      <c r="Y202" s="11" t="s">
        <v>1105</v>
      </c>
      <c r="Z202" s="11" t="s">
        <v>37</v>
      </c>
      <c r="AA202" s="12" t="s">
        <v>37</v>
      </c>
      <c r="AB202" s="1"/>
      <c r="AC202" s="1"/>
      <c r="AD202" s="1"/>
      <c r="AE202" s="1"/>
      <c r="AF202" s="1"/>
    </row>
    <row r="203" customFormat="false" ht="16.4" hidden="false" customHeight="false" outlineLevel="0" collapsed="false">
      <c r="A203" s="7" t="s">
        <v>1106</v>
      </c>
      <c r="B203" s="1" t="s">
        <v>1091</v>
      </c>
      <c r="C203" s="1" t="s">
        <v>49</v>
      </c>
      <c r="D203" s="8" t="n">
        <v>2</v>
      </c>
      <c r="E203" s="10" t="n">
        <f aca="false">VLOOKUP(D203,'[1]REF Tables'!$A$2:$B$40,2)</f>
        <v>450</v>
      </c>
      <c r="F203" s="1" t="s">
        <v>30</v>
      </c>
      <c r="G203" s="10" t="n">
        <v>14</v>
      </c>
      <c r="H203" s="1" t="s">
        <v>215</v>
      </c>
      <c r="I203" s="1" t="s">
        <v>358</v>
      </c>
      <c r="J203" s="10" t="n">
        <v>11</v>
      </c>
      <c r="K203" s="1" t="str">
        <f aca="false">IF(J203=1,"-5",IF(OR(J203=2,J203=3),"-4",IF(OR(J203=4,J203=5),"-3",IF(OR(J203=6,J203=7),"-2",IF(OR(J203=8,J203=9),"-1",IF(OR(J203=10,J203=11),"0",IF(OR(J203=12,J203=13),"+1",IF(OR(J203=14,J203=15),"+2",IF(OR(J203=16,J203=17),"+3",IF(OR(J203=18,J203=19),"+4",IF(OR(J203=20,J203=21),"+5",IF(OR(J203=22,J203=23),"+6",IF(OR(J203=24,J203=25),"+7",IF(OR(J203=26,J203=27),"+8",IF(OR(J203=28,J203=29),"+9",IF(J203=30,"+10"," "))))))))))))))))</f>
        <v>0</v>
      </c>
      <c r="L203" s="10" t="n">
        <v>17</v>
      </c>
      <c r="M203" s="1" t="str">
        <f aca="false">IF(L203=1,"-5",IF(OR(L203=2,L203=3),"-4",IF(OR(L203=4,L203=5),"-3",IF(OR(L203=6,L203=7),"-2",IF(OR(L203=8,L203=9),"-1",IF(OR(L203=10,L203=11),"0",IF(OR(L203=12,L203=13),"+1",IF(OR(L203=14,L203=15),"+2",IF(OR(L203=16,L203=17),"+3",IF(OR(L203=18,L203=19),"+4",IF(OR(L203=20,L203=21),"+5",IF(OR(L203=22,L203=23),"+6",IF(OR(L203=24,L203=25),"+7",IF(OR(L203=26,L203=27),"+8",IF(OR(L203=28,L203=29),"+9",IF(L203=30,"+10"," "))))))))))))))))</f>
        <v>+3</v>
      </c>
      <c r="N203" s="10" t="n">
        <v>14</v>
      </c>
      <c r="O203" s="1" t="str">
        <f aca="false">IF(N203=1,"-5",IF(OR(N203=2,N203=3),"-4",IF(OR(N203=4,N203=5),"-3",IF(OR(N203=6,N203=7),"-2",IF(OR(N203=8,N203=9),"-1",IF(OR(N203=10,N203=11),"0",IF(OR(N203=12,N203=13),"+1",IF(OR(N203=14,N203=15),"+2",IF(OR(N203=16,N203=17),"+3",IF(OR(N203=18,N203=19),"+4",IF(OR(N203=20,N203=21),"+5",IF(OR(N203=22,N203=23),"+6",IF(OR(N203=24,N203=25),"+7",IF(OR(N203=26,N203=27),"+8",IF(OR(N203=28,N203=29),"+9",IF(N203=30,"+10"," "))))))))))))))))</f>
        <v>+2</v>
      </c>
      <c r="P203" s="10" t="n">
        <v>15</v>
      </c>
      <c r="Q203" s="1" t="str">
        <f aca="false">IF(P203=1,"-5",IF(OR(P203=2,P203=3),"-4",IF(OR(P203=4,P203=5),"-3",IF(OR(P203=6,P203=7),"-2",IF(OR(P203=8,P203=9),"-1",IF(OR(P203=10,P203=11),"0",IF(OR(P203=12,P203=13),"+1",IF(OR(P203=14,P203=15),"+2",IF(OR(P203=16,P203=17),"+3",IF(OR(P203=18,P203=19),"+4",IF(OR(P203=20,P203=21),"+5",IF(OR(P203=22,P203=23),"+6",IF(OR(P203=24,P203=25),"+7",IF(OR(P203=26,P203=27),"+8",IF(OR(P203=28,P203=29),"+9",IF(P203=30,"+10"," "))))))))))))))))</f>
        <v>+2</v>
      </c>
      <c r="R203" s="10" t="n">
        <v>10</v>
      </c>
      <c r="S203" s="1" t="str">
        <f aca="false">IF(R203=1,"-5",IF(OR(R203=2,R203=3),"-4",IF(OR(R203=4,R203=5),"-3",IF(OR(R203=6,R203=7),"-2",IF(OR(R203=8,R203=9),"-1",IF(OR(R203=10,R203=11),"0",IF(OR(R203=12,R203=13),"+1",IF(OR(R203=14,R203=15),"+2",IF(OR(R203=16,R203=17),"+3",IF(OR(R203=18,R203=19),"+4",IF(OR(R203=20,R203=21),"+5",IF(OR(R203=22,R203=23),"+6",IF(OR(R203=24,R203=25),"+7",IF(OR(R203=26,R203=27),"+8",IF(OR(R203=28,R203=29),"+9",IF(R203=30,"+10"," "))))))))))))))))</f>
        <v>0</v>
      </c>
      <c r="T203" s="10" t="n">
        <v>12</v>
      </c>
      <c r="U203" s="1" t="str">
        <f aca="false">IF(T203=1,"-5",IF(OR(T203=2,T203=3),"-4",IF(OR(T203=4,T203=5),"-3",IF(OR(T203=6,T203=7),"-2",IF(OR(T203=8,T203=9),"-1",IF(OR(T203=10,T203=11),"0",IF(OR(T203=12,T203=13),"+1",IF(OR(T203=14,T203=15),"+2",IF(OR(T203=16,T203=17),"+3",IF(OR(T203=18,T203=19),"+4",IF(OR(T203=20,T203=21),"+5",IF(OR(T203=22,T203=23),"+6",IF(OR(T203=24,T203=25),"+7",IF(OR(T203=26,T203=27),"+8",IF(OR(T203=28,T203=29),"+9",IF(T203=30,"+10"," "))))))))))))))))</f>
        <v>+1</v>
      </c>
      <c r="V203" s="1" t="s">
        <v>564</v>
      </c>
      <c r="W203" s="1" t="s">
        <v>1093</v>
      </c>
      <c r="X203" s="11" t="s">
        <v>1107</v>
      </c>
      <c r="Y203" s="11" t="s">
        <v>1108</v>
      </c>
      <c r="Z203" s="11" t="s">
        <v>37</v>
      </c>
      <c r="AA203" s="12" t="s">
        <v>37</v>
      </c>
      <c r="AB203" s="1"/>
      <c r="AC203" s="1"/>
      <c r="AD203" s="1"/>
      <c r="AE203" s="1"/>
      <c r="AF203" s="1"/>
    </row>
    <row r="204" customFormat="false" ht="16.4" hidden="false" customHeight="false" outlineLevel="0" collapsed="false">
      <c r="A204" s="7" t="s">
        <v>1109</v>
      </c>
      <c r="B204" s="1" t="s">
        <v>1091</v>
      </c>
      <c r="C204" s="1" t="s">
        <v>49</v>
      </c>
      <c r="D204" s="8" t="n">
        <v>6</v>
      </c>
      <c r="E204" s="9" t="n">
        <f aca="false">VLOOKUP(D204,'[1]REF Tables'!$A$2:$B$40,2)</f>
        <v>2300</v>
      </c>
      <c r="F204" s="1" t="s">
        <v>30</v>
      </c>
      <c r="G204" s="10" t="n">
        <v>20</v>
      </c>
      <c r="H204" s="1" t="s">
        <v>178</v>
      </c>
      <c r="I204" s="1" t="s">
        <v>358</v>
      </c>
      <c r="J204" s="10" t="n">
        <v>18</v>
      </c>
      <c r="K204" s="1" t="str">
        <f aca="false">IF(J204=1,"-5",IF(OR(J204=2,J204=3),"-4",IF(OR(J204=4,J204=5),"-3",IF(OR(J204=6,J204=7),"-2",IF(OR(J204=8,J204=9),"-1",IF(OR(J204=10,J204=11),"0",IF(OR(J204=12,J204=13),"+1",IF(OR(J204=14,J204=15),"+2",IF(OR(J204=16,J204=17),"+3",IF(OR(J204=18,J204=19),"+4",IF(OR(J204=20,J204=21),"+5",IF(OR(J204=22,J204=23),"+6",IF(OR(J204=24,J204=25),"+7",IF(OR(J204=26,J204=27),"+8",IF(OR(J204=28,J204=29),"+9",IF(J204=30,"+10"," "))))))))))))))))</f>
        <v>+4</v>
      </c>
      <c r="L204" s="10" t="n">
        <v>11</v>
      </c>
      <c r="M204" s="1" t="str">
        <f aca="false">IF(L204=1,"-5",IF(OR(L204=2,L204=3),"-4",IF(OR(L204=4,L204=5),"-3",IF(OR(L204=6,L204=7),"-2",IF(OR(L204=8,L204=9),"-1",IF(OR(L204=10,L204=11),"0",IF(OR(L204=12,L204=13),"+1",IF(OR(L204=14,L204=15),"+2",IF(OR(L204=16,L204=17),"+3",IF(OR(L204=18,L204=19),"+4",IF(OR(L204=20,L204=21),"+5",IF(OR(L204=22,L204=23),"+6",IF(OR(L204=24,L204=25),"+7",IF(OR(L204=26,L204=27),"+8",IF(OR(L204=28,L204=29),"+9",IF(L204=30,"+10"," "))))))))))))))))</f>
        <v>0</v>
      </c>
      <c r="N204" s="10" t="n">
        <v>17</v>
      </c>
      <c r="O204" s="1" t="str">
        <f aca="false">IF(N204=1,"-5",IF(OR(N204=2,N204=3),"-4",IF(OR(N204=4,N204=5),"-3",IF(OR(N204=6,N204=7),"-2",IF(OR(N204=8,N204=9),"-1",IF(OR(N204=10,N204=11),"0",IF(OR(N204=12,N204=13),"+1",IF(OR(N204=14,N204=15),"+2",IF(OR(N204=16,N204=17),"+3",IF(OR(N204=18,N204=19),"+4",IF(OR(N204=20,N204=21),"+5",IF(OR(N204=22,N204=23),"+6",IF(OR(N204=24,N204=25),"+7",IF(OR(N204=26,N204=27),"+8",IF(OR(N204=28,N204=29),"+9",IF(N204=30,"+10"," "))))))))))))))))</f>
        <v>+3</v>
      </c>
      <c r="P204" s="10" t="n">
        <v>12</v>
      </c>
      <c r="Q204" s="1" t="str">
        <f aca="false">IF(P204=1,"-5",IF(OR(P204=2,P204=3),"-4",IF(OR(P204=4,P204=5),"-3",IF(OR(P204=6,P204=7),"-2",IF(OR(P204=8,P204=9),"-1",IF(OR(P204=10,P204=11),"0",IF(OR(P204=12,P204=13),"+1",IF(OR(P204=14,P204=15),"+2",IF(OR(P204=16,P204=17),"+3",IF(OR(P204=18,P204=19),"+4",IF(OR(P204=20,P204=21),"+5",IF(OR(P204=22,P204=23),"+6",IF(OR(P204=24,P204=25),"+7",IF(OR(P204=26,P204=27),"+8",IF(OR(P204=28,P204=29),"+9",IF(P204=30,"+10"," "))))))))))))))))</f>
        <v>+1</v>
      </c>
      <c r="R204" s="10" t="n">
        <v>12</v>
      </c>
      <c r="S204" s="1" t="str">
        <f aca="false">IF(R204=1,"-5",IF(OR(R204=2,R204=3),"-4",IF(OR(R204=4,R204=5),"-3",IF(OR(R204=6,R204=7),"-2",IF(OR(R204=8,R204=9),"-1",IF(OR(R204=10,R204=11),"0",IF(OR(R204=12,R204=13),"+1",IF(OR(R204=14,R204=15),"+2",IF(OR(R204=16,R204=17),"+3",IF(OR(R204=18,R204=19),"+4",IF(OR(R204=20,R204=21),"+5",IF(OR(R204=22,R204=23),"+6",IF(OR(R204=24,R204=25),"+7",IF(OR(R204=26,R204=27),"+8",IF(OR(R204=28,R204=29),"+9",IF(R204=30,"+10"," "))))))))))))))))</f>
        <v>+1</v>
      </c>
      <c r="T204" s="10" t="n">
        <v>14</v>
      </c>
      <c r="U204" s="1" t="str">
        <f aca="false">IF(T204=1,"-5",IF(OR(T204=2,T204=3),"-4",IF(OR(T204=4,T204=5),"-3",IF(OR(T204=6,T204=7),"-2",IF(OR(T204=8,T204=9),"-1",IF(OR(T204=10,T204=11),"0",IF(OR(T204=12,T204=13),"+1",IF(OR(T204=14,T204=15),"+2",IF(OR(T204=16,T204=17),"+3",IF(OR(T204=18,T204=19),"+4",IF(OR(T204=20,T204=21),"+5",IF(OR(T204=22,T204=23),"+6",IF(OR(T204=24,T204=25),"+7",IF(OR(T204=26,T204=27),"+8",IF(OR(T204=28,T204=29),"+9",IF(T204=30,"+10"," "))))))))))))))))</f>
        <v>+2</v>
      </c>
      <c r="V204" s="1" t="s">
        <v>37</v>
      </c>
      <c r="W204" s="1" t="s">
        <v>1093</v>
      </c>
      <c r="X204" s="11" t="s">
        <v>1110</v>
      </c>
      <c r="Y204" s="11" t="s">
        <v>1111</v>
      </c>
      <c r="Z204" s="11" t="s">
        <v>37</v>
      </c>
      <c r="AA204" s="12" t="s">
        <v>37</v>
      </c>
      <c r="AB204" s="1"/>
      <c r="AC204" s="1"/>
      <c r="AD204" s="1"/>
      <c r="AE204" s="1"/>
      <c r="AF204" s="1"/>
    </row>
    <row r="205" customFormat="false" ht="16.4" hidden="false" customHeight="false" outlineLevel="0" collapsed="false">
      <c r="A205" s="15" t="s">
        <v>1112</v>
      </c>
      <c r="B205" s="3" t="s">
        <v>197</v>
      </c>
      <c r="C205" s="3" t="s">
        <v>106</v>
      </c>
      <c r="D205" s="16" t="n">
        <v>0.25</v>
      </c>
      <c r="E205" s="3" t="n">
        <f aca="false">VLOOKUP(D205,'[1]REF Tables'!$A$2:$B$40,2)</f>
        <v>50</v>
      </c>
      <c r="F205" s="3" t="s">
        <v>30</v>
      </c>
      <c r="G205" s="3" t="n">
        <v>15</v>
      </c>
      <c r="H205" s="3" t="s">
        <v>152</v>
      </c>
      <c r="I205" s="3" t="s">
        <v>42</v>
      </c>
      <c r="J205" s="3" t="n">
        <v>11</v>
      </c>
      <c r="K205" s="1" t="str">
        <f aca="false">IF(J205=1,"-5",IF(OR(J205=2,J205=3),"-4",IF(OR(J205=4,J205=5),"-3",IF(OR(J205=6,J205=7),"-2",IF(OR(J205=8,J205=9),"-1",IF(OR(J205=10,J205=11),"0",IF(OR(J205=12,J205=13),"+1",IF(OR(J205=14,J205=15),"+2",IF(OR(J205=16,J205=17),"+3",IF(OR(J205=18,J205=19),"+4",IF(OR(J205=20,J205=21),"+5",IF(OR(J205=22,J205=23),"+6",IF(OR(J205=24,J205=25),"+7",IF(OR(J205=26,J205=27),"+8",IF(OR(J205=28,J205=29),"+9",IF(J205=30,"+10"," "))))))))))))))))</f>
        <v>0</v>
      </c>
      <c r="L205" s="3" t="n">
        <v>13</v>
      </c>
      <c r="M205" s="1" t="str">
        <f aca="false">IF(L205=1,"-5",IF(OR(L205=2,L205=3),"-4",IF(OR(L205=4,L205=5),"-3",IF(OR(L205=6,L205=7),"-2",IF(OR(L205=8,L205=9),"-1",IF(OR(L205=10,L205=11),"0",IF(OR(L205=12,L205=13),"+1",IF(OR(L205=14,L205=15),"+2",IF(OR(L205=16,L205=17),"+3",IF(OR(L205=18,L205=19),"+4",IF(OR(L205=20,L205=21),"+5",IF(OR(L205=22,L205=23),"+6",IF(OR(L205=24,L205=25),"+7",IF(OR(L205=26,L205=27),"+8",IF(OR(L205=28,L205=29),"+9",IF(L205=30,"+10"," "))))))))))))))))</f>
        <v>+1</v>
      </c>
      <c r="N205" s="3" t="n">
        <v>12</v>
      </c>
      <c r="O205" s="1" t="str">
        <f aca="false">IF(N205=1,"-5",IF(OR(N205=2,N205=3),"-4",IF(OR(N205=4,N205=5),"-3",IF(OR(N205=6,N205=7),"-2",IF(OR(N205=8,N205=9),"-1",IF(OR(N205=10,N205=11),"0",IF(OR(N205=12,N205=13),"+1",IF(OR(N205=14,N205=15),"+2",IF(OR(N205=16,N205=17),"+3",IF(OR(N205=18,N205=19),"+4",IF(OR(N205=20,N205=21),"+5",IF(OR(N205=22,N205=23),"+6",IF(OR(N205=24,N205=25),"+7",IF(OR(N205=26,N205=27),"+8",IF(OR(N205=28,N205=29),"+9",IF(N205=30,"+10"," "))))))))))))))))</f>
        <v>+1</v>
      </c>
      <c r="P205" s="3" t="n">
        <v>6</v>
      </c>
      <c r="Q205" s="1" t="str">
        <f aca="false">IF(P205=1,"-5",IF(OR(P205=2,P205=3),"-4",IF(OR(P205=4,P205=5),"-3",IF(OR(P205=6,P205=7),"-2",IF(OR(P205=8,P205=9),"-1",IF(OR(P205=10,P205=11),"0",IF(OR(P205=12,P205=13),"+1",IF(OR(P205=14,P205=15),"+2",IF(OR(P205=16,P205=17),"+3",IF(OR(P205=18,P205=19),"+4",IF(OR(P205=20,P205=21),"+5",IF(OR(P205=22,P205=23),"+6",IF(OR(P205=24,P205=25),"+7",IF(OR(P205=26,P205=27),"+8",IF(OR(P205=28,P205=29),"+9",IF(P205=30,"+10"," "))))))))))))))))</f>
        <v>-2</v>
      </c>
      <c r="R205" s="3" t="n">
        <v>10</v>
      </c>
      <c r="S205" s="1" t="str">
        <f aca="false">IF(R205=1,"-5",IF(OR(R205=2,R205=3),"-4",IF(OR(R205=4,R205=5),"-3",IF(OR(R205=6,R205=7),"-2",IF(OR(R205=8,R205=9),"-1",IF(OR(R205=10,R205=11),"0",IF(OR(R205=12,R205=13),"+1",IF(OR(R205=14,R205=15),"+2",IF(OR(R205=16,R205=17),"+3",IF(OR(R205=18,R205=19),"+4",IF(OR(R205=20,R205=21),"+5",IF(OR(R205=22,R205=23),"+6",IF(OR(R205=24,R205=25),"+7",IF(OR(R205=26,R205=27),"+8",IF(OR(R205=28,R205=29),"+9",IF(R205=30,"+10"," "))))))))))))))))</f>
        <v>0</v>
      </c>
      <c r="T205" s="3" t="n">
        <v>7</v>
      </c>
      <c r="U205" s="1" t="str">
        <f aca="false">IF(T205=1,"-5",IF(OR(T205=2,T205=3),"-4",IF(OR(T205=4,T205=5),"-3",IF(OR(T205=6,T205=7),"-2",IF(OR(T205=8,T205=9),"-1",IF(OR(T205=10,T205=11),"0",IF(OR(T205=12,T205=13),"+1",IF(OR(T205=14,T205=15),"+2",IF(OR(T205=16,T205=17),"+3",IF(OR(T205=18,T205=19),"+4",IF(OR(T205=20,T205=21),"+5",IF(OR(T205=22,T205=23),"+6",IF(OR(T205=24,T205=25),"+7",IF(OR(T205=26,T205=27),"+8",IF(OR(T205=28,T205=29),"+9",IF(T205=30,"+10"," "))))))))))))))))</f>
        <v>-2</v>
      </c>
      <c r="V205" s="3" t="s">
        <v>37</v>
      </c>
      <c r="W205" s="3" t="s">
        <v>1113</v>
      </c>
      <c r="X205" s="11" t="s">
        <v>1114</v>
      </c>
      <c r="Y205" s="11" t="s">
        <v>1115</v>
      </c>
      <c r="Z205" s="11" t="s">
        <v>37</v>
      </c>
      <c r="AA205" s="12" t="s">
        <v>37</v>
      </c>
    </row>
    <row r="206" customFormat="false" ht="16.4" hidden="false" customHeight="false" outlineLevel="0" collapsed="false">
      <c r="A206" s="15" t="s">
        <v>1116</v>
      </c>
      <c r="B206" s="3" t="s">
        <v>39</v>
      </c>
      <c r="C206" s="3" t="s">
        <v>40</v>
      </c>
      <c r="D206" s="16" t="n">
        <v>0.5</v>
      </c>
      <c r="E206" s="3" t="n">
        <f aca="false">VLOOKUP(D206,'[1]REF Tables'!$A$2:$B$40,2)</f>
        <v>100</v>
      </c>
      <c r="F206" s="3" t="s">
        <v>30</v>
      </c>
      <c r="G206" s="3" t="n">
        <v>13</v>
      </c>
      <c r="H206" s="3" t="s">
        <v>269</v>
      </c>
      <c r="I206" s="3" t="s">
        <v>42</v>
      </c>
      <c r="J206" s="3" t="n">
        <v>11</v>
      </c>
      <c r="K206" s="1" t="str">
        <f aca="false">IF(J206=1,"-5",IF(OR(J206=2,J206=3),"-4",IF(OR(J206=4,J206=5),"-3",IF(OR(J206=6,J206=7),"-2",IF(OR(J206=8,J206=9),"-1",IF(OR(J206=10,J206=11),"0",IF(OR(J206=12,J206=13),"+1",IF(OR(J206=14,J206=15),"+2",IF(OR(J206=16,J206=17),"+3",IF(OR(J206=18,J206=19),"+4",IF(OR(J206=20,J206=21),"+5",IF(OR(J206=22,J206=23),"+6",IF(OR(J206=24,J206=25),"+7",IF(OR(J206=26,J206=27),"+8",IF(OR(J206=28,J206=29),"+9",IF(J206=30,"+10"," "))))))))))))))))</f>
        <v>0</v>
      </c>
      <c r="L206" s="3" t="n">
        <v>14</v>
      </c>
      <c r="M206" s="1" t="str">
        <f aca="false">IF(L206=1,"-5",IF(OR(L206=2,L206=3),"-4",IF(OR(L206=4,L206=5),"-3",IF(OR(L206=6,L206=7),"-2",IF(OR(L206=8,L206=9),"-1",IF(OR(L206=10,L206=11),"0",IF(OR(L206=12,L206=13),"+1",IF(OR(L206=14,L206=15),"+2",IF(OR(L206=16,L206=17),"+3",IF(OR(L206=18,L206=19),"+4",IF(OR(L206=20,L206=21),"+5",IF(OR(L206=22,L206=23),"+6",IF(OR(L206=24,L206=25),"+7",IF(OR(L206=26,L206=27),"+8",IF(OR(L206=28,L206=29),"+9",IF(L206=30,"+10"," "))))))))))))))))</f>
        <v>+2</v>
      </c>
      <c r="N206" s="3" t="n">
        <v>12</v>
      </c>
      <c r="O206" s="1" t="str">
        <f aca="false">IF(N206=1,"-5",IF(OR(N206=2,N206=3),"-4",IF(OR(N206=4,N206=5),"-3",IF(OR(N206=6,N206=7),"-2",IF(OR(N206=8,N206=9),"-1",IF(OR(N206=10,N206=11),"0",IF(OR(N206=12,N206=13),"+1",IF(OR(N206=14,N206=15),"+2",IF(OR(N206=16,N206=17),"+3",IF(OR(N206=18,N206=19),"+4",IF(OR(N206=20,N206=21),"+5",IF(OR(N206=22,N206=23),"+6",IF(OR(N206=24,N206=25),"+7",IF(OR(N206=26,N206=27),"+8",IF(OR(N206=28,N206=29),"+9",IF(N206=30,"+10"," "))))))))))))))))</f>
        <v>+1</v>
      </c>
      <c r="P206" s="3" t="n">
        <v>11</v>
      </c>
      <c r="Q206" s="1" t="str">
        <f aca="false">IF(P206=1,"-5",IF(OR(P206=2,P206=3),"-4",IF(OR(P206=4,P206=5),"-3",IF(OR(P206=6,P206=7),"-2",IF(OR(P206=8,P206=9),"-1",IF(OR(P206=10,P206=11),"0",IF(OR(P206=12,P206=13),"+1",IF(OR(P206=14,P206=15),"+2",IF(OR(P206=16,P206=17),"+3",IF(OR(P206=18,P206=19),"+4",IF(OR(P206=20,P206=21),"+5",IF(OR(P206=22,P206=23),"+6",IF(OR(P206=24,P206=25),"+7",IF(OR(P206=26,P206=27),"+8",IF(OR(P206=28,P206=29),"+9",IF(P206=30,"+10"," "))))))))))))))))</f>
        <v>0</v>
      </c>
      <c r="R206" s="3" t="n">
        <v>13</v>
      </c>
      <c r="S206" s="1" t="str">
        <f aca="false">IF(R206=1,"-5",IF(OR(R206=2,R206=3),"-4",IF(OR(R206=4,R206=5),"-3",IF(OR(R206=6,R206=7),"-2",IF(OR(R206=8,R206=9),"-1",IF(OR(R206=10,R206=11),"0",IF(OR(R206=12,R206=13),"+1",IF(OR(R206=14,R206=15),"+2",IF(OR(R206=16,R206=17),"+3",IF(OR(R206=18,R206=19),"+4",IF(OR(R206=20,R206=21),"+5",IF(OR(R206=22,R206=23),"+6",IF(OR(R206=24,R206=25),"+7",IF(OR(R206=26,R206=27),"+8",IF(OR(R206=28,R206=29),"+9",IF(R206=30,"+10"," "))))))))))))))))</f>
        <v>+1</v>
      </c>
      <c r="T206" s="3" t="n">
        <v>11</v>
      </c>
      <c r="U206" s="1" t="str">
        <f aca="false">IF(T206=1,"-5",IF(OR(T206=2,T206=3),"-4",IF(OR(T206=4,T206=5),"-3",IF(OR(T206=6,T206=7),"-2",IF(OR(T206=8,T206=9),"-1",IF(OR(T206=10,T206=11),"0",IF(OR(T206=12,T206=13),"+1",IF(OR(T206=14,T206=15),"+2",IF(OR(T206=16,T206=17),"+3",IF(OR(T206=18,T206=19),"+4",IF(OR(T206=20,T206=21),"+5",IF(OR(T206=22,T206=23),"+6",IF(OR(T206=24,T206=25),"+7",IF(OR(T206=26,T206=27),"+8",IF(OR(T206=28,T206=29),"+9",IF(T206=30,"+10"," "))))))))))))))))</f>
        <v>0</v>
      </c>
      <c r="V206" s="3" t="s">
        <v>1117</v>
      </c>
      <c r="W206" s="3" t="s">
        <v>66</v>
      </c>
      <c r="X206" s="11" t="s">
        <v>1118</v>
      </c>
      <c r="Y206" s="11" t="s">
        <v>1119</v>
      </c>
      <c r="Z206" s="11" t="s">
        <v>37</v>
      </c>
      <c r="AA206" s="12" t="s">
        <v>37</v>
      </c>
    </row>
    <row r="207" customFormat="false" ht="16.4" hidden="false" customHeight="false" outlineLevel="0" collapsed="false">
      <c r="A207" s="15" t="s">
        <v>1120</v>
      </c>
      <c r="B207" s="3" t="s">
        <v>214</v>
      </c>
      <c r="C207" s="3" t="s">
        <v>49</v>
      </c>
      <c r="D207" s="16" t="n">
        <v>11</v>
      </c>
      <c r="E207" s="6" t="n">
        <f aca="false">VLOOKUP(D207,'[1]REF Tables'!$A$2:$B$40,2)</f>
        <v>7200</v>
      </c>
      <c r="F207" s="3" t="s">
        <v>50</v>
      </c>
      <c r="G207" s="3" t="n">
        <v>17</v>
      </c>
      <c r="H207" s="3" t="s">
        <v>1121</v>
      </c>
      <c r="I207" s="3" t="s">
        <v>108</v>
      </c>
      <c r="J207" s="3" t="n">
        <v>22</v>
      </c>
      <c r="K207" s="1" t="str">
        <f aca="false">IF(J207=1,"-5",IF(OR(J207=2,J207=3),"-4",IF(OR(J207=4,J207=5),"-3",IF(OR(J207=6,J207=7),"-2",IF(OR(J207=8,J207=9),"-1",IF(OR(J207=10,J207=11),"0",IF(OR(J207=12,J207=13),"+1",IF(OR(J207=14,J207=15),"+2",IF(OR(J207=16,J207=17),"+3",IF(OR(J207=18,J207=19),"+4",IF(OR(J207=20,J207=21),"+5",IF(OR(J207=22,J207=23),"+6",IF(OR(J207=24,J207=25),"+7",IF(OR(J207=26,J207=27),"+8",IF(OR(J207=28,J207=29),"+9",IF(J207=30,"+10"," "))))))))))))))))</f>
        <v>+6</v>
      </c>
      <c r="L207" s="3" t="n">
        <v>12</v>
      </c>
      <c r="M207" s="1" t="str">
        <f aca="false">IF(L207=1,"-5",IF(OR(L207=2,L207=3),"-4",IF(OR(L207=4,L207=5),"-3",IF(OR(L207=6,L207=7),"-2",IF(OR(L207=8,L207=9),"-1",IF(OR(L207=10,L207=11),"0",IF(OR(L207=12,L207=13),"+1",IF(OR(L207=14,L207=15),"+2",IF(OR(L207=16,L207=17),"+3",IF(OR(L207=18,L207=19),"+4",IF(OR(L207=20,L207=21),"+5",IF(OR(L207=22,L207=23),"+6",IF(OR(L207=24,L207=25),"+7",IF(OR(L207=26,L207=27),"+8",IF(OR(L207=28,L207=29),"+9",IF(L207=30,"+10"," "))))))))))))))))</f>
        <v>+1</v>
      </c>
      <c r="N207" s="3" t="n">
        <v>24</v>
      </c>
      <c r="O207" s="1" t="str">
        <f aca="false">IF(N207=1,"-5",IF(OR(N207=2,N207=3),"-4",IF(OR(N207=4,N207=5),"-3",IF(OR(N207=6,N207=7),"-2",IF(OR(N207=8,N207=9),"-1",IF(OR(N207=10,N207=11),"0",IF(OR(N207=12,N207=13),"+1",IF(OR(N207=14,N207=15),"+2",IF(OR(N207=16,N207=17),"+3",IF(OR(N207=18,N207=19),"+4",IF(OR(N207=20,N207=21),"+5",IF(OR(N207=22,N207=23),"+6",IF(OR(N207=24,N207=25),"+7",IF(OR(N207=26,N207=27),"+8",IF(OR(N207=28,N207=29),"+9",IF(N207=30,"+10"," "))))))))))))))))</f>
        <v>+7</v>
      </c>
      <c r="P207" s="3" t="n">
        <v>16</v>
      </c>
      <c r="Q207" s="1" t="str">
        <f aca="false">IF(P207=1,"-5",IF(OR(P207=2,P207=3),"-4",IF(OR(P207=4,P207=5),"-3",IF(OR(P207=6,P207=7),"-2",IF(OR(P207=8,P207=9),"-1",IF(OR(P207=10,P207=11),"0",IF(OR(P207=12,P207=13),"+1",IF(OR(P207=14,P207=15),"+2",IF(OR(P207=16,P207=17),"+3",IF(OR(P207=18,P207=19),"+4",IF(OR(P207=20,P207=21),"+5",IF(OR(P207=22,P207=23),"+6",IF(OR(P207=24,P207=25),"+7",IF(OR(P207=26,P207=27),"+8",IF(OR(P207=28,P207=29),"+9",IF(P207=30,"+10"," "))))))))))))))))</f>
        <v>+3</v>
      </c>
      <c r="R207" s="3" t="n">
        <v>15</v>
      </c>
      <c r="S207" s="1" t="str">
        <f aca="false">IF(R207=1,"-5",IF(OR(R207=2,R207=3),"-4",IF(OR(R207=4,R207=5),"-3",IF(OR(R207=6,R207=7),"-2",IF(OR(R207=8,R207=9),"-1",IF(OR(R207=10,R207=11),"0",IF(OR(R207=12,R207=13),"+1",IF(OR(R207=14,R207=15),"+2",IF(OR(R207=16,R207=17),"+3",IF(OR(R207=18,R207=19),"+4",IF(OR(R207=20,R207=21),"+5",IF(OR(R207=22,R207=23),"+6",IF(OR(R207=24,R207=25),"+7",IF(OR(R207=26,R207=27),"+8",IF(OR(R207=28,R207=29),"+9",IF(R207=30,"+10"," "))))))))))))))))</f>
        <v>+2</v>
      </c>
      <c r="T207" s="3" t="n">
        <v>16</v>
      </c>
      <c r="U207" s="1" t="str">
        <f aca="false">IF(T207=1,"-5",IF(OR(T207=2,T207=3),"-4",IF(OR(T207=4,T207=5),"-3",IF(OR(T207=6,T207=7),"-2",IF(OR(T207=8,T207=9),"-1",IF(OR(T207=10,T207=11),"0",IF(OR(T207=12,T207=13),"+1",IF(OR(T207=14,T207=15),"+2",IF(OR(T207=16,T207=17),"+3",IF(OR(T207=18,T207=19),"+4",IF(OR(T207=20,T207=21),"+5",IF(OR(T207=22,T207=23),"+6",IF(OR(T207=24,T207=25),"+7",IF(OR(T207=26,T207=27),"+8",IF(OR(T207=28,T207=29),"+9",IF(T207=30,"+10"," "))))))))))))))))</f>
        <v>+3</v>
      </c>
      <c r="V207" s="3" t="s">
        <v>1122</v>
      </c>
      <c r="W207" s="3" t="s">
        <v>1123</v>
      </c>
      <c r="X207" s="11" t="s">
        <v>1124</v>
      </c>
      <c r="Y207" s="11" t="s">
        <v>1125</v>
      </c>
      <c r="Z207" s="11" t="s">
        <v>37</v>
      </c>
      <c r="AA207" s="12" t="s">
        <v>37</v>
      </c>
    </row>
    <row r="208" customFormat="false" ht="16.4" hidden="false" customHeight="false" outlineLevel="0" collapsed="false">
      <c r="A208" s="7" t="s">
        <v>1126</v>
      </c>
      <c r="B208" s="1" t="s">
        <v>77</v>
      </c>
      <c r="C208" s="1" t="s">
        <v>40</v>
      </c>
      <c r="D208" s="8" t="n">
        <v>12</v>
      </c>
      <c r="E208" s="9" t="n">
        <f aca="false">VLOOKUP(D208,'[1]REF Tables'!$A$2:$B$40,2)</f>
        <v>8400</v>
      </c>
      <c r="F208" s="1" t="s">
        <v>30</v>
      </c>
      <c r="G208" s="10" t="n">
        <v>9</v>
      </c>
      <c r="H208" s="1" t="s">
        <v>1127</v>
      </c>
      <c r="I208" s="1" t="s">
        <v>1128</v>
      </c>
      <c r="J208" s="10" t="n">
        <v>7</v>
      </c>
      <c r="K208" s="1" t="str">
        <f aca="false">IF(J208=1,"-5",IF(OR(J208=2,J208=3),"-4",IF(OR(J208=4,J208=5),"-3",IF(OR(J208=6,J208=7),"-2",IF(OR(J208=8,J208=9),"-1",IF(OR(J208=10,J208=11),"0",IF(OR(J208=12,J208=13),"+1",IF(OR(J208=14,J208=15),"+2",IF(OR(J208=16,J208=17),"+3",IF(OR(J208=18,J208=19),"+4",IF(OR(J208=20,J208=21),"+5",IF(OR(J208=22,J208=23),"+6",IF(OR(J208=24,J208=25),"+7",IF(OR(J208=26,J208=27),"+8",IF(OR(J208=28,J208=29),"+9",IF(J208=30,"+10"," "))))))))))))))))</f>
        <v>-2</v>
      </c>
      <c r="L208" s="10" t="n">
        <v>8</v>
      </c>
      <c r="M208" s="1" t="str">
        <f aca="false">IF(L208=1,"-5",IF(OR(L208=2,L208=3),"-4",IF(OR(L208=4,L208=5),"-3",IF(OR(L208=6,L208=7),"-2",IF(OR(L208=8,L208=9),"-1",IF(OR(L208=10,L208=11),"0",IF(OR(L208=12,L208=13),"+1",IF(OR(L208=14,L208=15),"+2",IF(OR(L208=16,L208=17),"+3",IF(OR(L208=18,L208=19),"+4",IF(OR(L208=20,L208=21),"+5",IF(OR(L208=22,L208=23),"+6",IF(OR(L208=24,L208=25),"+7",IF(OR(L208=26,L208=27),"+8",IF(OR(L208=28,L208=29),"+9",IF(L208=30,"+10"," "))))))))))))))))</f>
        <v>-1</v>
      </c>
      <c r="N208" s="10" t="n">
        <v>9</v>
      </c>
      <c r="O208" s="1" t="str">
        <f aca="false">IF(N208=1,"-5",IF(OR(N208=2,N208=3),"-4",IF(OR(N208=4,N208=5),"-3",IF(OR(N208=6,N208=7),"-2",IF(OR(N208=8,N208=9),"-1",IF(OR(N208=10,N208=11),"0",IF(OR(N208=12,N208=13),"+1",IF(OR(N208=14,N208=15),"+2",IF(OR(N208=16,N208=17),"+3",IF(OR(N208=18,N208=19),"+4",IF(OR(N208=20,N208=21),"+5",IF(OR(N208=22,N208=23),"+6",IF(OR(N208=24,N208=25),"+7",IF(OR(N208=26,N208=27),"+8",IF(OR(N208=28,N208=29),"+9",IF(N208=30,"+10"," "))))))))))))))))</f>
        <v>-1</v>
      </c>
      <c r="P208" s="10" t="n">
        <v>14</v>
      </c>
      <c r="Q208" s="1" t="str">
        <f aca="false">IF(P208=1,"-5",IF(OR(P208=2,P208=3),"-4",IF(OR(P208=4,P208=5),"-3",IF(OR(P208=6,P208=7),"-2",IF(OR(P208=8,P208=9),"-1",IF(OR(P208=10,P208=11),"0",IF(OR(P208=12,P208=13),"+1",IF(OR(P208=14,P208=15),"+2",IF(OR(P208=16,P208=17),"+3",IF(OR(P208=18,P208=19),"+4",IF(OR(P208=20,P208=21),"+5",IF(OR(P208=22,P208=23),"+6",IF(OR(P208=24,P208=25),"+7",IF(OR(P208=26,P208=27),"+8",IF(OR(P208=28,P208=29),"+9",IF(P208=30,"+10"," "))))))))))))))))</f>
        <v>+2</v>
      </c>
      <c r="R208" s="10" t="n">
        <v>19</v>
      </c>
      <c r="S208" s="1" t="str">
        <f aca="false">IF(R208=1,"-5",IF(OR(R208=2,R208=3),"-4",IF(OR(R208=4,R208=5),"-3",IF(OR(R208=6,R208=7),"-2",IF(OR(R208=8,R208=9),"-1",IF(OR(R208=10,R208=11),"0",IF(OR(R208=12,R208=13),"+1",IF(OR(R208=14,R208=15),"+2",IF(OR(R208=16,R208=17),"+3",IF(OR(R208=18,R208=19),"+4",IF(OR(R208=20,R208=21),"+5",IF(OR(R208=22,R208=23),"+6",IF(OR(R208=24,R208=25),"+7",IF(OR(R208=26,R208=27),"+8",IF(OR(R208=28,R208=29),"+9",IF(R208=30,"+10"," "))))))))))))))))</f>
        <v>+4</v>
      </c>
      <c r="T208" s="10" t="n">
        <v>16</v>
      </c>
      <c r="U208" s="1" t="str">
        <f aca="false">IF(T208=1,"-5",IF(OR(T208=2,T208=3),"-4",IF(OR(T208=4,T208=5),"-3",IF(OR(T208=6,T208=7),"-2",IF(OR(T208=8,T208=9),"-1",IF(OR(T208=10,T208=11),"0",IF(OR(T208=12,T208=13),"+1",IF(OR(T208=14,T208=15),"+2",IF(OR(T208=16,T208=17),"+3",IF(OR(T208=18,T208=19),"+4",IF(OR(T208=20,T208=21),"+5",IF(OR(T208=22,T208=23),"+6",IF(OR(T208=24,T208=25),"+7",IF(OR(T208=26,T208=27),"+8",IF(OR(T208=28,T208=29),"+9",IF(T208=30,"+10"," "))))))))))))))))</f>
        <v>+3</v>
      </c>
      <c r="V208" s="1" t="s">
        <v>1129</v>
      </c>
      <c r="W208" s="1" t="s">
        <v>1130</v>
      </c>
      <c r="X208" s="11" t="s">
        <v>1131</v>
      </c>
      <c r="Y208" s="11" t="s">
        <v>1132</v>
      </c>
      <c r="Z208" s="11" t="s">
        <v>37</v>
      </c>
      <c r="AA208" s="12" t="s">
        <v>37</v>
      </c>
      <c r="AB208" s="1"/>
      <c r="AC208" s="1"/>
      <c r="AD208" s="1"/>
      <c r="AE208" s="1"/>
      <c r="AF208" s="1"/>
    </row>
    <row r="209" customFormat="false" ht="16.4" hidden="false" customHeight="false" outlineLevel="0" collapsed="false">
      <c r="A209" s="15" t="s">
        <v>1133</v>
      </c>
      <c r="B209" s="3" t="s">
        <v>59</v>
      </c>
      <c r="C209" s="3" t="s">
        <v>37</v>
      </c>
      <c r="D209" s="16" t="n">
        <v>0.25</v>
      </c>
      <c r="E209" s="3" t="n">
        <f aca="false">VLOOKUP(D209,'[1]REF Tables'!$A$2:$B$40,2)</f>
        <v>50</v>
      </c>
      <c r="F209" s="3" t="s">
        <v>50</v>
      </c>
      <c r="G209" s="3" t="n">
        <v>10</v>
      </c>
      <c r="H209" s="3" t="s">
        <v>455</v>
      </c>
      <c r="I209" s="3" t="s">
        <v>210</v>
      </c>
      <c r="J209" s="3" t="n">
        <v>16</v>
      </c>
      <c r="K209" s="1" t="str">
        <f aca="false">IF(J209=1,"-5",IF(OR(J209=2,J209=3),"-4",IF(OR(J209=4,J209=5),"-3",IF(OR(J209=6,J209=7),"-2",IF(OR(J209=8,J209=9),"-1",IF(OR(J209=10,J209=11),"0",IF(OR(J209=12,J209=13),"+1",IF(OR(J209=14,J209=15),"+2",IF(OR(J209=16,J209=17),"+3",IF(OR(J209=18,J209=19),"+4",IF(OR(J209=20,J209=21),"+5",IF(OR(J209=22,J209=23),"+6",IF(OR(J209=24,J209=25),"+7",IF(OR(J209=26,J209=27),"+8",IF(OR(J209=28,J209=29),"+9",IF(J209=30,"+10"," "))))))))))))))))</f>
        <v>+3</v>
      </c>
      <c r="L209" s="3" t="n">
        <v>10</v>
      </c>
      <c r="M209" s="1" t="str">
        <f aca="false">IF(L209=1,"-5",IF(OR(L209=2,L209=3),"-4",IF(OR(L209=4,L209=5),"-3",IF(OR(L209=6,L209=7),"-2",IF(OR(L209=8,L209=9),"-1",IF(OR(L209=10,L209=11),"0",IF(OR(L209=12,L209=13),"+1",IF(OR(L209=14,L209=15),"+2",IF(OR(L209=16,L209=17),"+3",IF(OR(L209=18,L209=19),"+4",IF(OR(L209=20,L209=21),"+5",IF(OR(L209=22,L209=23),"+6",IF(OR(L209=24,L209=25),"+7",IF(OR(L209=26,L209=27),"+8",IF(OR(L209=28,L209=29),"+9",IF(L209=30,"+10"," "))))))))))))))))</f>
        <v>0</v>
      </c>
      <c r="N209" s="3" t="n">
        <v>12</v>
      </c>
      <c r="O209" s="1" t="str">
        <f aca="false">IF(N209=1,"-5",IF(OR(N209=2,N209=3),"-4",IF(OR(N209=4,N209=5),"-3",IF(OR(N209=6,N209=7),"-2",IF(OR(N209=8,N209=9),"-1",IF(OR(N209=10,N209=11),"0",IF(OR(N209=12,N209=13),"+1",IF(OR(N209=14,N209=15),"+2",IF(OR(N209=16,N209=17),"+3",IF(OR(N209=18,N209=19),"+4",IF(OR(N209=20,N209=21),"+5",IF(OR(N209=22,N209=23),"+6",IF(OR(N209=24,N209=25),"+7",IF(OR(N209=26,N209=27),"+8",IF(OR(N209=28,N209=29),"+9",IF(N209=30,"+10"," "))))))))))))))))</f>
        <v>+1</v>
      </c>
      <c r="P209" s="3" t="n">
        <v>2</v>
      </c>
      <c r="Q209" s="1" t="str">
        <f aca="false">IF(P209=1,"-5",IF(OR(P209=2,P209=3),"-4",IF(OR(P209=4,P209=5),"-3",IF(OR(P209=6,P209=7),"-2",IF(OR(P209=8,P209=9),"-1",IF(OR(P209=10,P209=11),"0",IF(OR(P209=12,P209=13),"+1",IF(OR(P209=14,P209=15),"+2",IF(OR(P209=16,P209=17),"+3",IF(OR(P209=18,P209=19),"+4",IF(OR(P209=20,P209=21),"+5",IF(OR(P209=22,P209=23),"+6",IF(OR(P209=24,P209=25),"+7",IF(OR(P209=26,P209=27),"+8",IF(OR(P209=28,P209=29),"+9",IF(P209=30,"+10"," "))))))))))))))))</f>
        <v>-4</v>
      </c>
      <c r="R209" s="3" t="n">
        <v>10</v>
      </c>
      <c r="S209" s="1" t="str">
        <f aca="false">IF(R209=1,"-5",IF(OR(R209=2,R209=3),"-4",IF(OR(R209=4,R209=5),"-3",IF(OR(R209=6,R209=7),"-2",IF(OR(R209=8,R209=9),"-1",IF(OR(R209=10,R209=11),"0",IF(OR(R209=12,R209=13),"+1",IF(OR(R209=14,R209=15),"+2",IF(OR(R209=16,R209=17),"+3",IF(OR(R209=18,R209=19),"+4",IF(OR(R209=20,R209=21),"+5",IF(OR(R209=22,R209=23),"+6",IF(OR(R209=24,R209=25),"+7",IF(OR(R209=26,R209=27),"+8",IF(OR(R209=28,R209=29),"+9",IF(R209=30,"+10"," "))))))))))))))))</f>
        <v>0</v>
      </c>
      <c r="T209" s="3" t="n">
        <v>6</v>
      </c>
      <c r="U209" s="1" t="str">
        <f aca="false">IF(T209=1,"-5",IF(OR(T209=2,T209=3),"-4",IF(OR(T209=4,T209=5),"-3",IF(OR(T209=6,T209=7),"-2",IF(OR(T209=8,T209=9),"-1",IF(OR(T209=10,T209=11),"0",IF(OR(T209=12,T209=13),"+1",IF(OR(T209=14,T209=15),"+2",IF(OR(T209=16,T209=17),"+3",IF(OR(T209=18,T209=19),"+4",IF(OR(T209=20,T209=21),"+5",IF(OR(T209=22,T209=23),"+6",IF(OR(T209=24,T209=25),"+7",IF(OR(T209=26,T209=27),"+8",IF(OR(T209=28,T209=29),"+9",IF(T209=30,"+10"," "))))))))))))))))</f>
        <v>-2</v>
      </c>
      <c r="V209" s="3" t="s">
        <v>37</v>
      </c>
      <c r="W209" s="3" t="s">
        <v>37</v>
      </c>
      <c r="X209" s="11" t="s">
        <v>1134</v>
      </c>
      <c r="Y209" s="11" t="s">
        <v>1135</v>
      </c>
      <c r="Z209" s="11" t="s">
        <v>37</v>
      </c>
      <c r="AA209" s="12" t="s">
        <v>37</v>
      </c>
    </row>
    <row r="210" customFormat="false" ht="16.4" hidden="false" customHeight="false" outlineLevel="0" collapsed="false">
      <c r="A210" s="15" t="s">
        <v>1136</v>
      </c>
      <c r="B210" s="3" t="s">
        <v>59</v>
      </c>
      <c r="C210" s="3" t="s">
        <v>37</v>
      </c>
      <c r="D210" s="16" t="n">
        <v>2</v>
      </c>
      <c r="E210" s="3" t="n">
        <f aca="false">VLOOKUP(D210,'[1]REF Tables'!$A$2:$B$40,2)</f>
        <v>450</v>
      </c>
      <c r="F210" s="3" t="s">
        <v>121</v>
      </c>
      <c r="G210" s="3" t="n">
        <v>14</v>
      </c>
      <c r="H210" s="3" t="s">
        <v>1137</v>
      </c>
      <c r="I210" s="3" t="s">
        <v>94</v>
      </c>
      <c r="J210" s="3" t="n">
        <v>19</v>
      </c>
      <c r="K210" s="1" t="str">
        <f aca="false">IF(J210=1,"-5",IF(OR(J210=2,J210=3),"-4",IF(OR(J210=4,J210=5),"-3",IF(OR(J210=6,J210=7),"-2",IF(OR(J210=8,J210=9),"-1",IF(OR(J210=10,J210=11),"0",IF(OR(J210=12,J210=13),"+1",IF(OR(J210=14,J210=15),"+2",IF(OR(J210=16,J210=17),"+3",IF(OR(J210=18,J210=19),"+4",IF(OR(J210=20,J210=21),"+5",IF(OR(J210=22,J210=23),"+6",IF(OR(J210=24,J210=25),"+7",IF(OR(J210=26,J210=27),"+8",IF(OR(J210=28,J210=29),"+9",IF(J210=30,"+10"," "))))))))))))))))</f>
        <v>+4</v>
      </c>
      <c r="L210" s="3" t="n">
        <v>16</v>
      </c>
      <c r="M210" s="1" t="str">
        <f aca="false">IF(L210=1,"-5",IF(OR(L210=2,L210=3),"-4",IF(OR(L210=4,L210=5),"-3",IF(OR(L210=6,L210=7),"-2",IF(OR(L210=8,L210=9),"-1",IF(OR(L210=10,L210=11),"0",IF(OR(L210=12,L210=13),"+1",IF(OR(L210=14,L210=15),"+2",IF(OR(L210=16,L210=17),"+3",IF(OR(L210=18,L210=19),"+4",IF(OR(L210=20,L210=21),"+5",IF(OR(L210=22,L210=23),"+6",IF(OR(L210=24,L210=25),"+7",IF(OR(L210=26,L210=27),"+8",IF(OR(L210=28,L210=29),"+9",IF(L210=30,"+10"," "))))))))))))))))</f>
        <v>+3</v>
      </c>
      <c r="N210" s="3" t="n">
        <v>14</v>
      </c>
      <c r="O210" s="1" t="str">
        <f aca="false">IF(N210=1,"-5",IF(OR(N210=2,N210=3),"-4",IF(OR(N210=4,N210=5),"-3",IF(OR(N210=6,N210=7),"-2",IF(OR(N210=8,N210=9),"-1",IF(OR(N210=10,N210=11),"0",IF(OR(N210=12,N210=13),"+1",IF(OR(N210=14,N210=15),"+2",IF(OR(N210=16,N210=17),"+3",IF(OR(N210=18,N210=19),"+4",IF(OR(N210=20,N210=21),"+5",IF(OR(N210=22,N210=23),"+6",IF(OR(N210=24,N210=25),"+7",IF(OR(N210=26,N210=27),"+8",IF(OR(N210=28,N210=29),"+9",IF(N210=30,"+10"," "))))))))))))))))</f>
        <v>+2</v>
      </c>
      <c r="P210" s="3" t="n">
        <v>7</v>
      </c>
      <c r="Q210" s="1" t="str">
        <f aca="false">IF(P210=1,"-5",IF(OR(P210=2,P210=3),"-4",IF(OR(P210=4,P210=5),"-3",IF(OR(P210=6,P210=7),"-2",IF(OR(P210=8,P210=9),"-1",IF(OR(P210=10,P210=11),"0",IF(OR(P210=12,P210=13),"+1",IF(OR(P210=14,P210=15),"+2",IF(OR(P210=16,P210=17),"+3",IF(OR(P210=18,P210=19),"+4",IF(OR(P210=20,P210=21),"+5",IF(OR(P210=22,P210=23),"+6",IF(OR(P210=24,P210=25),"+7",IF(OR(P210=26,P210=27),"+8",IF(OR(P210=28,P210=29),"+9",IF(P210=30,"+10"," "))))))))))))))))</f>
        <v>-2</v>
      </c>
      <c r="R210" s="3" t="n">
        <v>14</v>
      </c>
      <c r="S210" s="1" t="str">
        <f aca="false">IF(R210=1,"-5",IF(OR(R210=2,R210=3),"-4",IF(OR(R210=4,R210=5),"-3",IF(OR(R210=6,R210=7),"-2",IF(OR(R210=8,R210=9),"-1",IF(OR(R210=10,R210=11),"0",IF(OR(R210=12,R210=13),"+1",IF(OR(R210=14,R210=15),"+2",IF(OR(R210=16,R210=17),"+3",IF(OR(R210=18,R210=19),"+4",IF(OR(R210=20,R210=21),"+5",IF(OR(R210=22,R210=23),"+6",IF(OR(R210=24,R210=25),"+7",IF(OR(R210=26,R210=27),"+8",IF(OR(R210=28,R210=29),"+9",IF(R210=30,"+10"," "))))))))))))))))</f>
        <v>+2</v>
      </c>
      <c r="T210" s="3" t="n">
        <v>10</v>
      </c>
      <c r="U210" s="1" t="str">
        <f aca="false">IF(T210=1,"-5",IF(OR(T210=2,T210=3),"-4",IF(OR(T210=4,T210=5),"-3",IF(OR(T210=6,T210=7),"-2",IF(OR(T210=8,T210=9),"-1",IF(OR(T210=10,T210=11),"0",IF(OR(T210=12,T210=13),"+1",IF(OR(T210=14,T210=15),"+2",IF(OR(T210=16,T210=17),"+3",IF(OR(T210=18,T210=19),"+4",IF(OR(T210=20,T210=21),"+5",IF(OR(T210=22,T210=23),"+6",IF(OR(T210=24,T210=25),"+7",IF(OR(T210=26,T210=27),"+8",IF(OR(T210=28,T210=29),"+9",IF(T210=30,"+10"," "))))))))))))))))</f>
        <v>0</v>
      </c>
      <c r="V210" s="3" t="s">
        <v>72</v>
      </c>
      <c r="W210" s="3" t="s">
        <v>494</v>
      </c>
      <c r="X210" s="11" t="s">
        <v>1138</v>
      </c>
      <c r="Y210" s="11" t="s">
        <v>1139</v>
      </c>
      <c r="Z210" s="11" t="s">
        <v>37</v>
      </c>
      <c r="AA210" s="12" t="s">
        <v>37</v>
      </c>
    </row>
    <row r="211" customFormat="false" ht="16.4" hidden="false" customHeight="false" outlineLevel="0" collapsed="false">
      <c r="A211" s="15" t="s">
        <v>1140</v>
      </c>
      <c r="B211" s="3" t="s">
        <v>214</v>
      </c>
      <c r="C211" s="3" t="s">
        <v>230</v>
      </c>
      <c r="D211" s="16" t="n">
        <v>5</v>
      </c>
      <c r="E211" s="6" t="n">
        <f aca="false">VLOOKUP(D211,'[1]REF Tables'!$A$2:$B$40,2)</f>
        <v>1800</v>
      </c>
      <c r="F211" s="3" t="s">
        <v>50</v>
      </c>
      <c r="G211" s="3" t="n">
        <v>13</v>
      </c>
      <c r="H211" s="3" t="s">
        <v>1141</v>
      </c>
      <c r="I211" s="3" t="s">
        <v>210</v>
      </c>
      <c r="J211" s="3" t="n">
        <v>10</v>
      </c>
      <c r="K211" s="1" t="str">
        <f aca="false">IF(J211=1,"-5",IF(OR(J211=2,J211=3),"-4",IF(OR(J211=4,J211=5),"-3",IF(OR(J211=6,J211=7),"-2",IF(OR(J211=8,J211=9),"-1",IF(OR(J211=10,J211=11),"0",IF(OR(J211=12,J211=13),"+1",IF(OR(J211=14,J211=15),"+2",IF(OR(J211=16,J211=17),"+3",IF(OR(J211=18,J211=19),"+4",IF(OR(J211=20,J211=21),"+5",IF(OR(J211=22,J211=23),"+6",IF(OR(J211=24,J211=25),"+7",IF(OR(J211=26,J211=27),"+8",IF(OR(J211=28,J211=29),"+9",IF(J211=30,"+10"," "))))))))))))))))</f>
        <v>0</v>
      </c>
      <c r="L211" s="3" t="n">
        <v>17</v>
      </c>
      <c r="M211" s="1" t="str">
        <f aca="false">IF(L211=1,"-5",IF(OR(L211=2,L211=3),"-4",IF(OR(L211=4,L211=5),"-3",IF(OR(L211=6,L211=7),"-2",IF(OR(L211=8,L211=9),"-1",IF(OR(L211=10,L211=11),"0",IF(OR(L211=12,L211=13),"+1",IF(OR(L211=14,L211=15),"+2",IF(OR(L211=16,L211=17),"+3",IF(OR(L211=18,L211=19),"+4",IF(OR(L211=20,L211=21),"+5",IF(OR(L211=22,L211=23),"+6",IF(OR(L211=24,L211=25),"+7",IF(OR(L211=26,L211=27),"+8",IF(OR(L211=28,L211=29),"+9",IF(L211=30,"+10"," "))))))))))))))))</f>
        <v>+3</v>
      </c>
      <c r="N211" s="3" t="n">
        <v>16</v>
      </c>
      <c r="O211" s="1" t="str">
        <f aca="false">IF(N211=1,"-5",IF(OR(N211=2,N211=3),"-4",IF(OR(N211=4,N211=5),"-3",IF(OR(N211=6,N211=7),"-2",IF(OR(N211=8,N211=9),"-1",IF(OR(N211=10,N211=11),"0",IF(OR(N211=12,N211=13),"+1",IF(OR(N211=14,N211=15),"+2",IF(OR(N211=16,N211=17),"+3",IF(OR(N211=18,N211=19),"+4",IF(OR(N211=20,N211=21),"+5",IF(OR(N211=22,N211=23),"+6",IF(OR(N211=24,N211=25),"+7",IF(OR(N211=26,N211=27),"+8",IF(OR(N211=28,N211=29),"+9",IF(N211=30,"+10"," "))))))))))))))))</f>
        <v>+3</v>
      </c>
      <c r="P211" s="3" t="n">
        <v>6</v>
      </c>
      <c r="Q211" s="1" t="str">
        <f aca="false">IF(P211=1,"-5",IF(OR(P211=2,P211=3),"-4",IF(OR(P211=4,P211=5),"-3",IF(OR(P211=6,P211=7),"-2",IF(OR(P211=8,P211=9),"-1",IF(OR(P211=10,P211=11),"0",IF(OR(P211=12,P211=13),"+1",IF(OR(P211=14,P211=15),"+2",IF(OR(P211=16,P211=17),"+3",IF(OR(P211=18,P211=19),"+4",IF(OR(P211=20,P211=21),"+5",IF(OR(P211=22,P211=23),"+6",IF(OR(P211=24,P211=25),"+7",IF(OR(P211=26,P211=27),"+8",IF(OR(P211=28,P211=29),"+9",IF(P211=30,"+10"," "))))))))))))))))</f>
        <v>-2</v>
      </c>
      <c r="R211" s="3" t="n">
        <v>10</v>
      </c>
      <c r="S211" s="1" t="str">
        <f aca="false">IF(R211=1,"-5",IF(OR(R211=2,R211=3),"-4",IF(OR(R211=4,R211=5),"-3",IF(OR(R211=6,R211=7),"-2",IF(OR(R211=8,R211=9),"-1",IF(OR(R211=10,R211=11),"0",IF(OR(R211=12,R211=13),"+1",IF(OR(R211=14,R211=15),"+2",IF(OR(R211=16,R211=17),"+3",IF(OR(R211=18,R211=19),"+4",IF(OR(R211=20,R211=21),"+5",IF(OR(R211=22,R211=23),"+6",IF(OR(R211=24,R211=25),"+7",IF(OR(R211=26,R211=27),"+8",IF(OR(R211=28,R211=29),"+9",IF(R211=30,"+10"," "))))))))))))))))</f>
        <v>0</v>
      </c>
      <c r="T211" s="3" t="n">
        <v>7</v>
      </c>
      <c r="U211" s="1" t="str">
        <f aca="false">IF(T211=1,"-5",IF(OR(T211=2,T211=3),"-4",IF(OR(T211=4,T211=5),"-3",IF(OR(T211=6,T211=7),"-2",IF(OR(T211=8,T211=9),"-1",IF(OR(T211=10,T211=11),"0",IF(OR(T211=12,T211=13),"+1",IF(OR(T211=14,T211=15),"+2",IF(OR(T211=16,T211=17),"+3",IF(OR(T211=18,T211=19),"+4",IF(OR(T211=20,T211=21),"+5",IF(OR(T211=22,T211=23),"+6",IF(OR(T211=24,T211=25),"+7",IF(OR(T211=26,T211=27),"+8",IF(OR(T211=28,T211=29),"+9",IF(T211=30,"+10"," "))))))))))))))))</f>
        <v>-2</v>
      </c>
      <c r="V211" s="3" t="s">
        <v>37</v>
      </c>
      <c r="W211" s="3" t="s">
        <v>1123</v>
      </c>
      <c r="X211" s="11" t="s">
        <v>1142</v>
      </c>
      <c r="Y211" s="11" t="s">
        <v>1143</v>
      </c>
      <c r="Z211" s="11" t="s">
        <v>37</v>
      </c>
      <c r="AA211" s="12" t="s">
        <v>37</v>
      </c>
    </row>
    <row r="212" customFormat="false" ht="16.4" hidden="false" customHeight="false" outlineLevel="0" collapsed="false">
      <c r="A212" s="15" t="s">
        <v>1144</v>
      </c>
      <c r="B212" s="3" t="s">
        <v>214</v>
      </c>
      <c r="C212" s="3" t="s">
        <v>230</v>
      </c>
      <c r="D212" s="16" t="n">
        <v>5</v>
      </c>
      <c r="E212" s="6" t="n">
        <f aca="false">VLOOKUP(D212,'[1]REF Tables'!$A$2:$B$40,2)</f>
        <v>1800</v>
      </c>
      <c r="F212" s="3" t="s">
        <v>50</v>
      </c>
      <c r="G212" s="3" t="n">
        <v>17</v>
      </c>
      <c r="H212" s="3" t="s">
        <v>1145</v>
      </c>
      <c r="I212" s="3" t="s">
        <v>1146</v>
      </c>
      <c r="J212" s="3" t="n">
        <v>20</v>
      </c>
      <c r="K212" s="1" t="str">
        <f aca="false">IF(J212=1,"-5",IF(OR(J212=2,J212=3),"-4",IF(OR(J212=4,J212=5),"-3",IF(OR(J212=6,J212=7),"-2",IF(OR(J212=8,J212=9),"-1",IF(OR(J212=10,J212=11),"0",IF(OR(J212=12,J212=13),"+1",IF(OR(J212=14,J212=15),"+2",IF(OR(J212=16,J212=17),"+3",IF(OR(J212=18,J212=19),"+4",IF(OR(J212=20,J212=21),"+5",IF(OR(J212=22,J212=23),"+6",IF(OR(J212=24,J212=25),"+7",IF(OR(J212=26,J212=27),"+8",IF(OR(J212=28,J212=29),"+9",IF(J212=30,"+10"," "))))))))))))))))</f>
        <v>+5</v>
      </c>
      <c r="L212" s="3" t="n">
        <v>8</v>
      </c>
      <c r="M212" s="1" t="str">
        <f aca="false">IF(L212=1,"-5",IF(OR(L212=2,L212=3),"-4",IF(OR(L212=4,L212=5),"-3",IF(OR(L212=6,L212=7),"-2",IF(OR(L212=8,L212=9),"-1",IF(OR(L212=10,L212=11),"0",IF(OR(L212=12,L212=13),"+1",IF(OR(L212=14,L212=15),"+2",IF(OR(L212=16,L212=17),"+3",IF(OR(L212=18,L212=19),"+4",IF(OR(L212=20,L212=21),"+5",IF(OR(L212=22,L212=23),"+6",IF(OR(L212=24,L212=25),"+7",IF(OR(L212=26,L212=27),"+8",IF(OR(L212=28,L212=29),"+9",IF(L212=30,"+10"," "))))))))))))))))</f>
        <v>-1</v>
      </c>
      <c r="N212" s="3" t="n">
        <v>20</v>
      </c>
      <c r="O212" s="1" t="str">
        <f aca="false">IF(N212=1,"-5",IF(OR(N212=2,N212=3),"-4",IF(OR(N212=4,N212=5),"-3",IF(OR(N212=6,N212=7),"-2",IF(OR(N212=8,N212=9),"-1",IF(OR(N212=10,N212=11),"0",IF(OR(N212=12,N212=13),"+1",IF(OR(N212=14,N212=15),"+2",IF(OR(N212=16,N212=17),"+3",IF(OR(N212=18,N212=19),"+4",IF(OR(N212=20,N212=21),"+5",IF(OR(N212=22,N212=23),"+6",IF(OR(N212=24,N212=25),"+7",IF(OR(N212=26,N212=27),"+8",IF(OR(N212=28,N212=29),"+9",IF(N212=30,"+10"," "))))))))))))))))</f>
        <v>+5</v>
      </c>
      <c r="P212" s="3" t="n">
        <v>5</v>
      </c>
      <c r="Q212" s="1" t="str">
        <f aca="false">IF(P212=1,"-5",IF(OR(P212=2,P212=3),"-4",IF(OR(P212=4,P212=5),"-3",IF(OR(P212=6,P212=7),"-2",IF(OR(P212=8,P212=9),"-1",IF(OR(P212=10,P212=11),"0",IF(OR(P212=12,P212=13),"+1",IF(OR(P212=14,P212=15),"+2",IF(OR(P212=16,P212=17),"+3",IF(OR(P212=18,P212=19),"+4",IF(OR(P212=20,P212=21),"+5",IF(OR(P212=22,P212=23),"+6",IF(OR(P212=24,P212=25),"+7",IF(OR(P212=26,P212=27),"+8",IF(OR(P212=28,P212=29),"+9",IF(P212=30,"+10"," "))))))))))))))))</f>
        <v>-3</v>
      </c>
      <c r="R212" s="3" t="n">
        <v>10</v>
      </c>
      <c r="S212" s="1" t="str">
        <f aca="false">IF(R212=1,"-5",IF(OR(R212=2,R212=3),"-4",IF(OR(R212=4,R212=5),"-3",IF(OR(R212=6,R212=7),"-2",IF(OR(R212=8,R212=9),"-1",IF(OR(R212=10,R212=11),"0",IF(OR(R212=12,R212=13),"+1",IF(OR(R212=14,R212=15),"+2",IF(OR(R212=16,R212=17),"+3",IF(OR(R212=18,R212=19),"+4",IF(OR(R212=20,R212=21),"+5",IF(OR(R212=22,R212=23),"+6",IF(OR(R212=24,R212=25),"+7",IF(OR(R212=26,R212=27),"+8",IF(OR(R212=28,R212=29),"+9",IF(R212=30,"+10"," "))))))))))))))))</f>
        <v>0</v>
      </c>
      <c r="T212" s="3" t="n">
        <v>5</v>
      </c>
      <c r="U212" s="1" t="str">
        <f aca="false">IF(T212=1,"-5",IF(OR(T212=2,T212=3),"-4",IF(OR(T212=4,T212=5),"-3",IF(OR(T212=6,T212=7),"-2",IF(OR(T212=8,T212=9),"-1",IF(OR(T212=10,T212=11),"0",IF(OR(T212=12,T212=13),"+1",IF(OR(T212=14,T212=15),"+2",IF(OR(T212=16,T212=17),"+3",IF(OR(T212=18,T212=19),"+4",IF(OR(T212=20,T212=21),"+5",IF(OR(T212=22,T212=23),"+6",IF(OR(T212=24,T212=25),"+7",IF(OR(T212=26,T212=27),"+8",IF(OR(T212=28,T212=29),"+9",IF(T212=30,"+10"," "))))))))))))))))</f>
        <v>-3</v>
      </c>
      <c r="V212" s="3" t="s">
        <v>37</v>
      </c>
      <c r="W212" s="3" t="s">
        <v>623</v>
      </c>
      <c r="X212" s="11" t="s">
        <v>1147</v>
      </c>
      <c r="Y212" s="11" t="s">
        <v>1148</v>
      </c>
      <c r="Z212" s="11" t="s">
        <v>37</v>
      </c>
      <c r="AA212" s="12" t="s">
        <v>37</v>
      </c>
    </row>
    <row r="213" customFormat="false" ht="16.4" hidden="false" customHeight="false" outlineLevel="0" collapsed="false">
      <c r="A213" s="15" t="s">
        <v>1149</v>
      </c>
      <c r="B213" s="3" t="s">
        <v>214</v>
      </c>
      <c r="C213" s="3" t="s">
        <v>230</v>
      </c>
      <c r="D213" s="16" t="n">
        <v>5</v>
      </c>
      <c r="E213" s="6" t="n">
        <f aca="false">VLOOKUP(D213,'[1]REF Tables'!$A$2:$B$40,2)</f>
        <v>1800</v>
      </c>
      <c r="F213" s="3" t="s">
        <v>50</v>
      </c>
      <c r="G213" s="3" t="n">
        <v>15</v>
      </c>
      <c r="H213" s="3" t="s">
        <v>288</v>
      </c>
      <c r="I213" s="3" t="s">
        <v>1150</v>
      </c>
      <c r="J213" s="3" t="n">
        <v>14</v>
      </c>
      <c r="K213" s="1" t="str">
        <f aca="false">IF(J213=1,"-5",IF(OR(J213=2,J213=3),"-4",IF(OR(J213=4,J213=5),"-3",IF(OR(J213=6,J213=7),"-2",IF(OR(J213=8,J213=9),"-1",IF(OR(J213=10,J213=11),"0",IF(OR(J213=12,J213=13),"+1",IF(OR(J213=14,J213=15),"+2",IF(OR(J213=16,J213=17),"+3",IF(OR(J213=18,J213=19),"+4",IF(OR(J213=20,J213=21),"+5",IF(OR(J213=22,J213=23),"+6",IF(OR(J213=24,J213=25),"+7",IF(OR(J213=26,J213=27),"+8",IF(OR(J213=28,J213=29),"+9",IF(J213=30,"+10"," "))))))))))))))))</f>
        <v>+2</v>
      </c>
      <c r="L213" s="3" t="n">
        <v>20</v>
      </c>
      <c r="M213" s="1" t="str">
        <f aca="false">IF(L213=1,"-5",IF(OR(L213=2,L213=3),"-4",IF(OR(L213=4,L213=5),"-3",IF(OR(L213=6,L213=7),"-2",IF(OR(L213=8,L213=9),"-1",IF(OR(L213=10,L213=11),"0",IF(OR(L213=12,L213=13),"+1",IF(OR(L213=14,L213=15),"+2",IF(OR(L213=16,L213=17),"+3",IF(OR(L213=18,L213=19),"+4",IF(OR(L213=20,L213=21),"+5",IF(OR(L213=22,L213=23),"+6",IF(OR(L213=24,L213=25),"+7",IF(OR(L213=26,L213=27),"+8",IF(OR(L213=28,L213=29),"+9",IF(L213=30,"+10"," "))))))))))))))))</f>
        <v>+5</v>
      </c>
      <c r="N213" s="3" t="n">
        <v>14</v>
      </c>
      <c r="O213" s="1" t="str">
        <f aca="false">IF(N213=1,"-5",IF(OR(N213=2,N213=3),"-4",IF(OR(N213=4,N213=5),"-3",IF(OR(N213=6,N213=7),"-2",IF(OR(N213=8,N213=9),"-1",IF(OR(N213=10,N213=11),"0",IF(OR(N213=12,N213=13),"+1",IF(OR(N213=14,N213=15),"+2",IF(OR(N213=16,N213=17),"+3",IF(OR(N213=18,N213=19),"+4",IF(OR(N213=20,N213=21),"+5",IF(OR(N213=22,N213=23),"+6",IF(OR(N213=24,N213=25),"+7",IF(OR(N213=26,N213=27),"+8",IF(OR(N213=28,N213=29),"+9",IF(N213=30,"+10"," "))))))))))))))))</f>
        <v>+2</v>
      </c>
      <c r="P213" s="3" t="n">
        <v>6</v>
      </c>
      <c r="Q213" s="1" t="str">
        <f aca="false">IF(P213=1,"-5",IF(OR(P213=2,P213=3),"-4",IF(OR(P213=4,P213=5),"-3",IF(OR(P213=6,P213=7),"-2",IF(OR(P213=8,P213=9),"-1",IF(OR(P213=10,P213=11),"0",IF(OR(P213=12,P213=13),"+1",IF(OR(P213=14,P213=15),"+2",IF(OR(P213=16,P213=17),"+3",IF(OR(P213=18,P213=19),"+4",IF(OR(P213=20,P213=21),"+5",IF(OR(P213=22,P213=23),"+6",IF(OR(P213=24,P213=25),"+7",IF(OR(P213=26,P213=27),"+8",IF(OR(P213=28,P213=29),"+9",IF(P213=30,"+10"," "))))))))))))))))</f>
        <v>-2</v>
      </c>
      <c r="R213" s="3" t="n">
        <v>10</v>
      </c>
      <c r="S213" s="1" t="str">
        <f aca="false">IF(R213=1,"-5",IF(OR(R213=2,R213=3),"-4",IF(OR(R213=4,R213=5),"-3",IF(OR(R213=6,R213=7),"-2",IF(OR(R213=8,R213=9),"-1",IF(OR(R213=10,R213=11),"0",IF(OR(R213=12,R213=13),"+1",IF(OR(R213=14,R213=15),"+2",IF(OR(R213=16,R213=17),"+3",IF(OR(R213=18,R213=19),"+4",IF(OR(R213=20,R213=21),"+5",IF(OR(R213=22,R213=23),"+6",IF(OR(R213=24,R213=25),"+7",IF(OR(R213=26,R213=27),"+8",IF(OR(R213=28,R213=29),"+9",IF(R213=30,"+10"," "))))))))))))))))</f>
        <v>0</v>
      </c>
      <c r="T213" s="3" t="n">
        <v>6</v>
      </c>
      <c r="U213" s="1" t="str">
        <f aca="false">IF(T213=1,"-5",IF(OR(T213=2,T213=3),"-4",IF(OR(T213=4,T213=5),"-3",IF(OR(T213=6,T213=7),"-2",IF(OR(T213=8,T213=9),"-1",IF(OR(T213=10,T213=11),"0",IF(OR(T213=12,T213=13),"+1",IF(OR(T213=14,T213=15),"+2",IF(OR(T213=16,T213=17),"+3",IF(OR(T213=18,T213=19),"+4",IF(OR(T213=20,T213=21),"+5",IF(OR(T213=22,T213=23),"+6",IF(OR(T213=24,T213=25),"+7",IF(OR(T213=26,T213=27),"+8",IF(OR(T213=28,T213=29),"+9",IF(T213=30,"+10"," "))))))))))))))))</f>
        <v>-2</v>
      </c>
      <c r="V213" s="3" t="s">
        <v>37</v>
      </c>
      <c r="W213" s="3" t="s">
        <v>752</v>
      </c>
      <c r="X213" s="11" t="s">
        <v>1151</v>
      </c>
      <c r="Y213" s="11" t="s">
        <v>1152</v>
      </c>
      <c r="Z213" s="11" t="s">
        <v>37</v>
      </c>
      <c r="AA213" s="12" t="s">
        <v>37</v>
      </c>
    </row>
    <row r="214" customFormat="false" ht="16.4" hidden="false" customHeight="false" outlineLevel="0" collapsed="false">
      <c r="A214" s="15" t="s">
        <v>1153</v>
      </c>
      <c r="B214" s="3" t="s">
        <v>214</v>
      </c>
      <c r="C214" s="3" t="s">
        <v>230</v>
      </c>
      <c r="D214" s="16" t="n">
        <v>5</v>
      </c>
      <c r="E214" s="6" t="n">
        <f aca="false">VLOOKUP(D214,'[1]REF Tables'!$A$2:$B$40,2)</f>
        <v>1800</v>
      </c>
      <c r="F214" s="3" t="s">
        <v>50</v>
      </c>
      <c r="G214" s="3" t="n">
        <v>14</v>
      </c>
      <c r="H214" s="3" t="s">
        <v>508</v>
      </c>
      <c r="I214" s="3" t="s">
        <v>1154</v>
      </c>
      <c r="J214" s="3" t="n">
        <v>18</v>
      </c>
      <c r="K214" s="1" t="str">
        <f aca="false">IF(J214=1,"-5",IF(OR(J214=2,J214=3),"-4",IF(OR(J214=4,J214=5),"-3",IF(OR(J214=6,J214=7),"-2",IF(OR(J214=8,J214=9),"-1",IF(OR(J214=10,J214=11),"0",IF(OR(J214=12,J214=13),"+1",IF(OR(J214=14,J214=15),"+2",IF(OR(J214=16,J214=17),"+3",IF(OR(J214=18,J214=19),"+4",IF(OR(J214=20,J214=21),"+5",IF(OR(J214=22,J214=23),"+6",IF(OR(J214=24,J214=25),"+7",IF(OR(J214=26,J214=27),"+8",IF(OR(J214=28,J214=29),"+9",IF(J214=30,"+10"," "))))))))))))))))</f>
        <v>+4</v>
      </c>
      <c r="L214" s="3" t="n">
        <v>14</v>
      </c>
      <c r="M214" s="1" t="str">
        <f aca="false">IF(L214=1,"-5",IF(OR(L214=2,L214=3),"-4",IF(OR(L214=4,L214=5),"-3",IF(OR(L214=6,L214=7),"-2",IF(OR(L214=8,L214=9),"-1",IF(OR(L214=10,L214=11),"0",IF(OR(L214=12,L214=13),"+1",IF(OR(L214=14,L214=15),"+2",IF(OR(L214=16,L214=17),"+3",IF(OR(L214=18,L214=19),"+4",IF(OR(L214=20,L214=21),"+5",IF(OR(L214=22,L214=23),"+6",IF(OR(L214=24,L214=25),"+7",IF(OR(L214=26,L214=27),"+8",IF(OR(L214=28,L214=29),"+9",IF(L214=30,"+10"," "))))))))))))))))</f>
        <v>+2</v>
      </c>
      <c r="N214" s="3" t="n">
        <v>18</v>
      </c>
      <c r="O214" s="1" t="str">
        <f aca="false">IF(N214=1,"-5",IF(OR(N214=2,N214=3),"-4",IF(OR(N214=4,N214=5),"-3",IF(OR(N214=6,N214=7),"-2",IF(OR(N214=8,N214=9),"-1",IF(OR(N214=10,N214=11),"0",IF(OR(N214=12,N214=13),"+1",IF(OR(N214=14,N214=15),"+2",IF(OR(N214=16,N214=17),"+3",IF(OR(N214=18,N214=19),"+4",IF(OR(N214=20,N214=21),"+5",IF(OR(N214=22,N214=23),"+6",IF(OR(N214=24,N214=25),"+7",IF(OR(N214=26,N214=27),"+8",IF(OR(N214=28,N214=29),"+9",IF(N214=30,"+10"," "))))))))))))))))</f>
        <v>+4</v>
      </c>
      <c r="P214" s="3" t="n">
        <v>5</v>
      </c>
      <c r="Q214" s="1" t="str">
        <f aca="false">IF(P214=1,"-5",IF(OR(P214=2,P214=3),"-4",IF(OR(P214=4,P214=5),"-3",IF(OR(P214=6,P214=7),"-2",IF(OR(P214=8,P214=9),"-1",IF(OR(P214=10,P214=11),"0",IF(OR(P214=12,P214=13),"+1",IF(OR(P214=14,P214=15),"+2",IF(OR(P214=16,P214=17),"+3",IF(OR(P214=18,P214=19),"+4",IF(OR(P214=20,P214=21),"+5",IF(OR(P214=22,P214=23),"+6",IF(OR(P214=24,P214=25),"+7",IF(OR(P214=26,P214=27),"+8",IF(OR(P214=28,P214=29),"+9",IF(P214=30,"+10"," "))))))))))))))))</f>
        <v>-3</v>
      </c>
      <c r="R214" s="3" t="n">
        <v>10</v>
      </c>
      <c r="S214" s="1" t="str">
        <f aca="false">IF(R214=1,"-5",IF(OR(R214=2,R214=3),"-4",IF(OR(R214=4,R214=5),"-3",IF(OR(R214=6,R214=7),"-2",IF(OR(R214=8,R214=9),"-1",IF(OR(R214=10,R214=11),"0",IF(OR(R214=12,R214=13),"+1",IF(OR(R214=14,R214=15),"+2",IF(OR(R214=16,R214=17),"+3",IF(OR(R214=18,R214=19),"+4",IF(OR(R214=20,R214=21),"+5",IF(OR(R214=22,R214=23),"+6",IF(OR(R214=24,R214=25),"+7",IF(OR(R214=26,R214=27),"+8",IF(OR(R214=28,R214=29),"+9",IF(R214=30,"+10"," "))))))))))))))))</f>
        <v>0</v>
      </c>
      <c r="T214" s="3" t="n">
        <v>8</v>
      </c>
      <c r="U214" s="1" t="str">
        <f aca="false">IF(T214=1,"-5",IF(OR(T214=2,T214=3),"-4",IF(OR(T214=4,T214=5),"-3",IF(OR(T214=6,T214=7),"-2",IF(OR(T214=8,T214=9),"-1",IF(OR(T214=10,T214=11),"0",IF(OR(T214=12,T214=13),"+1",IF(OR(T214=14,T214=15),"+2",IF(OR(T214=16,T214=17),"+3",IF(OR(T214=18,T214=19),"+4",IF(OR(T214=20,T214=21),"+5",IF(OR(T214=22,T214=23),"+6",IF(OR(T214=24,T214=25),"+7",IF(OR(T214=26,T214=27),"+8",IF(OR(T214=28,T214=29),"+9",IF(T214=30,"+10"," "))))))))))))))))</f>
        <v>-1</v>
      </c>
      <c r="V214" s="3" t="s">
        <v>37</v>
      </c>
      <c r="W214" s="3" t="s">
        <v>1155</v>
      </c>
      <c r="X214" s="11" t="s">
        <v>1156</v>
      </c>
      <c r="Y214" s="11" t="s">
        <v>1157</v>
      </c>
      <c r="Z214" s="11" t="s">
        <v>37</v>
      </c>
      <c r="AA214" s="12" t="s">
        <v>37</v>
      </c>
    </row>
    <row r="215" customFormat="false" ht="16.4" hidden="false" customHeight="false" outlineLevel="0" collapsed="false">
      <c r="A215" s="15" t="s">
        <v>1158</v>
      </c>
      <c r="B215" s="3" t="s">
        <v>59</v>
      </c>
      <c r="C215" s="3" t="s">
        <v>37</v>
      </c>
      <c r="D215" s="16" t="n">
        <v>4</v>
      </c>
      <c r="E215" s="6" t="n">
        <f aca="false">VLOOKUP(D215,'[1]REF Tables'!$A$2:$B$40,2)</f>
        <v>1100</v>
      </c>
      <c r="F215" s="3" t="s">
        <v>121</v>
      </c>
      <c r="G215" s="3" t="n">
        <v>12</v>
      </c>
      <c r="H215" s="3" t="s">
        <v>1159</v>
      </c>
      <c r="I215" s="3" t="s">
        <v>224</v>
      </c>
      <c r="J215" s="3" t="n">
        <v>22</v>
      </c>
      <c r="K215" s="1" t="str">
        <f aca="false">IF(J215=1,"-5",IF(OR(J215=2,J215=3),"-4",IF(OR(J215=4,J215=5),"-3",IF(OR(J215=6,J215=7),"-2",IF(OR(J215=8,J215=9),"-1",IF(OR(J215=10,J215=11),"0",IF(OR(J215=12,J215=13),"+1",IF(OR(J215=14,J215=15),"+2",IF(OR(J215=16,J215=17),"+3",IF(OR(J215=18,J215=19),"+4",IF(OR(J215=20,J215=21),"+5",IF(OR(J215=22,J215=23),"+6",IF(OR(J215=24,J215=25),"+7",IF(OR(J215=26,J215=27),"+8",IF(OR(J215=28,J215=29),"+9",IF(J215=30,"+10"," "))))))))))))))))</f>
        <v>+6</v>
      </c>
      <c r="L215" s="3" t="n">
        <v>9</v>
      </c>
      <c r="M215" s="1" t="str">
        <f aca="false">IF(L215=1,"-5",IF(OR(L215=2,L215=3),"-4",IF(OR(L215=4,L215=5),"-3",IF(OR(L215=6,L215=7),"-2",IF(OR(L215=8,L215=9),"-1",IF(OR(L215=10,L215=11),"0",IF(OR(L215=12,L215=13),"+1",IF(OR(L215=14,L215=15),"+2",IF(OR(L215=16,L215=17),"+3",IF(OR(L215=18,L215=19),"+4",IF(OR(L215=20,L215=21),"+5",IF(OR(L215=22,L215=23),"+6",IF(OR(L215=24,L215=25),"+7",IF(OR(L215=26,L215=27),"+8",IF(OR(L215=28,L215=29),"+9",IF(L215=30,"+10"," "))))))))))))))))</f>
        <v>-1</v>
      </c>
      <c r="N215" s="3" t="n">
        <v>17</v>
      </c>
      <c r="O215" s="1" t="str">
        <f aca="false">IF(N215=1,"-5",IF(OR(N215=2,N215=3),"-4",IF(OR(N215=4,N215=5),"-3",IF(OR(N215=6,N215=7),"-2",IF(OR(N215=8,N215=9),"-1",IF(OR(N215=10,N215=11),"0",IF(OR(N215=12,N215=13),"+1",IF(OR(N215=14,N215=15),"+2",IF(OR(N215=16,N215=17),"+3",IF(OR(N215=18,N215=19),"+4",IF(OR(N215=20,N215=21),"+5",IF(OR(N215=22,N215=23),"+6",IF(OR(N215=24,N215=25),"+7",IF(OR(N215=26,N215=27),"+8",IF(OR(N215=28,N215=29),"+9",IF(N215=30,"+10"," "))))))))))))))))</f>
        <v>+3</v>
      </c>
      <c r="P215" s="3" t="n">
        <v>3</v>
      </c>
      <c r="Q215" s="1" t="str">
        <f aca="false">IF(P215=1,"-5",IF(OR(P215=2,P215=3),"-4",IF(OR(P215=4,P215=5),"-3",IF(OR(P215=6,P215=7),"-2",IF(OR(P215=8,P215=9),"-1",IF(OR(P215=10,P215=11),"0",IF(OR(P215=12,P215=13),"+1",IF(OR(P215=14,P215=15),"+2",IF(OR(P215=16,P215=17),"+3",IF(OR(P215=18,P215=19),"+4",IF(OR(P215=20,P215=21),"+5",IF(OR(P215=22,P215=23),"+6",IF(OR(P215=24,P215=25),"+7",IF(OR(P215=26,P215=27),"+8",IF(OR(P215=28,P215=29),"+9",IF(P215=30,"+10"," "))))))))))))))))</f>
        <v>-4</v>
      </c>
      <c r="R215" s="3" t="n">
        <v>11</v>
      </c>
      <c r="S215" s="1" t="str">
        <f aca="false">IF(R215=1,"-5",IF(OR(R215=2,R215=3),"-4",IF(OR(R215=4,R215=5),"-3",IF(OR(R215=6,R215=7),"-2",IF(OR(R215=8,R215=9),"-1",IF(OR(R215=10,R215=11),"0",IF(OR(R215=12,R215=13),"+1",IF(OR(R215=14,R215=15),"+2",IF(OR(R215=16,R215=17),"+3",IF(OR(R215=18,R215=19),"+4",IF(OR(R215=20,R215=21),"+5",IF(OR(R215=22,R215=23),"+6",IF(OR(R215=24,R215=25),"+7",IF(OR(R215=26,R215=27),"+8",IF(OR(R215=28,R215=29),"+9",IF(R215=30,"+10"," "))))))))))))))))</f>
        <v>0</v>
      </c>
      <c r="T215" s="3" t="n">
        <v>6</v>
      </c>
      <c r="U215" s="1" t="str">
        <f aca="false">IF(T215=1,"-5",IF(OR(T215=2,T215=3),"-4",IF(OR(T215=4,T215=5),"-3",IF(OR(T215=6,T215=7),"-2",IF(OR(T215=8,T215=9),"-1",IF(OR(T215=10,T215=11),"0",IF(OR(T215=12,T215=13),"+1",IF(OR(T215=14,T215=15),"+2",IF(OR(T215=16,T215=17),"+3",IF(OR(T215=18,T215=19),"+4",IF(OR(T215=20,T215=21),"+5",IF(OR(T215=22,T215=23),"+6",IF(OR(T215=24,T215=25),"+7",IF(OR(T215=26,T215=27),"+8",IF(OR(T215=28,T215=29),"+9",IF(T215=30,"+10"," "))))))))))))))))</f>
        <v>-2</v>
      </c>
      <c r="V215" s="3" t="s">
        <v>37</v>
      </c>
      <c r="W215" s="3" t="s">
        <v>37</v>
      </c>
      <c r="X215" s="11" t="s">
        <v>1160</v>
      </c>
      <c r="Y215" s="11" t="s">
        <v>1161</v>
      </c>
      <c r="Z215" s="11" t="s">
        <v>37</v>
      </c>
      <c r="AA215" s="12" t="s">
        <v>37</v>
      </c>
    </row>
    <row r="216" customFormat="false" ht="16.4" hidden="false" customHeight="false" outlineLevel="0" collapsed="false">
      <c r="A216" s="15" t="s">
        <v>1162</v>
      </c>
      <c r="B216" s="3" t="s">
        <v>1163</v>
      </c>
      <c r="C216" s="3" t="s">
        <v>1164</v>
      </c>
      <c r="D216" s="16" t="n">
        <v>23</v>
      </c>
      <c r="E216" s="6" t="n">
        <f aca="false">VLOOKUP(D216,'[1]REF Tables'!$A$2:$B$40,2)</f>
        <v>50000</v>
      </c>
      <c r="F216" s="3" t="s">
        <v>121</v>
      </c>
      <c r="G216" s="3" t="n">
        <v>22</v>
      </c>
      <c r="H216" s="3" t="s">
        <v>1165</v>
      </c>
      <c r="I216" s="3" t="s">
        <v>1166</v>
      </c>
      <c r="J216" s="3" t="n">
        <v>30</v>
      </c>
      <c r="K216" s="1" t="str">
        <f aca="false">IF(J216=1,"-5",IF(OR(J216=2,J216=3),"-4",IF(OR(J216=4,J216=5),"-3",IF(OR(J216=6,J216=7),"-2",IF(OR(J216=8,J216=9),"-1",IF(OR(J216=10,J216=11),"0",IF(OR(J216=12,J216=13),"+1",IF(OR(J216=14,J216=15),"+2",IF(OR(J216=16,J216=17),"+3",IF(OR(J216=18,J216=19),"+4",IF(OR(J216=20,J216=21),"+5",IF(OR(J216=22,J216=23),"+6",IF(OR(J216=24,J216=25),"+7",IF(OR(J216=26,J216=27),"+8",IF(OR(J216=28,J216=29),"+9",IF(J216=30,"+10"," "))))))))))))))))</f>
        <v>+10</v>
      </c>
      <c r="L216" s="3" t="n">
        <v>21</v>
      </c>
      <c r="M216" s="1" t="str">
        <f aca="false">IF(L216=1,"-5",IF(OR(L216=2,L216=3),"-4",IF(OR(L216=4,L216=5),"-3",IF(OR(L216=6,L216=7),"-2",IF(OR(L216=8,L216=9),"-1",IF(OR(L216=10,L216=11),"0",IF(OR(L216=12,L216=13),"+1",IF(OR(L216=14,L216=15),"+2",IF(OR(L216=16,L216=17),"+3",IF(OR(L216=18,L216=19),"+4",IF(OR(L216=20,L216=21),"+5",IF(OR(L216=22,L216=23),"+6",IF(OR(L216=24,L216=25),"+7",IF(OR(L216=26,L216=27),"+8",IF(OR(L216=28,L216=29),"+9",IF(L216=30,"+10"," "))))))))))))))))</f>
        <v>+5</v>
      </c>
      <c r="N216" s="3" t="n">
        <v>30</v>
      </c>
      <c r="O216" s="1" t="str">
        <f aca="false">IF(N216=1,"-5",IF(OR(N216=2,N216=3),"-4",IF(OR(N216=4,N216=5),"-3",IF(OR(N216=6,N216=7),"-2",IF(OR(N216=8,N216=9),"-1",IF(OR(N216=10,N216=11),"0",IF(OR(N216=12,N216=13),"+1",IF(OR(N216=14,N216=15),"+2",IF(OR(N216=16,N216=17),"+3",IF(OR(N216=18,N216=19),"+4",IF(OR(N216=20,N216=21),"+5",IF(OR(N216=22,N216=23),"+6",IF(OR(N216=24,N216=25),"+7",IF(OR(N216=26,N216=27),"+8",IF(OR(N216=28,N216=29),"+9",IF(N216=30,"+10"," "))))))))))))))))</f>
        <v>+10</v>
      </c>
      <c r="P216" s="3" t="n">
        <v>21</v>
      </c>
      <c r="Q216" s="1" t="str">
        <f aca="false">IF(P216=1,"-5",IF(OR(P216=2,P216=3),"-4",IF(OR(P216=4,P216=5),"-3",IF(OR(P216=6,P216=7),"-2",IF(OR(P216=8,P216=9),"-1",IF(OR(P216=10,P216=11),"0",IF(OR(P216=12,P216=13),"+1",IF(OR(P216=14,P216=15),"+2",IF(OR(P216=16,P216=17),"+3",IF(OR(P216=18,P216=19),"+4",IF(OR(P216=20,P216=21),"+5",IF(OR(P216=22,P216=23),"+6",IF(OR(P216=24,P216=25),"+7",IF(OR(P216=26,P216=27),"+8",IF(OR(P216=28,P216=29),"+9",IF(P216=30,"+10"," "))))))))))))))))</f>
        <v>+5</v>
      </c>
      <c r="R216" s="3" t="n">
        <v>22</v>
      </c>
      <c r="S216" s="1" t="str">
        <f aca="false">IF(R216=1,"-5",IF(OR(R216=2,R216=3),"-4",IF(OR(R216=4,R216=5),"-3",IF(OR(R216=6,R216=7),"-2",IF(OR(R216=8,R216=9),"-1",IF(OR(R216=10,R216=11),"0",IF(OR(R216=12,R216=13),"+1",IF(OR(R216=14,R216=15),"+2",IF(OR(R216=16,R216=17),"+3",IF(OR(R216=18,R216=19),"+4",IF(OR(R216=20,R216=21),"+5",IF(OR(R216=22,R216=23),"+6",IF(OR(R216=24,R216=25),"+7",IF(OR(R216=26,R216=27),"+8",IF(OR(R216=28,R216=29),"+9",IF(R216=30,"+10"," "))))))))))))))))</f>
        <v>+6</v>
      </c>
      <c r="T216" s="3" t="n">
        <v>27</v>
      </c>
      <c r="U216" s="1" t="str">
        <f aca="false">IF(T216=1,"-5",IF(OR(T216=2,T216=3),"-4",IF(OR(T216=4,T216=5),"-3",IF(OR(T216=6,T216=7),"-2",IF(OR(T216=8,T216=9),"-1",IF(OR(T216=10,T216=11),"0",IF(OR(T216=12,T216=13),"+1",IF(OR(T216=14,T216=15),"+2",IF(OR(T216=16,T216=17),"+3",IF(OR(T216=18,T216=19),"+4",IF(OR(T216=20,T216=21),"+5",IF(OR(T216=22,T216=23),"+6",IF(OR(T216=24,T216=25),"+7",IF(OR(T216=26,T216=27),"+8",IF(OR(T216=28,T216=29),"+9",IF(T216=30,"+10"," "))))))))))))))))</f>
        <v>+8</v>
      </c>
      <c r="V216" s="3" t="s">
        <v>1167</v>
      </c>
      <c r="W216" s="3" t="s">
        <v>1168</v>
      </c>
      <c r="X216" s="11" t="s">
        <v>1169</v>
      </c>
      <c r="Y216" s="11" t="s">
        <v>1170</v>
      </c>
      <c r="Z216" s="11" t="s">
        <v>37</v>
      </c>
      <c r="AA216" s="12" t="s">
        <v>1171</v>
      </c>
    </row>
    <row r="217" customFormat="false" ht="16.4" hidden="false" customHeight="false" outlineLevel="0" collapsed="false">
      <c r="A217" s="15" t="s">
        <v>1172</v>
      </c>
      <c r="B217" s="3" t="s">
        <v>39</v>
      </c>
      <c r="C217" s="3" t="s">
        <v>40</v>
      </c>
      <c r="D217" s="16" t="n">
        <v>5</v>
      </c>
      <c r="E217" s="6" t="n">
        <f aca="false">VLOOKUP(D217,'[1]REF Tables'!$A$2:$B$40,2)</f>
        <v>1800</v>
      </c>
      <c r="F217" s="3" t="s">
        <v>30</v>
      </c>
      <c r="G217" s="3" t="n">
        <v>12</v>
      </c>
      <c r="H217" s="3" t="s">
        <v>1173</v>
      </c>
      <c r="I217" s="3" t="s">
        <v>42</v>
      </c>
      <c r="J217" s="3" t="n">
        <v>9</v>
      </c>
      <c r="K217" s="1" t="str">
        <f aca="false">IF(J217=1,"-5",IF(OR(J217=2,J217=3),"-4",IF(OR(J217=4,J217=5),"-3",IF(OR(J217=6,J217=7),"-2",IF(OR(J217=8,J217=9),"-1",IF(OR(J217=10,J217=11),"0",IF(OR(J217=12,J217=13),"+1",IF(OR(J217=14,J217=15),"+2",IF(OR(J217=16,J217=17),"+3",IF(OR(J217=18,J217=19),"+4",IF(OR(J217=20,J217=21),"+5",IF(OR(J217=22,J217=23),"+6",IF(OR(J217=24,J217=25),"+7",IF(OR(J217=26,J217=27),"+8",IF(OR(J217=28,J217=29),"+9",IF(J217=30,"+10"," "))))))))))))))))</f>
        <v>-1</v>
      </c>
      <c r="L217" s="3" t="n">
        <v>14</v>
      </c>
      <c r="M217" s="1" t="str">
        <f aca="false">IF(L217=1,"-5",IF(OR(L217=2,L217=3),"-4",IF(OR(L217=4,L217=5),"-3",IF(OR(L217=6,L217=7),"-2",IF(OR(L217=8,L217=9),"-1",IF(OR(L217=10,L217=11),"0",IF(OR(L217=12,L217=13),"+1",IF(OR(L217=14,L217=15),"+2",IF(OR(L217=16,L217=17),"+3",IF(OR(L217=18,L217=19),"+4",IF(OR(L217=20,L217=21),"+5",IF(OR(L217=22,L217=23),"+6",IF(OR(L217=24,L217=25),"+7",IF(OR(L217=26,L217=27),"+8",IF(OR(L217=28,L217=29),"+9",IF(L217=30,"+10"," "))))))))))))))))</f>
        <v>+2</v>
      </c>
      <c r="N217" s="3" t="n">
        <v>11</v>
      </c>
      <c r="O217" s="1" t="str">
        <f aca="false">IF(N217=1,"-5",IF(OR(N217=2,N217=3),"-4",IF(OR(N217=4,N217=5),"-3",IF(OR(N217=6,N217=7),"-2",IF(OR(N217=8,N217=9),"-1",IF(OR(N217=10,N217=11),"0",IF(OR(N217=12,N217=13),"+1",IF(OR(N217=14,N217=15),"+2",IF(OR(N217=16,N217=17),"+3",IF(OR(N217=18,N217=19),"+4",IF(OR(N217=20,N217=21),"+5",IF(OR(N217=22,N217=23),"+6",IF(OR(N217=24,N217=25),"+7",IF(OR(N217=26,N217=27),"+8",IF(OR(N217=28,N217=29),"+9",IF(N217=30,"+10"," "))))))))))))))))</f>
        <v>0</v>
      </c>
      <c r="P217" s="3" t="n">
        <v>17</v>
      </c>
      <c r="Q217" s="1" t="str">
        <f aca="false">IF(P217=1,"-5",IF(OR(P217=2,P217=3),"-4",IF(OR(P217=4,P217=5),"-3",IF(OR(P217=6,P217=7),"-2",IF(OR(P217=8,P217=9),"-1",IF(OR(P217=10,P217=11),"0",IF(OR(P217=12,P217=13),"+1",IF(OR(P217=14,P217=15),"+2",IF(OR(P217=16,P217=17),"+3",IF(OR(P217=18,P217=19),"+4",IF(OR(P217=20,P217=21),"+5",IF(OR(P217=22,P217=23),"+6",IF(OR(P217=24,P217=25),"+7",IF(OR(P217=26,P217=27),"+8",IF(OR(P217=28,P217=29),"+9",IF(P217=30,"+10"," "))))))))))))))))</f>
        <v>+3</v>
      </c>
      <c r="R217" s="3" t="n">
        <v>12</v>
      </c>
      <c r="S217" s="1" t="str">
        <f aca="false">IF(R217=1,"-5",IF(OR(R217=2,R217=3),"-4",IF(OR(R217=4,R217=5),"-3",IF(OR(R217=6,R217=7),"-2",IF(OR(R217=8,R217=9),"-1",IF(OR(R217=10,R217=11),"0",IF(OR(R217=12,R217=13),"+1",IF(OR(R217=14,R217=15),"+2",IF(OR(R217=16,R217=17),"+3",IF(OR(R217=18,R217=19),"+4",IF(OR(R217=20,R217=21),"+5",IF(OR(R217=22,R217=23),"+6",IF(OR(R217=24,R217=25),"+7",IF(OR(R217=26,R217=27),"+8",IF(OR(R217=28,R217=29),"+9",IF(R217=30,"+10"," "))))))))))))))))</f>
        <v>+1</v>
      </c>
      <c r="T217" s="3" t="n">
        <v>11</v>
      </c>
      <c r="U217" s="1" t="str">
        <f aca="false">IF(T217=1,"-5",IF(OR(T217=2,T217=3),"-4",IF(OR(T217=4,T217=5),"-3",IF(OR(T217=6,T217=7),"-2",IF(OR(T217=8,T217=9),"-1",IF(OR(T217=10,T217=11),"0",IF(OR(T217=12,T217=13),"+1",IF(OR(T217=14,T217=15),"+2",IF(OR(T217=16,T217=17),"+3",IF(OR(T217=18,T217=19),"+4",IF(OR(T217=20,T217=21),"+5",IF(OR(T217=22,T217=23),"+6",IF(OR(T217=24,T217=25),"+7",IF(OR(T217=26,T217=27),"+8",IF(OR(T217=28,T217=29),"+9",IF(T217=30,"+10"," "))))))))))))))))</f>
        <v>0</v>
      </c>
      <c r="V217" s="3" t="s">
        <v>1174</v>
      </c>
      <c r="W217" s="3" t="s">
        <v>44</v>
      </c>
      <c r="X217" s="11" t="s">
        <v>1175</v>
      </c>
      <c r="Y217" s="11" t="s">
        <v>687</v>
      </c>
      <c r="Z217" s="11" t="s">
        <v>1176</v>
      </c>
      <c r="AA217" s="12" t="s">
        <v>37</v>
      </c>
    </row>
    <row r="218" customFormat="false" ht="16.4" hidden="false" customHeight="false" outlineLevel="0" collapsed="false">
      <c r="A218" s="15" t="s">
        <v>1177</v>
      </c>
      <c r="B218" s="3" t="s">
        <v>105</v>
      </c>
      <c r="C218" s="3" t="s">
        <v>85</v>
      </c>
      <c r="D218" s="16" t="n">
        <v>5</v>
      </c>
      <c r="E218" s="6" t="n">
        <f aca="false">VLOOKUP(D218,'[1]REF Tables'!$A$2:$B$40,2)</f>
        <v>1800</v>
      </c>
      <c r="F218" s="3" t="s">
        <v>50</v>
      </c>
      <c r="G218" s="3" t="n">
        <v>20</v>
      </c>
      <c r="H218" s="3" t="s">
        <v>533</v>
      </c>
      <c r="I218" s="3" t="s">
        <v>1178</v>
      </c>
      <c r="J218" s="3" t="n">
        <v>18</v>
      </c>
      <c r="K218" s="1" t="str">
        <f aca="false">IF(J218=1,"-5",IF(OR(J218=2,J218=3),"-4",IF(OR(J218=4,J218=5),"-3",IF(OR(J218=6,J218=7),"-2",IF(OR(J218=8,J218=9),"-1",IF(OR(J218=10,J218=11),"0",IF(OR(J218=12,J218=13),"+1",IF(OR(J218=14,J218=15),"+2",IF(OR(J218=16,J218=17),"+3",IF(OR(J218=18,J218=19),"+4",IF(OR(J218=20,J218=21),"+5",IF(OR(J218=22,J218=23),"+6",IF(OR(J218=24,J218=25),"+7",IF(OR(J218=26,J218=27),"+8",IF(OR(J218=28,J218=29),"+9",IF(J218=30,"+10"," "))))))))))))))))</f>
        <v>+4</v>
      </c>
      <c r="L218" s="3" t="n">
        <v>8</v>
      </c>
      <c r="M218" s="1" t="str">
        <f aca="false">IF(L218=1,"-5",IF(OR(L218=2,L218=3),"-4",IF(OR(L218=4,L218=5),"-3",IF(OR(L218=6,L218=7),"-2",IF(OR(L218=8,L218=9),"-1",IF(OR(L218=10,L218=11),"0",IF(OR(L218=12,L218=13),"+1",IF(OR(L218=14,L218=15),"+2",IF(OR(L218=16,L218=17),"+3",IF(OR(L218=18,L218=19),"+4",IF(OR(L218=20,L218=21),"+5",IF(OR(L218=22,L218=23),"+6",IF(OR(L218=24,L218=25),"+7",IF(OR(L218=26,L218=27),"+8",IF(OR(L218=28,L218=29),"+9",IF(L218=30,"+10"," "))))))))))))))))</f>
        <v>-1</v>
      </c>
      <c r="N218" s="3" t="n">
        <v>17</v>
      </c>
      <c r="O218" s="1" t="str">
        <f aca="false">IF(N218=1,"-5",IF(OR(N218=2,N218=3),"-4",IF(OR(N218=4,N218=5),"-3",IF(OR(N218=6,N218=7),"-2",IF(OR(N218=8,N218=9),"-1",IF(OR(N218=10,N218=11),"0",IF(OR(N218=12,N218=13),"+1",IF(OR(N218=14,N218=15),"+2",IF(OR(N218=16,N218=17),"+3",IF(OR(N218=18,N218=19),"+4",IF(OR(N218=20,N218=21),"+5",IF(OR(N218=22,N218=23),"+6",IF(OR(N218=24,N218=25),"+7",IF(OR(N218=26,N218=27),"+8",IF(OR(N218=28,N218=29),"+9",IF(N218=30,"+10"," "))))))))))))))))</f>
        <v>+3</v>
      </c>
      <c r="P218" s="3" t="n">
        <v>7</v>
      </c>
      <c r="Q218" s="1" t="str">
        <f aca="false">IF(P218=1,"-5",IF(OR(P218=2,P218=3),"-4",IF(OR(P218=4,P218=5),"-3",IF(OR(P218=6,P218=7),"-2",IF(OR(P218=8,P218=9),"-1",IF(OR(P218=10,P218=11),"0",IF(OR(P218=12,P218=13),"+1",IF(OR(P218=14,P218=15),"+2",IF(OR(P218=16,P218=17),"+3",IF(OR(P218=18,P218=19),"+4",IF(OR(P218=20,P218=21),"+5",IF(OR(P218=22,P218=23),"+6",IF(OR(P218=24,P218=25),"+7",IF(OR(P218=26,P218=27),"+8",IF(OR(P218=28,P218=29),"+9",IF(P218=30,"+10"," "))))))))))))))))</f>
        <v>-2</v>
      </c>
      <c r="R218" s="3" t="n">
        <v>16</v>
      </c>
      <c r="S218" s="1" t="str">
        <f aca="false">IF(R218=1,"-5",IF(OR(R218=2,R218=3),"-4",IF(OR(R218=4,R218=5),"-3",IF(OR(R218=6,R218=7),"-2",IF(OR(R218=8,R218=9),"-1",IF(OR(R218=10,R218=11),"0",IF(OR(R218=12,R218=13),"+1",IF(OR(R218=14,R218=15),"+2",IF(OR(R218=16,R218=17),"+3",IF(OR(R218=18,R218=19),"+4",IF(OR(R218=20,R218=21),"+5",IF(OR(R218=22,R218=23),"+6",IF(OR(R218=24,R218=25),"+7",IF(OR(R218=26,R218=27),"+8",IF(OR(R218=28,R218=29),"+9",IF(R218=30,"+10"," "))))))))))))))))</f>
        <v>+3</v>
      </c>
      <c r="T218" s="3" t="n">
        <v>6</v>
      </c>
      <c r="U218" s="1" t="str">
        <f aca="false">IF(T218=1,"-5",IF(OR(T218=2,T218=3),"-4",IF(OR(T218=4,T218=5),"-3",IF(OR(T218=6,T218=7),"-2",IF(OR(T218=8,T218=9),"-1",IF(OR(T218=10,T218=11),"0",IF(OR(T218=12,T218=13),"+1",IF(OR(T218=14,T218=15),"+2",IF(OR(T218=16,T218=17),"+3",IF(OR(T218=18,T218=19),"+4",IF(OR(T218=20,T218=21),"+5",IF(OR(T218=22,T218=23),"+6",IF(OR(T218=24,T218=25),"+7",IF(OR(T218=26,T218=27),"+8",IF(OR(T218=28,T218=29),"+9",IF(T218=30,"+10"," "))))))))))))))))</f>
        <v>-2</v>
      </c>
      <c r="V218" s="3" t="s">
        <v>1179</v>
      </c>
      <c r="W218" s="3" t="s">
        <v>37</v>
      </c>
      <c r="X218" s="11" t="s">
        <v>1180</v>
      </c>
      <c r="Y218" s="11" t="s">
        <v>1181</v>
      </c>
      <c r="Z218" s="11" t="s">
        <v>37</v>
      </c>
      <c r="AA218" s="12" t="s">
        <v>37</v>
      </c>
    </row>
    <row r="219" customFormat="false" ht="16.4" hidden="false" customHeight="false" outlineLevel="0" collapsed="false">
      <c r="A219" s="15" t="s">
        <v>1182</v>
      </c>
      <c r="B219" s="3" t="s">
        <v>59</v>
      </c>
      <c r="C219" s="3" t="s">
        <v>37</v>
      </c>
      <c r="D219" s="16" t="n">
        <v>3</v>
      </c>
      <c r="E219" s="3" t="n">
        <f aca="false">VLOOKUP(D219,'[1]REF Tables'!$A$2:$B$40,2)</f>
        <v>700</v>
      </c>
      <c r="F219" s="3" t="s">
        <v>121</v>
      </c>
      <c r="G219" s="3" t="n">
        <v>12</v>
      </c>
      <c r="H219" s="3" t="s">
        <v>1183</v>
      </c>
      <c r="I219" s="3" t="s">
        <v>637</v>
      </c>
      <c r="J219" s="3" t="n">
        <v>19</v>
      </c>
      <c r="K219" s="1" t="str">
        <f aca="false">IF(J219=1,"-5",IF(OR(J219=2,J219=3),"-4",IF(OR(J219=4,J219=5),"-3",IF(OR(J219=6,J219=7),"-2",IF(OR(J219=8,J219=9),"-1",IF(OR(J219=10,J219=11),"0",IF(OR(J219=12,J219=13),"+1",IF(OR(J219=14,J219=15),"+2",IF(OR(J219=16,J219=17),"+3",IF(OR(J219=18,J219=19),"+4",IF(OR(J219=20,J219=21),"+5",IF(OR(J219=22,J219=23),"+6",IF(OR(J219=24,J219=25),"+7",IF(OR(J219=26,J219=27),"+8",IF(OR(J219=28,J219=29),"+9",IF(J219=30,"+10"," "))))))))))))))))</f>
        <v>+4</v>
      </c>
      <c r="L219" s="3" t="n">
        <v>10</v>
      </c>
      <c r="M219" s="1" t="str">
        <f aca="false">IF(L219=1,"-5",IF(OR(L219=2,L219=3),"-4",IF(OR(L219=4,L219=5),"-3",IF(OR(L219=6,L219=7),"-2",IF(OR(L219=8,L219=9),"-1",IF(OR(L219=10,L219=11),"0",IF(OR(L219=12,L219=13),"+1",IF(OR(L219=14,L219=15),"+2",IF(OR(L219=16,L219=17),"+3",IF(OR(L219=18,L219=19),"+4",IF(OR(L219=20,L219=21),"+5",IF(OR(L219=22,L219=23),"+6",IF(OR(L219=24,L219=25),"+7",IF(OR(L219=26,L219=27),"+8",IF(OR(L219=28,L219=29),"+9",IF(L219=30,"+10"," "))))))))))))))))</f>
        <v>0</v>
      </c>
      <c r="N219" s="3" t="n">
        <v>13</v>
      </c>
      <c r="O219" s="1" t="str">
        <f aca="false">IF(N219=1,"-5",IF(OR(N219=2,N219=3),"-4",IF(OR(N219=4,N219=5),"-3",IF(OR(N219=6,N219=7),"-2",IF(OR(N219=8,N219=9),"-1",IF(OR(N219=10,N219=11),"0",IF(OR(N219=12,N219=13),"+1",IF(OR(N219=14,N219=15),"+2",IF(OR(N219=16,N219=17),"+3",IF(OR(N219=18,N219=19),"+4",IF(OR(N219=20,N219=21),"+5",IF(OR(N219=22,N219=23),"+6",IF(OR(N219=24,N219=25),"+7",IF(OR(N219=26,N219=27),"+8",IF(OR(N219=28,N219=29),"+9",IF(N219=30,"+10"," "))))))))))))))))</f>
        <v>+1</v>
      </c>
      <c r="P219" s="3" t="n">
        <v>3</v>
      </c>
      <c r="Q219" s="1" t="str">
        <f aca="false">IF(P219=1,"-5",IF(OR(P219=2,P219=3),"-4",IF(OR(P219=4,P219=5),"-3",IF(OR(P219=6,P219=7),"-2",IF(OR(P219=8,P219=9),"-1",IF(OR(P219=10,P219=11),"0",IF(OR(P219=12,P219=13),"+1",IF(OR(P219=14,P219=15),"+2",IF(OR(P219=16,P219=17),"+3",IF(OR(P219=18,P219=19),"+4",IF(OR(P219=20,P219=21),"+5",IF(OR(P219=22,P219=23),"+6",IF(OR(P219=24,P219=25),"+7",IF(OR(P219=26,P219=27),"+8",IF(OR(P219=28,P219=29),"+9",IF(P219=30,"+10"," "))))))))))))))))</f>
        <v>-4</v>
      </c>
      <c r="R219" s="3" t="n">
        <v>12</v>
      </c>
      <c r="S219" s="1" t="str">
        <f aca="false">IF(R219=1,"-5",IF(OR(R219=2,R219=3),"-4",IF(OR(R219=4,R219=5),"-3",IF(OR(R219=6,R219=7),"-2",IF(OR(R219=8,R219=9),"-1",IF(OR(R219=10,R219=11),"0",IF(OR(R219=12,R219=13),"+1",IF(OR(R219=14,R219=15),"+2",IF(OR(R219=16,R219=17),"+3",IF(OR(R219=18,R219=19),"+4",IF(OR(R219=20,R219=21),"+5",IF(OR(R219=22,R219=23),"+6",IF(OR(R219=24,R219=25),"+7",IF(OR(R219=26,R219=27),"+8",IF(OR(R219=28,R219=29),"+9",IF(R219=30,"+10"," "))))))))))))))))</f>
        <v>+1</v>
      </c>
      <c r="T219" s="3" t="n">
        <v>7</v>
      </c>
      <c r="U219" s="1" t="str">
        <f aca="false">IF(T219=1,"-5",IF(OR(T219=2,T219=3),"-4",IF(OR(T219=4,T219=5),"-3",IF(OR(T219=6,T219=7),"-2",IF(OR(T219=8,T219=9),"-1",IF(OR(T219=10,T219=11),"0",IF(OR(T219=12,T219=13),"+1",IF(OR(T219=14,T219=15),"+2",IF(OR(T219=16,T219=17),"+3",IF(OR(T219=18,T219=19),"+4",IF(OR(T219=20,T219=21),"+5",IF(OR(T219=22,T219=23),"+6",IF(OR(T219=24,T219=25),"+7",IF(OR(T219=26,T219=27),"+8",IF(OR(T219=28,T219=29),"+9",IF(T219=30,"+10"," "))))))))))))))))</f>
        <v>-2</v>
      </c>
      <c r="V219" s="3" t="s">
        <v>416</v>
      </c>
      <c r="W219" s="3" t="s">
        <v>37</v>
      </c>
      <c r="X219" s="11" t="s">
        <v>1184</v>
      </c>
      <c r="Y219" s="11" t="s">
        <v>1185</v>
      </c>
      <c r="Z219" s="11" t="s">
        <v>37</v>
      </c>
      <c r="AA219" s="12" t="s">
        <v>37</v>
      </c>
    </row>
    <row r="220" customFormat="false" ht="16.4" hidden="false" customHeight="false" outlineLevel="0" collapsed="false">
      <c r="A220" s="14" t="s">
        <v>1186</v>
      </c>
      <c r="B220" s="1" t="s">
        <v>197</v>
      </c>
      <c r="C220" s="1" t="s">
        <v>37</v>
      </c>
      <c r="D220" s="5" t="n">
        <v>0.25</v>
      </c>
      <c r="E220" s="3" t="n">
        <f aca="false">VLOOKUP(D220,'[1]REF Tables'!$A$2:$B$40,2)</f>
        <v>50</v>
      </c>
      <c r="F220" s="1" t="s">
        <v>165</v>
      </c>
      <c r="G220" s="1" t="n">
        <v>17</v>
      </c>
      <c r="H220" s="1" t="s">
        <v>1187</v>
      </c>
      <c r="I220" s="3" t="s">
        <v>1188</v>
      </c>
      <c r="J220" s="1" t="n">
        <v>12</v>
      </c>
      <c r="K220" s="1" t="str">
        <f aca="false">IF(J220=1,"-5",IF(OR(J220=2,J220=3),"-4",IF(OR(J220=4,J220=5),"-3",IF(OR(J220=6,J220=7),"-2",IF(OR(J220=8,J220=9),"-1",IF(OR(J220=10,J220=11),"0",IF(OR(J220=12,J220=13),"+1",IF(OR(J220=14,J220=15),"+2",IF(OR(J220=16,J220=17),"+3",IF(OR(J220=18,J220=19),"+4",IF(OR(J220=20,J220=21),"+5",IF(OR(J220=22,J220=23),"+6",IF(OR(J220=24,J220=25),"+7",IF(OR(J220=26,J220=27),"+8",IF(OR(J220=28,J220=29),"+9",IF(J220=30,"+10"," "))))))))))))))))</f>
        <v>+1</v>
      </c>
      <c r="L220" s="1" t="n">
        <v>15</v>
      </c>
      <c r="M220" s="1" t="str">
        <f aca="false">IF(L220=1,"-5",IF(OR(L220=2,L220=3),"-4",IF(OR(L220=4,L220=5),"-3",IF(OR(L220=6,L220=7),"-2",IF(OR(L220=8,L220=9),"-1",IF(OR(L220=10,L220=11),"0",IF(OR(L220=12,L220=13),"+1",IF(OR(L220=14,L220=15),"+2",IF(OR(L220=16,L220=17),"+3",IF(OR(L220=18,L220=19),"+4",IF(OR(L220=20,L220=21),"+5",IF(OR(L220=22,L220=23),"+6",IF(OR(L220=24,L220=25),"+7",IF(OR(L220=26,L220=27),"+8",IF(OR(L220=28,L220=29),"+9",IF(L220=30,"+10"," "))))))))))))))))</f>
        <v>+2</v>
      </c>
      <c r="N220" s="1" t="n">
        <v>11</v>
      </c>
      <c r="O220" s="1" t="str">
        <f aca="false">IF(N220=1,"-5",IF(OR(N220=2,N220=3),"-4",IF(OR(N220=4,N220=5),"-3",IF(OR(N220=6,N220=7),"-2",IF(OR(N220=8,N220=9),"-1",IF(OR(N220=10,N220=11),"0",IF(OR(N220=12,N220=13),"+1",IF(OR(N220=14,N220=15),"+2",IF(OR(N220=16,N220=17),"+3",IF(OR(N220=18,N220=19),"+4",IF(OR(N220=20,N220=21),"+5",IF(OR(N220=22,N220=23),"+6",IF(OR(N220=24,N220=25),"+7",IF(OR(N220=26,N220=27),"+8",IF(OR(N220=28,N220=29),"+9",IF(N220=30,"+10"," "))))))))))))))))</f>
        <v>0</v>
      </c>
      <c r="P220" s="1" t="n">
        <v>1</v>
      </c>
      <c r="Q220" s="1" t="str">
        <f aca="false">IF(P220=1,"-5",IF(OR(P220=2,P220=3),"-4",IF(OR(P220=4,P220=5),"-3",IF(OR(P220=6,P220=7),"-2",IF(OR(P220=8,P220=9),"-1",IF(OR(P220=10,P220=11),"0",IF(OR(P220=12,P220=13),"+1",IF(OR(P220=14,P220=15),"+2",IF(OR(P220=16,P220=17),"+3",IF(OR(P220=18,P220=19),"+4",IF(OR(P220=20,P220=21),"+5",IF(OR(P220=22,P220=23),"+6",IF(OR(P220=24,P220=25),"+7",IF(OR(P220=26,P220=27),"+8",IF(OR(P220=28,P220=29),"+9",IF(P220=30,"+10"," "))))))))))))))))</f>
        <v>-5</v>
      </c>
      <c r="R220" s="1" t="n">
        <v>5</v>
      </c>
      <c r="S220" s="1" t="str">
        <f aca="false">IF(R220=1,"-5",IF(OR(R220=2,R220=3),"-4",IF(OR(R220=4,R220=5),"-3",IF(OR(R220=6,R220=7),"-2",IF(OR(R220=8,R220=9),"-1",IF(OR(R220=10,R220=11),"0",IF(OR(R220=12,R220=13),"+1",IF(OR(R220=14,R220=15),"+2",IF(OR(R220=16,R220=17),"+3",IF(OR(R220=18,R220=19),"+4",IF(OR(R220=20,R220=21),"+5",IF(OR(R220=22,R220=23),"+6",IF(OR(R220=24,R220=25),"+7",IF(OR(R220=26,R220=27),"+8",IF(OR(R220=28,R220=29),"+9",IF(R220=30,"+10"," "))))))))))))))))</f>
        <v>-3</v>
      </c>
      <c r="T220" s="1" t="n">
        <v>1</v>
      </c>
      <c r="U220" s="1" t="str">
        <f aca="false">IF(T220=1,"-5",IF(OR(T220=2,T220=3),"-4",IF(OR(T220=4,T220=5),"-3",IF(OR(T220=6,T220=7),"-2",IF(OR(T220=8,T220=9),"-1",IF(OR(T220=10,T220=11),"0",IF(OR(T220=12,T220=13),"+1",IF(OR(T220=14,T220=15),"+2",IF(OR(T220=16,T220=17),"+3",IF(OR(T220=18,T220=19),"+4",IF(OR(T220=20,T220=21),"+5",IF(OR(T220=22,T220=23),"+6",IF(OR(T220=24,T220=25),"+7",IF(OR(T220=26,T220=27),"+8",IF(OR(T220=28,T220=29),"+9",IF(T220=30,"+10"," "))))))))))))))))</f>
        <v>-5</v>
      </c>
      <c r="V220" s="1" t="s">
        <v>1189</v>
      </c>
      <c r="W220" s="1" t="s">
        <v>37</v>
      </c>
      <c r="X220" s="2" t="s">
        <v>1190</v>
      </c>
      <c r="Y220" s="2" t="s">
        <v>1191</v>
      </c>
      <c r="Z220" s="2" t="s">
        <v>37</v>
      </c>
      <c r="AA220" s="1" t="s">
        <v>37</v>
      </c>
    </row>
    <row r="221" customFormat="false" ht="16.4" hidden="false" customHeight="false" outlineLevel="0" collapsed="false">
      <c r="A221" s="15" t="s">
        <v>1192</v>
      </c>
      <c r="B221" s="3" t="s">
        <v>158</v>
      </c>
      <c r="C221" s="3" t="s">
        <v>230</v>
      </c>
      <c r="D221" s="16" t="n">
        <v>1</v>
      </c>
      <c r="E221" s="3" t="n">
        <f aca="false">VLOOKUP(D221,'[1]REF Tables'!$A$2:$B$40,2)</f>
        <v>200</v>
      </c>
      <c r="F221" s="3" t="s">
        <v>30</v>
      </c>
      <c r="G221" s="3" t="n">
        <v>14</v>
      </c>
      <c r="H221" s="3" t="s">
        <v>1082</v>
      </c>
      <c r="I221" s="3" t="s">
        <v>42</v>
      </c>
      <c r="J221" s="3" t="n">
        <v>13</v>
      </c>
      <c r="K221" s="1" t="str">
        <f aca="false">IF(J221=1,"-5",IF(OR(J221=2,J221=3),"-4",IF(OR(J221=4,J221=5),"-3",IF(OR(J221=6,J221=7),"-2",IF(OR(J221=8,J221=9),"-1",IF(OR(J221=10,J221=11),"0",IF(OR(J221=12,J221=13),"+1",IF(OR(J221=14,J221=15),"+2",IF(OR(J221=16,J221=17),"+3",IF(OR(J221=18,J221=19),"+4",IF(OR(J221=20,J221=21),"+5",IF(OR(J221=22,J221=23),"+6",IF(OR(J221=24,J221=25),"+7",IF(OR(J221=26,J221=27),"+8",IF(OR(J221=28,J221=29),"+9",IF(J221=30,"+10"," "))))))))))))))))</f>
        <v>+1</v>
      </c>
      <c r="L221" s="3" t="n">
        <v>12</v>
      </c>
      <c r="M221" s="1" t="str">
        <f aca="false">IF(L221=1,"-5",IF(OR(L221=2,L221=3),"-4",IF(OR(L221=4,L221=5),"-3",IF(OR(L221=6,L221=7),"-2",IF(OR(L221=8,L221=9),"-1",IF(OR(L221=10,L221=11),"0",IF(OR(L221=12,L221=13),"+1",IF(OR(L221=14,L221=15),"+2",IF(OR(L221=16,L221=17),"+3",IF(OR(L221=18,L221=19),"+4",IF(OR(L221=20,L221=21),"+5",IF(OR(L221=22,L221=23),"+6",IF(OR(L221=24,L221=25),"+7",IF(OR(L221=26,L221=27),"+8",IF(OR(L221=28,L221=29),"+9",IF(L221=30,"+10"," "))))))))))))))))</f>
        <v>+1</v>
      </c>
      <c r="N221" s="3" t="n">
        <v>13</v>
      </c>
      <c r="O221" s="1" t="str">
        <f aca="false">IF(N221=1,"-5",IF(OR(N221=2,N221=3),"-4",IF(OR(N221=4,N221=5),"-3",IF(OR(N221=6,N221=7),"-2",IF(OR(N221=8,N221=9),"-1",IF(OR(N221=10,N221=11),"0",IF(OR(N221=12,N221=13),"+1",IF(OR(N221=14,N221=15),"+2",IF(OR(N221=16,N221=17),"+3",IF(OR(N221=18,N221=19),"+4",IF(OR(N221=20,N221=21),"+5",IF(OR(N221=22,N221=23),"+6",IF(OR(N221=24,N221=25),"+7",IF(OR(N221=26,N221=27),"+8",IF(OR(N221=28,N221=29),"+9",IF(N221=30,"+10"," "))))))))))))))))</f>
        <v>+1</v>
      </c>
      <c r="P221" s="3" t="n">
        <v>2</v>
      </c>
      <c r="Q221" s="1" t="str">
        <f aca="false">IF(P221=1,"-5",IF(OR(P221=2,P221=3),"-4",IF(OR(P221=4,P221=5),"-3",IF(OR(P221=6,P221=7),"-2",IF(OR(P221=8,P221=9),"-1",IF(OR(P221=10,P221=11),"0",IF(OR(P221=12,P221=13),"+1",IF(OR(P221=14,P221=15),"+2",IF(OR(P221=16,P221=17),"+3",IF(OR(P221=18,P221=19),"+4",IF(OR(P221=20,P221=21),"+5",IF(OR(P221=22,P221=23),"+6",IF(OR(P221=24,P221=25),"+7",IF(OR(P221=26,P221=27),"+8",IF(OR(P221=28,P221=29),"+9",IF(P221=30,"+10"," "))))))))))))))))</f>
        <v>-4</v>
      </c>
      <c r="R221" s="3" t="n">
        <v>10</v>
      </c>
      <c r="S221" s="1" t="str">
        <f aca="false">IF(R221=1,"-5",IF(OR(R221=2,R221=3),"-4",IF(OR(R221=4,R221=5),"-3",IF(OR(R221=6,R221=7),"-2",IF(OR(R221=8,R221=9),"-1",IF(OR(R221=10,R221=11),"0",IF(OR(R221=12,R221=13),"+1",IF(OR(R221=14,R221=15),"+2",IF(OR(R221=16,R221=17),"+3",IF(OR(R221=18,R221=19),"+4",IF(OR(R221=20,R221=21),"+5",IF(OR(R221=22,R221=23),"+6",IF(OR(R221=24,R221=25),"+7",IF(OR(R221=26,R221=27),"+8",IF(OR(R221=28,R221=29),"+9",IF(R221=30,"+10"," "))))))))))))))))</f>
        <v>0</v>
      </c>
      <c r="T221" s="3" t="n">
        <v>6</v>
      </c>
      <c r="U221" s="1" t="str">
        <f aca="false">IF(T221=1,"-5",IF(OR(T221=2,T221=3),"-4",IF(OR(T221=4,T221=5),"-3",IF(OR(T221=6,T221=7),"-2",IF(OR(T221=8,T221=9),"-1",IF(OR(T221=10,T221=11),"0",IF(OR(T221=12,T221=13),"+1",IF(OR(T221=14,T221=15),"+2",IF(OR(T221=16,T221=17),"+3",IF(OR(T221=18,T221=19),"+4",IF(OR(T221=20,T221=21),"+5",IF(OR(T221=22,T221=23),"+6",IF(OR(T221=24,T221=25),"+7",IF(OR(T221=26,T221=27),"+8",IF(OR(T221=28,T221=29),"+9",IF(T221=30,"+10"," "))))))))))))))))</f>
        <v>-2</v>
      </c>
      <c r="V221" s="3" t="s">
        <v>1193</v>
      </c>
      <c r="W221" s="3" t="s">
        <v>37</v>
      </c>
      <c r="X221" s="11" t="s">
        <v>1194</v>
      </c>
      <c r="Y221" s="11" t="s">
        <v>1195</v>
      </c>
      <c r="Z221" s="11" t="s">
        <v>37</v>
      </c>
      <c r="AA221" s="12" t="s">
        <v>37</v>
      </c>
    </row>
    <row r="222" customFormat="false" ht="16.4" hidden="false" customHeight="false" outlineLevel="0" collapsed="false">
      <c r="A222" s="15" t="s">
        <v>1196</v>
      </c>
      <c r="B222" s="3" t="s">
        <v>197</v>
      </c>
      <c r="C222" s="3" t="s">
        <v>222</v>
      </c>
      <c r="D222" s="16" t="n">
        <v>1</v>
      </c>
      <c r="E222" s="3" t="n">
        <f aca="false">VLOOKUP(D222,'[1]REF Tables'!$A$2:$B$40,2)</f>
        <v>200</v>
      </c>
      <c r="F222" s="3" t="s">
        <v>30</v>
      </c>
      <c r="G222" s="3" t="n">
        <v>11</v>
      </c>
      <c r="H222" s="3" t="s">
        <v>339</v>
      </c>
      <c r="I222" s="3" t="s">
        <v>42</v>
      </c>
      <c r="J222" s="3" t="n">
        <v>11</v>
      </c>
      <c r="K222" s="1" t="str">
        <f aca="false">IF(J222=1,"-5",IF(OR(J222=2,J222=3),"-4",IF(OR(J222=4,J222=5),"-3",IF(OR(J222=6,J222=7),"-2",IF(OR(J222=8,J222=9),"-1",IF(OR(J222=10,J222=11),"0",IF(OR(J222=12,J222=13),"+1",IF(OR(J222=14,J222=15),"+2",IF(OR(J222=16,J222=17),"+3",IF(OR(J222=18,J222=19),"+4",IF(OR(J222=20,J222=21),"+5",IF(OR(J222=22,J222=23),"+6",IF(OR(J222=24,J222=25),"+7",IF(OR(J222=26,J222=27),"+8",IF(OR(J222=28,J222=29),"+9",IF(J222=30,"+10"," "))))))))))))))))</f>
        <v>0</v>
      </c>
      <c r="L222" s="3" t="n">
        <v>13</v>
      </c>
      <c r="M222" s="1" t="str">
        <f aca="false">IF(L222=1,"-5",IF(OR(L222=2,L222=3),"-4",IF(OR(L222=4,L222=5),"-3",IF(OR(L222=6,L222=7),"-2",IF(OR(L222=8,L222=9),"-1",IF(OR(L222=10,L222=11),"0",IF(OR(L222=12,L222=13),"+1",IF(OR(L222=14,L222=15),"+2",IF(OR(L222=16,L222=17),"+3",IF(OR(L222=18,L222=19),"+4",IF(OR(L222=20,L222=21),"+5",IF(OR(L222=22,L222=23),"+6",IF(OR(L222=24,L222=25),"+7",IF(OR(L222=26,L222=27),"+8",IF(OR(L222=28,L222=29),"+9",IF(L222=30,"+10"," "))))))))))))))))</f>
        <v>+1</v>
      </c>
      <c r="N222" s="3" t="n">
        <v>11</v>
      </c>
      <c r="O222" s="1" t="str">
        <f aca="false">IF(N222=1,"-5",IF(OR(N222=2,N222=3),"-4",IF(OR(N222=4,N222=5),"-3",IF(OR(N222=6,N222=7),"-2",IF(OR(N222=8,N222=9),"-1",IF(OR(N222=10,N222=11),"0",IF(OR(N222=12,N222=13),"+1",IF(OR(N222=14,N222=15),"+2",IF(OR(N222=16,N222=17),"+3",IF(OR(N222=18,N222=19),"+4",IF(OR(N222=20,N222=21),"+5",IF(OR(N222=22,N222=23),"+6",IF(OR(N222=24,N222=25),"+7",IF(OR(N222=26,N222=27),"+8",IF(OR(N222=28,N222=29),"+9",IF(N222=30,"+10"," "))))))))))))))))</f>
        <v>0</v>
      </c>
      <c r="P222" s="3" t="n">
        <v>10</v>
      </c>
      <c r="Q222" s="1" t="str">
        <f aca="false">IF(P222=1,"-5",IF(OR(P222=2,P222=3),"-4",IF(OR(P222=4,P222=5),"-3",IF(OR(P222=6,P222=7),"-2",IF(OR(P222=8,P222=9),"-1",IF(OR(P222=10,P222=11),"0",IF(OR(P222=12,P222=13),"+1",IF(OR(P222=14,P222=15),"+2",IF(OR(P222=16,P222=17),"+3",IF(OR(P222=18,P222=19),"+4",IF(OR(P222=20,P222=21),"+5",IF(OR(P222=22,P222=23),"+6",IF(OR(P222=24,P222=25),"+7",IF(OR(P222=26,P222=27),"+8",IF(OR(P222=28,P222=29),"+9",IF(P222=30,"+10"," "))))))))))))))))</f>
        <v>0</v>
      </c>
      <c r="R222" s="3" t="n">
        <v>10</v>
      </c>
      <c r="S222" s="1" t="str">
        <f aca="false">IF(R222=1,"-5",IF(OR(R222=2,R222=3),"-4",IF(OR(R222=4,R222=5),"-3",IF(OR(R222=6,R222=7),"-2",IF(OR(R222=8,R222=9),"-1",IF(OR(R222=10,R222=11),"0",IF(OR(R222=12,R222=13),"+1",IF(OR(R222=14,R222=15),"+2",IF(OR(R222=16,R222=17),"+3",IF(OR(R222=18,R222=19),"+4",IF(OR(R222=20,R222=21),"+5",IF(OR(R222=22,R222=23),"+6",IF(OR(R222=24,R222=25),"+7",IF(OR(R222=26,R222=27),"+8",IF(OR(R222=28,R222=29),"+9",IF(R222=30,"+10"," "))))))))))))))))</f>
        <v>0</v>
      </c>
      <c r="T222" s="3" t="n">
        <v>13</v>
      </c>
      <c r="U222" s="1" t="str">
        <f aca="false">IF(T222=1,"-5",IF(OR(T222=2,T222=3),"-4",IF(OR(T222=4,T222=5),"-3",IF(OR(T222=6,T222=7),"-2",IF(OR(T222=8,T222=9),"-1",IF(OR(T222=10,T222=11),"0",IF(OR(T222=12,T222=13),"+1",IF(OR(T222=14,T222=15),"+2",IF(OR(T222=16,T222=17),"+3",IF(OR(T222=18,T222=19),"+4",IF(OR(T222=20,T222=21),"+5",IF(OR(T222=22,T222=23),"+6",IF(OR(T222=24,T222=25),"+7",IF(OR(T222=26,T222=27),"+8",IF(OR(T222=28,T222=29),"+9",IF(T222=30,"+10"," "))))))))))))))))</f>
        <v>+1</v>
      </c>
      <c r="V222" s="3" t="s">
        <v>37</v>
      </c>
      <c r="W222" s="3" t="s">
        <v>1197</v>
      </c>
      <c r="X222" s="11" t="s">
        <v>1198</v>
      </c>
      <c r="Y222" s="11" t="s">
        <v>1199</v>
      </c>
      <c r="Z222" s="11" t="s">
        <v>37</v>
      </c>
      <c r="AA222" s="12" t="s">
        <v>37</v>
      </c>
    </row>
    <row r="223" customFormat="false" ht="16.4" hidden="false" customHeight="false" outlineLevel="0" collapsed="false">
      <c r="A223" s="15" t="s">
        <v>1200</v>
      </c>
      <c r="B223" s="3" t="s">
        <v>699</v>
      </c>
      <c r="C223" s="3" t="s">
        <v>49</v>
      </c>
      <c r="D223" s="16" t="n">
        <v>12</v>
      </c>
      <c r="E223" s="6" t="n">
        <f aca="false">VLOOKUP(D223,'[1]REF Tables'!$A$2:$B$40,2)</f>
        <v>8400</v>
      </c>
      <c r="F223" s="3" t="s">
        <v>30</v>
      </c>
      <c r="G223" s="3" t="n">
        <v>18</v>
      </c>
      <c r="H223" s="3" t="s">
        <v>478</v>
      </c>
      <c r="I223" s="3" t="s">
        <v>388</v>
      </c>
      <c r="J223" s="3" t="n">
        <v>18</v>
      </c>
      <c r="K223" s="1" t="str">
        <f aca="false">IF(J223=1,"-5",IF(OR(J223=2,J223=3),"-4",IF(OR(J223=4,J223=5),"-3",IF(OR(J223=6,J223=7),"-2",IF(OR(J223=8,J223=9),"-1",IF(OR(J223=10,J223=11),"0",IF(OR(J223=12,J223=13),"+1",IF(OR(J223=14,J223=15),"+2",IF(OR(J223=16,J223=17),"+3",IF(OR(J223=18,J223=19),"+4",IF(OR(J223=20,J223=21),"+5",IF(OR(J223=22,J223=23),"+6",IF(OR(J223=24,J223=25),"+7",IF(OR(J223=26,J223=27),"+8",IF(OR(J223=28,J223=29),"+9",IF(J223=30,"+10"," "))))))))))))))))</f>
        <v>+4</v>
      </c>
      <c r="L223" s="3" t="n">
        <v>16</v>
      </c>
      <c r="M223" s="1" t="str">
        <f aca="false">IF(L223=1,"-5",IF(OR(L223=2,L223=3),"-4",IF(OR(L223=4,L223=5),"-3",IF(OR(L223=6,L223=7),"-2",IF(OR(L223=8,L223=9),"-1",IF(OR(L223=10,L223=11),"0",IF(OR(L223=12,L223=13),"+1",IF(OR(L223=14,L223=15),"+2",IF(OR(L223=16,L223=17),"+3",IF(OR(L223=18,L223=19),"+4",IF(OR(L223=20,L223=21),"+5",IF(OR(L223=22,L223=23),"+6",IF(OR(L223=24,L223=25),"+7",IF(OR(L223=26,L223=27),"+8",IF(OR(L223=28,L223=29),"+9",IF(L223=30,"+10"," "))))))))))))))))</f>
        <v>+3</v>
      </c>
      <c r="N223" s="3" t="n">
        <v>18</v>
      </c>
      <c r="O223" s="1" t="str">
        <f aca="false">IF(N223=1,"-5",IF(OR(N223=2,N223=3),"-4",IF(OR(N223=4,N223=5),"-3",IF(OR(N223=6,N223=7),"-2",IF(OR(N223=8,N223=9),"-1",IF(OR(N223=10,N223=11),"0",IF(OR(N223=12,N223=13),"+1",IF(OR(N223=14,N223=15),"+2",IF(OR(N223=16,N223=17),"+3",IF(OR(N223=18,N223=19),"+4",IF(OR(N223=20,N223=21),"+5",IF(OR(N223=22,N223=23),"+6",IF(OR(N223=24,N223=25),"+7",IF(OR(N223=26,N223=27),"+8",IF(OR(N223=28,N223=29),"+9",IF(N223=30,"+10"," "))))))))))))))))</f>
        <v>+4</v>
      </c>
      <c r="P223" s="3" t="n">
        <v>14</v>
      </c>
      <c r="Q223" s="1" t="str">
        <f aca="false">IF(P223=1,"-5",IF(OR(P223=2,P223=3),"-4",IF(OR(P223=4,P223=5),"-3",IF(OR(P223=6,P223=7),"-2",IF(OR(P223=8,P223=9),"-1",IF(OR(P223=10,P223=11),"0",IF(OR(P223=12,P223=13),"+1",IF(OR(P223=14,P223=15),"+2",IF(OR(P223=16,P223=17),"+3",IF(OR(P223=18,P223=19),"+4",IF(OR(P223=20,P223=21),"+5",IF(OR(P223=22,P223=23),"+6",IF(OR(P223=24,P223=25),"+7",IF(OR(P223=26,P223=27),"+8",IF(OR(P223=28,P223=29),"+9",IF(P223=30,"+10"," "))))))))))))))))</f>
        <v>+2</v>
      </c>
      <c r="R223" s="3" t="n">
        <v>14</v>
      </c>
      <c r="S223" s="1" t="str">
        <f aca="false">IF(R223=1,"-5",IF(OR(R223=2,R223=3),"-4",IF(OR(R223=4,R223=5),"-3",IF(OR(R223=6,R223=7),"-2",IF(OR(R223=8,R223=9),"-1",IF(OR(R223=10,R223=11),"0",IF(OR(R223=12,R223=13),"+1",IF(OR(R223=14,R223=15),"+2",IF(OR(R223=16,R223=17),"+3",IF(OR(R223=18,R223=19),"+4",IF(OR(R223=20,R223=21),"+5",IF(OR(R223=22,R223=23),"+6",IF(OR(R223=24,R223=25),"+7",IF(OR(R223=26,R223=27),"+8",IF(OR(R223=28,R223=29),"+9",IF(R223=30,"+10"," "))))))))))))))))</f>
        <v>+2</v>
      </c>
      <c r="T223" s="3" t="n">
        <v>18</v>
      </c>
      <c r="U223" s="1" t="str">
        <f aca="false">IF(T223=1,"-5",IF(OR(T223=2,T223=3),"-4",IF(OR(T223=4,T223=5),"-3",IF(OR(T223=6,T223=7),"-2",IF(OR(T223=8,T223=9),"-1",IF(OR(T223=10,T223=11),"0",IF(OR(T223=12,T223=13),"+1",IF(OR(T223=14,T223=15),"+2",IF(OR(T223=16,T223=17),"+3",IF(OR(T223=18,T223=19),"+4",IF(OR(T223=20,T223=21),"+5",IF(OR(T223=22,T223=23),"+6",IF(OR(T223=24,T223=25),"+7",IF(OR(T223=26,T223=27),"+8",IF(OR(T223=28,T223=29),"+9",IF(T223=30,"+10"," "))))))))))))))))</f>
        <v>+4</v>
      </c>
      <c r="V223" s="3" t="s">
        <v>1201</v>
      </c>
      <c r="W223" s="3" t="s">
        <v>702</v>
      </c>
      <c r="X223" s="11" t="s">
        <v>1202</v>
      </c>
      <c r="Y223" s="11" t="s">
        <v>1203</v>
      </c>
      <c r="Z223" s="11" t="s">
        <v>1204</v>
      </c>
      <c r="AA223" s="12"/>
    </row>
    <row r="224" customFormat="false" ht="16.4" hidden="false" customHeight="false" outlineLevel="0" collapsed="false">
      <c r="A224" s="15" t="s">
        <v>1205</v>
      </c>
      <c r="B224" s="3" t="s">
        <v>39</v>
      </c>
      <c r="C224" s="3" t="s">
        <v>40</v>
      </c>
      <c r="D224" s="16" t="n">
        <v>1</v>
      </c>
      <c r="E224" s="3" t="n">
        <f aca="false">VLOOKUP(D224,'[1]REF Tables'!$A$2:$B$40,2)</f>
        <v>200</v>
      </c>
      <c r="F224" s="3" t="s">
        <v>30</v>
      </c>
      <c r="G224" s="3" t="n">
        <v>12</v>
      </c>
      <c r="H224" s="3" t="s">
        <v>1206</v>
      </c>
      <c r="I224" s="3" t="s">
        <v>42</v>
      </c>
      <c r="J224" s="3" t="n">
        <v>10</v>
      </c>
      <c r="K224" s="1" t="str">
        <f aca="false">IF(J224=1,"-5",IF(OR(J224=2,J224=3),"-4",IF(OR(J224=4,J224=5),"-3",IF(OR(J224=6,J224=7),"-2",IF(OR(J224=8,J224=9),"-1",IF(OR(J224=10,J224=11),"0",IF(OR(J224=12,J224=13),"+1",IF(OR(J224=14,J224=15),"+2",IF(OR(J224=16,J224=17),"+3",IF(OR(J224=18,J224=19),"+4",IF(OR(J224=20,J224=21),"+5",IF(OR(J224=22,J224=23),"+6",IF(OR(J224=24,J224=25),"+7",IF(OR(J224=26,J224=27),"+8",IF(OR(J224=28,J224=29),"+9",IF(J224=30,"+10"," "))))))))))))))))</f>
        <v>0</v>
      </c>
      <c r="L224" s="3" t="n">
        <v>15</v>
      </c>
      <c r="M224" s="1" t="str">
        <f aca="false">IF(L224=1,"-5",IF(OR(L224=2,L224=3),"-4",IF(OR(L224=4,L224=5),"-3",IF(OR(L224=6,L224=7),"-2",IF(OR(L224=8,L224=9),"-1",IF(OR(L224=10,L224=11),"0",IF(OR(L224=12,L224=13),"+1",IF(OR(L224=14,L224=15),"+2",IF(OR(L224=16,L224=17),"+3",IF(OR(L224=18,L224=19),"+4",IF(OR(L224=20,L224=21),"+5",IF(OR(L224=22,L224=23),"+6",IF(OR(L224=24,L224=25),"+7",IF(OR(L224=26,L224=27),"+8",IF(OR(L224=28,L224=29),"+9",IF(L224=30,"+10"," "))))))))))))))))</f>
        <v>+2</v>
      </c>
      <c r="N224" s="3" t="n">
        <v>10</v>
      </c>
      <c r="O224" s="1" t="str">
        <f aca="false">IF(N224=1,"-5",IF(OR(N224=2,N224=3),"-4",IF(OR(N224=4,N224=5),"-3",IF(OR(N224=6,N224=7),"-2",IF(OR(N224=8,N224=9),"-1",IF(OR(N224=10,N224=11),"0",IF(OR(N224=12,N224=13),"+1",IF(OR(N224=14,N224=15),"+2",IF(OR(N224=16,N224=17),"+3",IF(OR(N224=18,N224=19),"+4",IF(OR(N224=20,N224=21),"+5",IF(OR(N224=22,N224=23),"+6",IF(OR(N224=24,N224=25),"+7",IF(OR(N224=26,N224=27),"+8",IF(OR(N224=28,N224=29),"+9",IF(N224=30,"+10"," "))))))))))))))))</f>
        <v>0</v>
      </c>
      <c r="P224" s="3" t="n">
        <v>12</v>
      </c>
      <c r="Q224" s="1" t="str">
        <f aca="false">IF(P224=1,"-5",IF(OR(P224=2,P224=3),"-4",IF(OR(P224=4,P224=5),"-3",IF(OR(P224=6,P224=7),"-2",IF(OR(P224=8,P224=9),"-1",IF(OR(P224=10,P224=11),"0",IF(OR(P224=12,P224=13),"+1",IF(OR(P224=14,P224=15),"+2",IF(OR(P224=16,P224=17),"+3",IF(OR(P224=18,P224=19),"+4",IF(OR(P224=20,P224=21),"+5",IF(OR(P224=22,P224=23),"+6",IF(OR(P224=24,P224=25),"+7",IF(OR(P224=26,P224=27),"+8",IF(OR(P224=28,P224=29),"+9",IF(P224=30,"+10"," "))))))))))))))))</f>
        <v>+1</v>
      </c>
      <c r="R224" s="3" t="n">
        <v>14</v>
      </c>
      <c r="S224" s="1" t="str">
        <f aca="false">IF(R224=1,"-5",IF(OR(R224=2,R224=3),"-4",IF(OR(R224=4,R224=5),"-3",IF(OR(R224=6,R224=7),"-2",IF(OR(R224=8,R224=9),"-1",IF(OR(R224=10,R224=11),"0",IF(OR(R224=12,R224=13),"+1",IF(OR(R224=14,R224=15),"+2",IF(OR(R224=16,R224=17),"+3",IF(OR(R224=18,R224=19),"+4",IF(OR(R224=20,R224=21),"+5",IF(OR(R224=22,R224=23),"+6",IF(OR(R224=24,R224=25),"+7",IF(OR(R224=26,R224=27),"+8",IF(OR(R224=28,R224=29),"+9",IF(R224=30,"+10"," "))))))))))))))))</f>
        <v>+2</v>
      </c>
      <c r="T224" s="3" t="n">
        <v>16</v>
      </c>
      <c r="U224" s="1" t="str">
        <f aca="false">IF(T224=1,"-5",IF(OR(T224=2,T224=3),"-4",IF(OR(T224=4,T224=5),"-3",IF(OR(T224=6,T224=7),"-2",IF(OR(T224=8,T224=9),"-1",IF(OR(T224=10,T224=11),"0",IF(OR(T224=12,T224=13),"+1",IF(OR(T224=14,T224=15),"+2",IF(OR(T224=16,T224=17),"+3",IF(OR(T224=18,T224=19),"+4",IF(OR(T224=20,T224=21),"+5",IF(OR(T224=22,T224=23),"+6",IF(OR(T224=24,T224=25),"+7",IF(OR(T224=26,T224=27),"+8",IF(OR(T224=28,T224=29),"+9",IF(T224=30,"+10"," "))))))))))))))))</f>
        <v>+3</v>
      </c>
      <c r="V224" s="3" t="s">
        <v>1207</v>
      </c>
      <c r="W224" s="3" t="s">
        <v>265</v>
      </c>
      <c r="X224" s="11" t="s">
        <v>1208</v>
      </c>
      <c r="Y224" s="11" t="s">
        <v>1209</v>
      </c>
      <c r="Z224" s="11" t="s">
        <v>37</v>
      </c>
      <c r="AA224" s="12" t="s">
        <v>37</v>
      </c>
    </row>
    <row r="225" customFormat="false" ht="16.4" hidden="false" customHeight="false" outlineLevel="0" collapsed="false">
      <c r="A225" s="18" t="s">
        <v>1210</v>
      </c>
      <c r="B225" s="3" t="s">
        <v>386</v>
      </c>
      <c r="C225" s="3" t="s">
        <v>590</v>
      </c>
      <c r="D225" s="16" t="n">
        <v>2</v>
      </c>
      <c r="E225" s="3" t="n">
        <f aca="false">VLOOKUP(D225,'[1]REF Tables'!$A$2:$B$40,2)</f>
        <v>450</v>
      </c>
      <c r="F225" s="3" t="s">
        <v>30</v>
      </c>
      <c r="G225" s="3" t="n">
        <v>10</v>
      </c>
      <c r="H225" s="3" t="s">
        <v>1087</v>
      </c>
      <c r="I225" s="3" t="s">
        <v>1211</v>
      </c>
      <c r="J225" s="3" t="n">
        <v>10</v>
      </c>
      <c r="K225" s="1" t="str">
        <f aca="false">IF(J225=1,"-5",IF(OR(J225=2,J225=3),"-4",IF(OR(J225=4,J225=5),"-3",IF(OR(J225=6,J225=7),"-2",IF(OR(J225=8,J225=9),"-1",IF(OR(J225=10,J225=11),"0",IF(OR(J225=12,J225=13),"+1",IF(OR(J225=14,J225=15),"+2",IF(OR(J225=16,J225=17),"+3",IF(OR(J225=18,J225=19),"+4",IF(OR(J225=20,J225=21),"+5",IF(OR(J225=22,J225=23),"+6",IF(OR(J225=24,J225=25),"+7",IF(OR(J225=26,J225=27),"+8",IF(OR(J225=28,J225=29),"+9",IF(J225=30,"+10"," "))))))))))))))))</f>
        <v>0</v>
      </c>
      <c r="L225" s="3" t="n">
        <v>10</v>
      </c>
      <c r="M225" s="1" t="str">
        <f aca="false">IF(L225=1,"-5",IF(OR(L225=2,L225=3),"-4",IF(OR(L225=4,L225=5),"-3",IF(OR(L225=6,L225=7),"-2",IF(OR(L225=8,L225=9),"-1",IF(OR(L225=10,L225=11),"0",IF(OR(L225=12,L225=13),"+1",IF(OR(L225=14,L225=15),"+2",IF(OR(L225=16,L225=17),"+3",IF(OR(L225=18,L225=19),"+4",IF(OR(L225=20,L225=21),"+5",IF(OR(L225=22,L225=23),"+6",IF(OR(L225=24,L225=25),"+7",IF(OR(L225=26,L225=27),"+8",IF(OR(L225=28,L225=29),"+9",IF(L225=30,"+10"," "))))))))))))))))</f>
        <v>0</v>
      </c>
      <c r="N225" s="3" t="n">
        <v>10</v>
      </c>
      <c r="O225" s="1" t="str">
        <f aca="false">IF(N225=1,"-5",IF(OR(N225=2,N225=3),"-4",IF(OR(N225=4,N225=5),"-3",IF(OR(N225=6,N225=7),"-2",IF(OR(N225=8,N225=9),"-1",IF(OR(N225=10,N225=11),"0",IF(OR(N225=12,N225=13),"+1",IF(OR(N225=14,N225=15),"+2",IF(OR(N225=16,N225=17),"+3",IF(OR(N225=18,N225=19),"+4",IF(OR(N225=20,N225=21),"+5",IF(OR(N225=22,N225=23),"+6",IF(OR(N225=24,N225=25),"+7",IF(OR(N225=26,N225=27),"+8",IF(OR(N225=28,N225=29),"+9",IF(N225=30,"+10"," "))))))))))))))))</f>
        <v>0</v>
      </c>
      <c r="P225" s="3" t="n">
        <v>10</v>
      </c>
      <c r="Q225" s="1" t="str">
        <f aca="false">IF(P225=1,"-5",IF(OR(P225=2,P225=3),"-4",IF(OR(P225=4,P225=5),"-3",IF(OR(P225=6,P225=7),"-2",IF(OR(P225=8,P225=9),"-1",IF(OR(P225=10,P225=11),"0",IF(OR(P225=12,P225=13),"+1",IF(OR(P225=14,P225=15),"+2",IF(OR(P225=16,P225=17),"+3",IF(OR(P225=18,P225=19),"+4",IF(OR(P225=20,P225=21),"+5",IF(OR(P225=22,P225=23),"+6",IF(OR(P225=24,P225=25),"+7",IF(OR(P225=26,P225=27),"+8",IF(OR(P225=28,P225=29),"+9",IF(P225=30,"+10"," "))))))))))))))))</f>
        <v>0</v>
      </c>
      <c r="R225" s="3" t="n">
        <v>10</v>
      </c>
      <c r="S225" s="1" t="str">
        <f aca="false">IF(R225=1,"-5",IF(OR(R225=2,R225=3),"-4",IF(OR(R225=4,R225=5),"-3",IF(OR(R225=6,R225=7),"-2",IF(OR(R225=8,R225=9),"-1",IF(OR(R225=10,R225=11),"0",IF(OR(R225=12,R225=13),"+1",IF(OR(R225=14,R225=15),"+2",IF(OR(R225=16,R225=17),"+3",IF(OR(R225=18,R225=19),"+4",IF(OR(R225=20,R225=21),"+5",IF(OR(R225=22,R225=23),"+6",IF(OR(R225=24,R225=25),"+7",IF(OR(R225=26,R225=27),"+8",IF(OR(R225=28,R225=29),"+9",IF(R225=30,"+10"," "))))))))))))))))</f>
        <v>0</v>
      </c>
      <c r="T225" s="3" t="n">
        <v>15</v>
      </c>
      <c r="U225" s="1" t="str">
        <f aca="false">IF(T225=1,"-5",IF(OR(T225=2,T225=3),"-4",IF(OR(T225=4,T225=5),"-3",IF(OR(T225=6,T225=7),"-2",IF(OR(T225=8,T225=9),"-1",IF(OR(T225=10,T225=11),"0",IF(OR(T225=12,T225=13),"+1",IF(OR(T225=14,T225=15),"+2",IF(OR(T225=16,T225=17),"+3",IF(OR(T225=18,T225=19),"+4",IF(OR(T225=20,T225=21),"+5",IF(OR(T225=22,T225=23),"+6",IF(OR(T225=24,T225=25),"+7",IF(OR(T225=26,T225=27),"+8",IF(OR(T225=28,T225=29),"+9",IF(T225=30,"+10"," "))))))))))))))))</f>
        <v>+2</v>
      </c>
      <c r="V225" s="3" t="s">
        <v>556</v>
      </c>
      <c r="W225" s="3" t="s">
        <v>37</v>
      </c>
      <c r="X225" s="11" t="s">
        <v>1212</v>
      </c>
      <c r="Y225" s="11" t="s">
        <v>1213</v>
      </c>
      <c r="Z225" s="11" t="s">
        <v>37</v>
      </c>
      <c r="AA225" s="12" t="s">
        <v>37</v>
      </c>
    </row>
    <row r="226" customFormat="false" ht="16.4" hidden="false" customHeight="false" outlineLevel="0" collapsed="false">
      <c r="A226" s="15" t="s">
        <v>1214</v>
      </c>
      <c r="B226" s="3" t="s">
        <v>356</v>
      </c>
      <c r="C226" s="3" t="s">
        <v>29</v>
      </c>
      <c r="D226" s="16" t="n">
        <v>0.25</v>
      </c>
      <c r="E226" s="3" t="n">
        <f aca="false">VLOOKUP(D226,'[1]REF Tables'!$A$2:$B$40,2)</f>
        <v>50</v>
      </c>
      <c r="F226" s="3" t="s">
        <v>315</v>
      </c>
      <c r="G226" s="3" t="n">
        <v>15</v>
      </c>
      <c r="H226" s="3" t="s">
        <v>438</v>
      </c>
      <c r="I226" s="3" t="s">
        <v>1215</v>
      </c>
      <c r="J226" s="3" t="n">
        <v>3</v>
      </c>
      <c r="K226" s="1" t="str">
        <f aca="false">IF(J226=1,"-5",IF(OR(J226=2,J226=3),"-4",IF(OR(J226=4,J226=5),"-3",IF(OR(J226=6,J226=7),"-2",IF(OR(J226=8,J226=9),"-1",IF(OR(J226=10,J226=11),"0",IF(OR(J226=12,J226=13),"+1",IF(OR(J226=14,J226=15),"+2",IF(OR(J226=16,J226=17),"+3",IF(OR(J226=18,J226=19),"+4",IF(OR(J226=20,J226=21),"+5",IF(OR(J226=22,J226=23),"+6",IF(OR(J226=24,J226=25),"+7",IF(OR(J226=26,J226=27),"+8",IF(OR(J226=28,J226=29),"+9",IF(J226=30,"+10"," "))))))))))))))))</f>
        <v>-4</v>
      </c>
      <c r="L226" s="3" t="n">
        <v>18</v>
      </c>
      <c r="M226" s="1" t="str">
        <f aca="false">IF(L226=1,"-5",IF(OR(L226=2,L226=3),"-4",IF(OR(L226=4,L226=5),"-3",IF(OR(L226=6,L226=7),"-2",IF(OR(L226=8,L226=9),"-1",IF(OR(L226=10,L226=11),"0",IF(OR(L226=12,L226=13),"+1",IF(OR(L226=14,L226=15),"+2",IF(OR(L226=16,L226=17),"+3",IF(OR(L226=18,L226=19),"+4",IF(OR(L226=20,L226=21),"+5",IF(OR(L226=22,L226=23),"+6",IF(OR(L226=24,L226=25),"+7",IF(OR(L226=26,L226=27),"+8",IF(OR(L226=28,L226=29),"+9",IF(L226=30,"+10"," "))))))))))))))))</f>
        <v>+4</v>
      </c>
      <c r="N226" s="3" t="n">
        <v>10</v>
      </c>
      <c r="O226" s="1" t="str">
        <f aca="false">IF(N226=1,"-5",IF(OR(N226=2,N226=3),"-4",IF(OR(N226=4,N226=5),"-3",IF(OR(N226=6,N226=7),"-2",IF(OR(N226=8,N226=9),"-1",IF(OR(N226=10,N226=11),"0",IF(OR(N226=12,N226=13),"+1",IF(OR(N226=14,N226=15),"+2",IF(OR(N226=16,N226=17),"+3",IF(OR(N226=18,N226=19),"+4",IF(OR(N226=20,N226=21),"+5",IF(OR(N226=22,N226=23),"+6",IF(OR(N226=24,N226=25),"+7",IF(OR(N226=26,N226=27),"+8",IF(OR(N226=28,N226=29),"+9",IF(N226=30,"+10"," "))))))))))))))))</f>
        <v>0</v>
      </c>
      <c r="P226" s="3" t="n">
        <v>14</v>
      </c>
      <c r="Q226" s="1" t="str">
        <f aca="false">IF(P226=1,"-5",IF(OR(P226=2,P226=3),"-4",IF(OR(P226=4,P226=5),"-3",IF(OR(P226=6,P226=7),"-2",IF(OR(P226=8,P226=9),"-1",IF(OR(P226=10,P226=11),"0",IF(OR(P226=12,P226=13),"+1",IF(OR(P226=14,P226=15),"+2",IF(OR(P226=16,P226=17),"+3",IF(OR(P226=18,P226=19),"+4",IF(OR(P226=20,P226=21),"+5",IF(OR(P226=22,P226=23),"+6",IF(OR(P226=24,P226=25),"+7",IF(OR(P226=26,P226=27),"+8",IF(OR(P226=28,P226=29),"+9",IF(P226=30,"+10"," "))))))))))))))))</f>
        <v>+2</v>
      </c>
      <c r="R226" s="3" t="n">
        <v>13</v>
      </c>
      <c r="S226" s="1" t="str">
        <f aca="false">IF(R226=1,"-5",IF(OR(R226=2,R226=3),"-4",IF(OR(R226=4,R226=5),"-3",IF(OR(R226=6,R226=7),"-2",IF(OR(R226=8,R226=9),"-1",IF(OR(R226=10,R226=11),"0",IF(OR(R226=12,R226=13),"+1",IF(OR(R226=14,R226=15),"+2",IF(OR(R226=16,R226=17),"+3",IF(OR(R226=18,R226=19),"+4",IF(OR(R226=20,R226=21),"+5",IF(OR(R226=22,R226=23),"+6",IF(OR(R226=24,R226=25),"+7",IF(OR(R226=26,R226=27),"+8",IF(OR(R226=28,R226=29),"+9",IF(R226=30,"+10"," "))))))))))))))))</f>
        <v>+1</v>
      </c>
      <c r="T226" s="3" t="n">
        <v>11</v>
      </c>
      <c r="U226" s="1" t="str">
        <f aca="false">IF(T226=1,"-5",IF(OR(T226=2,T226=3),"-4",IF(OR(T226=4,T226=5),"-3",IF(OR(T226=6,T226=7),"-2",IF(OR(T226=8,T226=9),"-1",IF(OR(T226=10,T226=11),"0",IF(OR(T226=12,T226=13),"+1",IF(OR(T226=14,T226=15),"+2",IF(OR(T226=16,T226=17),"+3",IF(OR(T226=18,T226=19),"+4",IF(OR(T226=20,T226=21),"+5",IF(OR(T226=22,T226=23),"+6",IF(OR(T226=24,T226=25),"+7",IF(OR(T226=26,T226=27),"+8",IF(OR(T226=28,T226=29),"+9",IF(T226=30,"+10"," "))))))))))))))))</f>
        <v>0</v>
      </c>
      <c r="V226" s="3" t="s">
        <v>1216</v>
      </c>
      <c r="W226" s="3" t="s">
        <v>1217</v>
      </c>
      <c r="X226" s="11" t="s">
        <v>1218</v>
      </c>
      <c r="Y226" s="11" t="s">
        <v>1219</v>
      </c>
      <c r="Z226" s="11" t="s">
        <v>37</v>
      </c>
      <c r="AA226" s="12" t="s">
        <v>37</v>
      </c>
    </row>
    <row r="227" customFormat="false" ht="16.4" hidden="false" customHeight="false" outlineLevel="0" collapsed="false">
      <c r="A227" s="15" t="s">
        <v>1220</v>
      </c>
      <c r="B227" s="3" t="s">
        <v>105</v>
      </c>
      <c r="C227" s="3" t="s">
        <v>85</v>
      </c>
      <c r="D227" s="16" t="n">
        <v>2</v>
      </c>
      <c r="E227" s="3" t="n">
        <f aca="false">VLOOKUP(D227,'[1]REF Tables'!$A$2:$B$40,2)</f>
        <v>450</v>
      </c>
      <c r="F227" s="3" t="s">
        <v>30</v>
      </c>
      <c r="G227" s="3" t="n">
        <v>13</v>
      </c>
      <c r="H227" s="3" t="s">
        <v>282</v>
      </c>
      <c r="I227" s="3" t="s">
        <v>131</v>
      </c>
      <c r="J227" s="3" t="n">
        <v>14</v>
      </c>
      <c r="K227" s="1" t="str">
        <f aca="false">IF(J227=1,"-5",IF(OR(J227=2,J227=3),"-4",IF(OR(J227=4,J227=5),"-3",IF(OR(J227=6,J227=7),"-2",IF(OR(J227=8,J227=9),"-1",IF(OR(J227=10,J227=11),"0",IF(OR(J227=12,J227=13),"+1",IF(OR(J227=14,J227=15),"+2",IF(OR(J227=16,J227=17),"+3",IF(OR(J227=18,J227=19),"+4",IF(OR(J227=20,J227=21),"+5",IF(OR(J227=22,J227=23),"+6",IF(OR(J227=24,J227=25),"+7",IF(OR(J227=26,J227=27),"+8",IF(OR(J227=28,J227=29),"+9",IF(J227=30,"+10"," "))))))))))))))))</f>
        <v>+2</v>
      </c>
      <c r="L227" s="3" t="n">
        <v>15</v>
      </c>
      <c r="M227" s="1" t="str">
        <f aca="false">IF(L227=1,"-5",IF(OR(L227=2,L227=3),"-4",IF(OR(L227=4,L227=5),"-3",IF(OR(L227=6,L227=7),"-2",IF(OR(L227=8,L227=9),"-1",IF(OR(L227=10,L227=11),"0",IF(OR(L227=12,L227=13),"+1",IF(OR(L227=14,L227=15),"+2",IF(OR(L227=16,L227=17),"+3",IF(OR(L227=18,L227=19),"+4",IF(OR(L227=20,L227=21),"+5",IF(OR(L227=22,L227=23),"+6",IF(OR(L227=24,L227=25),"+7",IF(OR(L227=26,L227=27),"+8",IF(OR(L227=28,L227=29),"+9",IF(L227=30,"+10"," "))))))))))))))))</f>
        <v>+2</v>
      </c>
      <c r="N227" s="3" t="n">
        <v>13</v>
      </c>
      <c r="O227" s="1" t="str">
        <f aca="false">IF(N227=1,"-5",IF(OR(N227=2,N227=3),"-4",IF(OR(N227=4,N227=5),"-3",IF(OR(N227=6,N227=7),"-2",IF(OR(N227=8,N227=9),"-1",IF(OR(N227=10,N227=11),"0",IF(OR(N227=12,N227=13),"+1",IF(OR(N227=14,N227=15),"+2",IF(OR(N227=16,N227=17),"+3",IF(OR(N227=18,N227=19),"+4",IF(OR(N227=20,N227=21),"+5",IF(OR(N227=22,N227=23),"+6",IF(OR(N227=24,N227=25),"+7",IF(OR(N227=26,N227=27),"+8",IF(OR(N227=28,N227=29),"+9",IF(N227=30,"+10"," "))))))))))))))))</f>
        <v>+1</v>
      </c>
      <c r="P227" s="3" t="n">
        <v>7</v>
      </c>
      <c r="Q227" s="1" t="str">
        <f aca="false">IF(P227=1,"-5",IF(OR(P227=2,P227=3),"-4",IF(OR(P227=4,P227=5),"-3",IF(OR(P227=6,P227=7),"-2",IF(OR(P227=8,P227=9),"-1",IF(OR(P227=10,P227=11),"0",IF(OR(P227=12,P227=13),"+1",IF(OR(P227=14,P227=15),"+2",IF(OR(P227=16,P227=17),"+3",IF(OR(P227=18,P227=19),"+4",IF(OR(P227=20,P227=21),"+5",IF(OR(P227=22,P227=23),"+6",IF(OR(P227=24,P227=25),"+7",IF(OR(P227=26,P227=27),"+8",IF(OR(P227=28,P227=29),"+9",IF(P227=30,"+10"," "))))))))))))))))</f>
        <v>-2</v>
      </c>
      <c r="R227" s="3" t="n">
        <v>12</v>
      </c>
      <c r="S227" s="1" t="str">
        <f aca="false">IF(R227=1,"-5",IF(OR(R227=2,R227=3),"-4",IF(OR(R227=4,R227=5),"-3",IF(OR(R227=6,R227=7),"-2",IF(OR(R227=8,R227=9),"-1",IF(OR(R227=10,R227=11),"0",IF(OR(R227=12,R227=13),"+1",IF(OR(R227=14,R227=15),"+2",IF(OR(R227=16,R227=17),"+3",IF(OR(R227=18,R227=19),"+4",IF(OR(R227=20,R227=21),"+5",IF(OR(R227=22,R227=23),"+6",IF(OR(R227=24,R227=25),"+7",IF(OR(R227=26,R227=27),"+8",IF(OR(R227=28,R227=29),"+9",IF(R227=30,"+10"," "))))))))))))))))</f>
        <v>+1</v>
      </c>
      <c r="T227" s="3" t="n">
        <v>8</v>
      </c>
      <c r="U227" s="1" t="str">
        <f aca="false">IF(T227=1,"-5",IF(OR(T227=2,T227=3),"-4",IF(OR(T227=4,T227=5),"-3",IF(OR(T227=6,T227=7),"-2",IF(OR(T227=8,T227=9),"-1",IF(OR(T227=10,T227=11),"0",IF(OR(T227=12,T227=13),"+1",IF(OR(T227=14,T227=15),"+2",IF(OR(T227=16,T227=17),"+3",IF(OR(T227=18,T227=19),"+4",IF(OR(T227=20,T227=21),"+5",IF(OR(T227=22,T227=23),"+6",IF(OR(T227=24,T227=25),"+7",IF(OR(T227=26,T227=27),"+8",IF(OR(T227=28,T227=29),"+9",IF(T227=30,"+10"," "))))))))))))))))</f>
        <v>-1</v>
      </c>
      <c r="V227" s="3" t="s">
        <v>1221</v>
      </c>
      <c r="W227" s="3" t="s">
        <v>37</v>
      </c>
      <c r="X227" s="11" t="s">
        <v>1222</v>
      </c>
      <c r="Y227" s="11" t="s">
        <v>1223</v>
      </c>
      <c r="Z227" s="11" t="s">
        <v>37</v>
      </c>
      <c r="AA227" s="12" t="s">
        <v>37</v>
      </c>
    </row>
    <row r="228" customFormat="false" ht="16.4" hidden="false" customHeight="false" outlineLevel="0" collapsed="false">
      <c r="A228" s="15" t="s">
        <v>1224</v>
      </c>
      <c r="B228" s="3" t="s">
        <v>614</v>
      </c>
      <c r="C228" s="3" t="s">
        <v>222</v>
      </c>
      <c r="D228" s="16" t="n">
        <v>4</v>
      </c>
      <c r="E228" s="6" t="n">
        <f aca="false">VLOOKUP(D228,'[1]REF Tables'!$A$2:$B$40,2)</f>
        <v>1100</v>
      </c>
      <c r="F228" s="3" t="s">
        <v>50</v>
      </c>
      <c r="G228" s="3" t="n">
        <v>12</v>
      </c>
      <c r="H228" s="3" t="s">
        <v>1225</v>
      </c>
      <c r="I228" s="3" t="s">
        <v>224</v>
      </c>
      <c r="J228" s="3" t="n">
        <v>21</v>
      </c>
      <c r="K228" s="1" t="str">
        <f aca="false">IF(J228=1,"-5",IF(OR(J228=2,J228=3),"-4",IF(OR(J228=4,J228=5),"-3",IF(OR(J228=6,J228=7),"-2",IF(OR(J228=8,J228=9),"-1",IF(OR(J228=10,J228=11),"0",IF(OR(J228=12,J228=13),"+1",IF(OR(J228=14,J228=15),"+2",IF(OR(J228=16,J228=17),"+3",IF(OR(J228=18,J228=19),"+4",IF(OR(J228=20,J228=21),"+5",IF(OR(J228=22,J228=23),"+6",IF(OR(J228=24,J228=25),"+7",IF(OR(J228=26,J228=27),"+8",IF(OR(J228=28,J228=29),"+9",IF(J228=30,"+10"," "))))))))))))))))</f>
        <v>+5</v>
      </c>
      <c r="L228" s="3" t="n">
        <v>8</v>
      </c>
      <c r="M228" s="1" t="str">
        <f aca="false">IF(L228=1,"-5",IF(OR(L228=2,L228=3),"-4",IF(OR(L228=4,L228=5),"-3",IF(OR(L228=6,L228=7),"-2",IF(OR(L228=8,L228=9),"-1",IF(OR(L228=10,L228=11),"0",IF(OR(L228=12,L228=13),"+1",IF(OR(L228=14,L228=15),"+2",IF(OR(L228=16,L228=17),"+3",IF(OR(L228=18,L228=19),"+4",IF(OR(L228=20,L228=21),"+5",IF(OR(L228=22,L228=23),"+6",IF(OR(L228=24,L228=25),"+7",IF(OR(L228=26,L228=27),"+8",IF(OR(L228=28,L228=29),"+9",IF(L228=30,"+10"," "))))))))))))))))</f>
        <v>-1</v>
      </c>
      <c r="N228" s="3" t="n">
        <v>17</v>
      </c>
      <c r="O228" s="1" t="str">
        <f aca="false">IF(N228=1,"-5",IF(OR(N228=2,N228=3),"-4",IF(OR(N228=4,N228=5),"-3",IF(OR(N228=6,N228=7),"-2",IF(OR(N228=8,N228=9),"-1",IF(OR(N228=10,N228=11),"0",IF(OR(N228=12,N228=13),"+1",IF(OR(N228=14,N228=15),"+2",IF(OR(N228=16,N228=17),"+3",IF(OR(N228=18,N228=19),"+4",IF(OR(N228=20,N228=21),"+5",IF(OR(N228=22,N228=23),"+6",IF(OR(N228=24,N228=25),"+7",IF(OR(N228=26,N228=27),"+8",IF(OR(N228=28,N228=29),"+9",IF(N228=30,"+10"," "))))))))))))))))</f>
        <v>+3</v>
      </c>
      <c r="P228" s="3" t="n">
        <v>6</v>
      </c>
      <c r="Q228" s="1" t="str">
        <f aca="false">IF(P228=1,"-5",IF(OR(P228=2,P228=3),"-4",IF(OR(P228=4,P228=5),"-3",IF(OR(P228=6,P228=7),"-2",IF(OR(P228=8,P228=9),"-1",IF(OR(P228=10,P228=11),"0",IF(OR(P228=12,P228=13),"+1",IF(OR(P228=14,P228=15),"+2",IF(OR(P228=16,P228=17),"+3",IF(OR(P228=18,P228=19),"+4",IF(OR(P228=20,P228=21),"+5",IF(OR(P228=22,P228=23),"+6",IF(OR(P228=24,P228=25),"+7",IF(OR(P228=26,P228=27),"+8",IF(OR(P228=28,P228=29),"+9",IF(P228=30,"+10"," "))))))))))))))))</f>
        <v>-2</v>
      </c>
      <c r="R228" s="3" t="n">
        <v>10</v>
      </c>
      <c r="S228" s="1" t="str">
        <f aca="false">IF(R228=1,"-5",IF(OR(R228=2,R228=3),"-4",IF(OR(R228=4,R228=5),"-3",IF(OR(R228=6,R228=7),"-2",IF(OR(R228=8,R228=9),"-1",IF(OR(R228=10,R228=11),"0",IF(OR(R228=12,R228=13),"+1",IF(OR(R228=14,R228=15),"+2",IF(OR(R228=16,R228=17),"+3",IF(OR(R228=18,R228=19),"+4",IF(OR(R228=20,R228=21),"+5",IF(OR(R228=22,R228=23),"+6",IF(OR(R228=24,R228=25),"+7",IF(OR(R228=26,R228=27),"+8",IF(OR(R228=28,R228=29),"+9",IF(R228=30,"+10"," "))))))))))))))))</f>
        <v>0</v>
      </c>
      <c r="T228" s="3" t="n">
        <v>8</v>
      </c>
      <c r="U228" s="1" t="str">
        <f aca="false">IF(T228=1,"-5",IF(OR(T228=2,T228=3),"-4",IF(OR(T228=4,T228=5),"-3",IF(OR(T228=6,T228=7),"-2",IF(OR(T228=8,T228=9),"-1",IF(OR(T228=10,T228=11),"0",IF(OR(T228=12,T228=13),"+1",IF(OR(T228=14,T228=15),"+2",IF(OR(T228=16,T228=17),"+3",IF(OR(T228=18,T228=19),"+4",IF(OR(T228=20,T228=21),"+5",IF(OR(T228=22,T228=23),"+6",IF(OR(T228=24,T228=25),"+7",IF(OR(T228=26,T228=27),"+8",IF(OR(T228=28,T228=29),"+9",IF(T228=30,"+10"," "))))))))))))))))</f>
        <v>-1</v>
      </c>
      <c r="V228" s="3" t="s">
        <v>72</v>
      </c>
      <c r="W228" s="3" t="s">
        <v>1226</v>
      </c>
      <c r="X228" s="11" t="s">
        <v>1227</v>
      </c>
      <c r="Y228" s="11" t="s">
        <v>1228</v>
      </c>
      <c r="Z228" s="11" t="s">
        <v>37</v>
      </c>
      <c r="AA228" s="12" t="s">
        <v>37</v>
      </c>
    </row>
    <row r="229" customFormat="false" ht="16.4" hidden="false" customHeight="false" outlineLevel="0" collapsed="false">
      <c r="A229" s="15" t="s">
        <v>1229</v>
      </c>
      <c r="B229" s="3" t="s">
        <v>39</v>
      </c>
      <c r="C229" s="3" t="s">
        <v>40</v>
      </c>
      <c r="D229" s="16" t="n">
        <v>9</v>
      </c>
      <c r="E229" s="6" t="n">
        <f aca="false">VLOOKUP(D229,'[1]REF Tables'!$A$2:$B$40,2)</f>
        <v>5000</v>
      </c>
      <c r="F229" s="3" t="s">
        <v>30</v>
      </c>
      <c r="G229" s="3" t="n">
        <v>12</v>
      </c>
      <c r="H229" s="3" t="s">
        <v>365</v>
      </c>
      <c r="I229" s="3" t="s">
        <v>42</v>
      </c>
      <c r="J229" s="3" t="n">
        <v>9</v>
      </c>
      <c r="K229" s="1" t="str">
        <f aca="false">IF(J229=1,"-5",IF(OR(J229=2,J229=3),"-4",IF(OR(J229=4,J229=5),"-3",IF(OR(J229=6,J229=7),"-2",IF(OR(J229=8,J229=9),"-1",IF(OR(J229=10,J229=11),"0",IF(OR(J229=12,J229=13),"+1",IF(OR(J229=14,J229=15),"+2",IF(OR(J229=16,J229=17),"+3",IF(OR(J229=18,J229=19),"+4",IF(OR(J229=20,J229=21),"+5",IF(OR(J229=22,J229=23),"+6",IF(OR(J229=24,J229=25),"+7",IF(OR(J229=26,J229=27),"+8",IF(OR(J229=28,J229=29),"+9",IF(J229=30,"+10"," "))))))))))))))))</f>
        <v>-1</v>
      </c>
      <c r="L229" s="3" t="n">
        <v>14</v>
      </c>
      <c r="M229" s="1" t="str">
        <f aca="false">IF(L229=1,"-5",IF(OR(L229=2,L229=3),"-4",IF(OR(L229=4,L229=5),"-3",IF(OR(L229=6,L229=7),"-2",IF(OR(L229=8,L229=9),"-1",IF(OR(L229=10,L229=11),"0",IF(OR(L229=12,L229=13),"+1",IF(OR(L229=14,L229=15),"+2",IF(OR(L229=16,L229=17),"+3",IF(OR(L229=18,L229=19),"+4",IF(OR(L229=20,L229=21),"+5",IF(OR(L229=22,L229=23),"+6",IF(OR(L229=24,L229=25),"+7",IF(OR(L229=26,L229=27),"+8",IF(OR(L229=28,L229=29),"+9",IF(L229=30,"+10"," "))))))))))))))))</f>
        <v>+2</v>
      </c>
      <c r="N229" s="3" t="n">
        <v>12</v>
      </c>
      <c r="O229" s="1" t="str">
        <f aca="false">IF(N229=1,"-5",IF(OR(N229=2,N229=3),"-4",IF(OR(N229=4,N229=5),"-3",IF(OR(N229=6,N229=7),"-2",IF(OR(N229=8,N229=9),"-1",IF(OR(N229=10,N229=11),"0",IF(OR(N229=12,N229=13),"+1",IF(OR(N229=14,N229=15),"+2",IF(OR(N229=16,N229=17),"+3",IF(OR(N229=18,N229=19),"+4",IF(OR(N229=20,N229=21),"+5",IF(OR(N229=22,N229=23),"+6",IF(OR(N229=24,N229=25),"+7",IF(OR(N229=26,N229=27),"+8",IF(OR(N229=28,N229=29),"+9",IF(N229=30,"+10"," "))))))))))))))))</f>
        <v>+1</v>
      </c>
      <c r="P229" s="3" t="n">
        <v>17</v>
      </c>
      <c r="Q229" s="1" t="str">
        <f aca="false">IF(P229=1,"-5",IF(OR(P229=2,P229=3),"-4",IF(OR(P229=4,P229=5),"-3",IF(OR(P229=6,P229=7),"-2",IF(OR(P229=8,P229=9),"-1",IF(OR(P229=10,P229=11),"0",IF(OR(P229=12,P229=13),"+1",IF(OR(P229=14,P229=15),"+2",IF(OR(P229=16,P229=17),"+3",IF(OR(P229=18,P229=19),"+4",IF(OR(P229=20,P229=21),"+5",IF(OR(P229=22,P229=23),"+6",IF(OR(P229=24,P229=25),"+7",IF(OR(P229=26,P229=27),"+8",IF(OR(P229=28,P229=29),"+9",IF(P229=30,"+10"," "))))))))))))))))</f>
        <v>+3</v>
      </c>
      <c r="R229" s="3" t="n">
        <v>12</v>
      </c>
      <c r="S229" s="1" t="str">
        <f aca="false">IF(R229=1,"-5",IF(OR(R229=2,R229=3),"-4",IF(OR(R229=4,R229=5),"-3",IF(OR(R229=6,R229=7),"-2",IF(OR(R229=8,R229=9),"-1",IF(OR(R229=10,R229=11),"0",IF(OR(R229=12,R229=13),"+1",IF(OR(R229=14,R229=15),"+2",IF(OR(R229=16,R229=17),"+3",IF(OR(R229=18,R229=19),"+4",IF(OR(R229=20,R229=21),"+5",IF(OR(R229=22,R229=23),"+6",IF(OR(R229=24,R229=25),"+7",IF(OR(R229=26,R229=27),"+8",IF(OR(R229=28,R229=29),"+9",IF(R229=30,"+10"," "))))))))))))))))</f>
        <v>+1</v>
      </c>
      <c r="T229" s="3" t="n">
        <v>11</v>
      </c>
      <c r="U229" s="1" t="str">
        <f aca="false">IF(T229=1,"-5",IF(OR(T229=2,T229=3),"-4",IF(OR(T229=4,T229=5),"-3",IF(OR(T229=6,T229=7),"-2",IF(OR(T229=8,T229=9),"-1",IF(OR(T229=10,T229=11),"0",IF(OR(T229=12,T229=13),"+1",IF(OR(T229=14,T229=15),"+2",IF(OR(T229=16,T229=17),"+3",IF(OR(T229=18,T229=19),"+4",IF(OR(T229=20,T229=21),"+5",IF(OR(T229=22,T229=23),"+6",IF(OR(T229=24,T229=25),"+7",IF(OR(T229=26,T229=27),"+8",IF(OR(T229=28,T229=29),"+9",IF(T229=30,"+10"," "))))))))))))))))</f>
        <v>0</v>
      </c>
      <c r="V229" s="3" t="s">
        <v>1230</v>
      </c>
      <c r="W229" s="3" t="s">
        <v>44</v>
      </c>
      <c r="X229" s="11" t="s">
        <v>1231</v>
      </c>
      <c r="Y229" s="11" t="s">
        <v>46</v>
      </c>
      <c r="Z229" s="11" t="s">
        <v>37</v>
      </c>
      <c r="AA229" s="12" t="s">
        <v>37</v>
      </c>
    </row>
    <row r="230" customFormat="false" ht="16.4" hidden="false" customHeight="false" outlineLevel="0" collapsed="false">
      <c r="A230" s="15" t="s">
        <v>1232</v>
      </c>
      <c r="B230" s="3" t="s">
        <v>39</v>
      </c>
      <c r="C230" s="3" t="s">
        <v>40</v>
      </c>
      <c r="D230" s="16" t="n">
        <v>3</v>
      </c>
      <c r="E230" s="3" t="n">
        <f aca="false">VLOOKUP(D230,'[1]REF Tables'!$A$2:$B$40,2)</f>
        <v>700</v>
      </c>
      <c r="F230" s="3" t="s">
        <v>30</v>
      </c>
      <c r="G230" s="3" t="n">
        <v>16</v>
      </c>
      <c r="H230" s="3" t="s">
        <v>1233</v>
      </c>
      <c r="I230" s="3" t="s">
        <v>224</v>
      </c>
      <c r="J230" s="3" t="n">
        <v>11</v>
      </c>
      <c r="K230" s="1" t="str">
        <f aca="false">IF(J230=1,"-5",IF(OR(J230=2,J230=3),"-4",IF(OR(J230=4,J230=5),"-3",IF(OR(J230=6,J230=7),"-2",IF(OR(J230=8,J230=9),"-1",IF(OR(J230=10,J230=11),"0",IF(OR(J230=12,J230=13),"+1",IF(OR(J230=14,J230=15),"+2",IF(OR(J230=16,J230=17),"+3",IF(OR(J230=18,J230=19),"+4",IF(OR(J230=20,J230=21),"+5",IF(OR(J230=22,J230=23),"+6",IF(OR(J230=24,J230=25),"+7",IF(OR(J230=26,J230=27),"+8",IF(OR(J230=28,J230=29),"+9",IF(J230=30,"+10"," "))))))))))))))))</f>
        <v>0</v>
      </c>
      <c r="L230" s="3" t="n">
        <v>17</v>
      </c>
      <c r="M230" s="1" t="str">
        <f aca="false">IF(L230=1,"-5",IF(OR(L230=2,L230=3),"-4",IF(OR(L230=4,L230=5),"-3",IF(OR(L230=6,L230=7),"-2",IF(OR(L230=8,L230=9),"-1",IF(OR(L230=10,L230=11),"0",IF(OR(L230=12,L230=13),"+1",IF(OR(L230=14,L230=15),"+2",IF(OR(L230=16,L230=17),"+3",IF(OR(L230=18,L230=19),"+4",IF(OR(L230=20,L230=21),"+5",IF(OR(L230=22,L230=23),"+6",IF(OR(L230=24,L230=25),"+7",IF(OR(L230=26,L230=27),"+8",IF(OR(L230=28,L230=29),"+9",IF(L230=30,"+10"," "))))))))))))))))</f>
        <v>+3</v>
      </c>
      <c r="N230" s="3" t="n">
        <v>13</v>
      </c>
      <c r="O230" s="1" t="str">
        <f aca="false">IF(N230=1,"-5",IF(OR(N230=2,N230=3),"-4",IF(OR(N230=4,N230=5),"-3",IF(OR(N230=6,N230=7),"-2",IF(OR(N230=8,N230=9),"-1",IF(OR(N230=10,N230=11),"0",IF(OR(N230=12,N230=13),"+1",IF(OR(N230=14,N230=15),"+2",IF(OR(N230=16,N230=17),"+3",IF(OR(N230=18,N230=19),"+4",IF(OR(N230=20,N230=21),"+5",IF(OR(N230=22,N230=23),"+6",IF(OR(N230=24,N230=25),"+7",IF(OR(N230=26,N230=27),"+8",IF(OR(N230=28,N230=29),"+9",IF(N230=30,"+10"," "))))))))))))))))</f>
        <v>+1</v>
      </c>
      <c r="P230" s="3" t="n">
        <v>11</v>
      </c>
      <c r="Q230" s="1" t="str">
        <f aca="false">IF(P230=1,"-5",IF(OR(P230=2,P230=3),"-4",IF(OR(P230=4,P230=5),"-3",IF(OR(P230=6,P230=7),"-2",IF(OR(P230=8,P230=9),"-1",IF(OR(P230=10,P230=11),"0",IF(OR(P230=12,P230=13),"+1",IF(OR(P230=14,P230=15),"+2",IF(OR(P230=16,P230=17),"+3",IF(OR(P230=18,P230=19),"+4",IF(OR(P230=20,P230=21),"+5",IF(OR(P230=22,P230=23),"+6",IF(OR(P230=24,P230=25),"+7",IF(OR(P230=26,P230=27),"+8",IF(OR(P230=28,P230=29),"+9",IF(P230=30,"+10"," "))))))))))))))))</f>
        <v>0</v>
      </c>
      <c r="R230" s="3" t="n">
        <v>16</v>
      </c>
      <c r="S230" s="1" t="str">
        <f aca="false">IF(R230=1,"-5",IF(OR(R230=2,R230=3),"-4",IF(OR(R230=4,R230=5),"-3",IF(OR(R230=6,R230=7),"-2",IF(OR(R230=8,R230=9),"-1",IF(OR(R230=10,R230=11),"0",IF(OR(R230=12,R230=13),"+1",IF(OR(R230=14,R230=15),"+2",IF(OR(R230=16,R230=17),"+3",IF(OR(R230=18,R230=19),"+4",IF(OR(R230=20,R230=21),"+5",IF(OR(R230=22,R230=23),"+6",IF(OR(R230=24,R230=25),"+7",IF(OR(R230=26,R230=27),"+8",IF(OR(R230=28,R230=29),"+9",IF(R230=30,"+10"," "))))))))))))))))</f>
        <v>+3</v>
      </c>
      <c r="T230" s="3" t="n">
        <v>10</v>
      </c>
      <c r="U230" s="1" t="str">
        <f aca="false">IF(T230=1,"-5",IF(OR(T230=2,T230=3),"-4",IF(OR(T230=4,T230=5),"-3",IF(OR(T230=6,T230=7),"-2",IF(OR(T230=8,T230=9),"-1",IF(OR(T230=10,T230=11),"0",IF(OR(T230=12,T230=13),"+1",IF(OR(T230=14,T230=15),"+2",IF(OR(T230=16,T230=17),"+3",IF(OR(T230=18,T230=19),"+4",IF(OR(T230=20,T230=21),"+5",IF(OR(T230=22,T230=23),"+6",IF(OR(T230=24,T230=25),"+7",IF(OR(T230=26,T230=27),"+8",IF(OR(T230=28,T230=29),"+9",IF(T230=30,"+10"," "))))))))))))))))</f>
        <v>0</v>
      </c>
      <c r="V230" s="3" t="s">
        <v>1234</v>
      </c>
      <c r="W230" s="3" t="s">
        <v>66</v>
      </c>
      <c r="X230" s="11" t="s">
        <v>1235</v>
      </c>
      <c r="Y230" s="11" t="s">
        <v>1236</v>
      </c>
      <c r="Z230" s="11" t="s">
        <v>1237</v>
      </c>
      <c r="AA230" s="12" t="s">
        <v>37</v>
      </c>
    </row>
    <row r="231" customFormat="false" ht="16.4" hidden="false" customHeight="false" outlineLevel="0" collapsed="false">
      <c r="A231" s="7" t="s">
        <v>1232</v>
      </c>
      <c r="B231" s="1" t="s">
        <v>39</v>
      </c>
      <c r="C231" s="1" t="s">
        <v>40</v>
      </c>
      <c r="D231" s="8" t="n">
        <v>3</v>
      </c>
      <c r="E231" s="10" t="n">
        <f aca="false">VLOOKUP(D231,'[1]REF Tables'!$A$2:$B$40,2)</f>
        <v>700</v>
      </c>
      <c r="F231" s="1" t="s">
        <v>30</v>
      </c>
      <c r="G231" s="10" t="n">
        <v>16</v>
      </c>
      <c r="H231" s="1" t="s">
        <v>1233</v>
      </c>
      <c r="I231" s="1" t="s">
        <v>224</v>
      </c>
      <c r="J231" s="10" t="n">
        <v>11</v>
      </c>
      <c r="K231" s="1" t="str">
        <f aca="false">IF(J231=1,"-5",IF(OR(J231=2,J231=3),"-4",IF(OR(J231=4,J231=5),"-3",IF(OR(J231=6,J231=7),"-2",IF(OR(J231=8,J231=9),"-1",IF(OR(J231=10,J231=11),"0",IF(OR(J231=12,J231=13),"+1",IF(OR(J231=14,J231=15),"+2",IF(OR(J231=16,J231=17),"+3",IF(OR(J231=18,J231=19),"+4",IF(OR(J231=20,J231=21),"+5",IF(OR(J231=22,J231=23),"+6",IF(OR(J231=24,J231=25),"+7",IF(OR(J231=26,J231=27),"+8",IF(OR(J231=28,J231=29),"+9",IF(J231=30,"+10"," "))))))))))))))))</f>
        <v>0</v>
      </c>
      <c r="L231" s="10" t="n">
        <v>17</v>
      </c>
      <c r="M231" s="1" t="str">
        <f aca="false">IF(L231=1,"-5",IF(OR(L231=2,L231=3),"-4",IF(OR(L231=4,L231=5),"-3",IF(OR(L231=6,L231=7),"-2",IF(OR(L231=8,L231=9),"-1",IF(OR(L231=10,L231=11),"0",IF(OR(L231=12,L231=13),"+1",IF(OR(L231=14,L231=15),"+2",IF(OR(L231=16,L231=17),"+3",IF(OR(L231=18,L231=19),"+4",IF(OR(L231=20,L231=21),"+5",IF(OR(L231=22,L231=23),"+6",IF(OR(L231=24,L231=25),"+7",IF(OR(L231=26,L231=27),"+8",IF(OR(L231=28,L231=29),"+9",IF(L231=30,"+10"," "))))))))))))))))</f>
        <v>+3</v>
      </c>
      <c r="N231" s="10" t="n">
        <v>13</v>
      </c>
      <c r="O231" s="1" t="str">
        <f aca="false">IF(N231=1,"-5",IF(OR(N231=2,N231=3),"-4",IF(OR(N231=4,N231=5),"-3",IF(OR(N231=6,N231=7),"-2",IF(OR(N231=8,N231=9),"-1",IF(OR(N231=10,N231=11),"0",IF(OR(N231=12,N231=13),"+1",IF(OR(N231=14,N231=15),"+2",IF(OR(N231=16,N231=17),"+3",IF(OR(N231=18,N231=19),"+4",IF(OR(N231=20,N231=21),"+5",IF(OR(N231=22,N231=23),"+6",IF(OR(N231=24,N231=25),"+7",IF(OR(N231=26,N231=27),"+8",IF(OR(N231=28,N231=29),"+9",IF(N231=30,"+10"," "))))))))))))))))</f>
        <v>+1</v>
      </c>
      <c r="P231" s="10" t="n">
        <v>11</v>
      </c>
      <c r="Q231" s="1" t="str">
        <f aca="false">IF(P231=1,"-5",IF(OR(P231=2,P231=3),"-4",IF(OR(P231=4,P231=5),"-3",IF(OR(P231=6,P231=7),"-2",IF(OR(P231=8,P231=9),"-1",IF(OR(P231=10,P231=11),"0",IF(OR(P231=12,P231=13),"+1",IF(OR(P231=14,P231=15),"+2",IF(OR(P231=16,P231=17),"+3",IF(OR(P231=18,P231=19),"+4",IF(OR(P231=20,P231=21),"+5",IF(OR(P231=22,P231=23),"+6",IF(OR(P231=24,P231=25),"+7",IF(OR(P231=26,P231=27),"+8",IF(OR(P231=28,P231=29),"+9",IF(P231=30,"+10"," "))))))))))))))))</f>
        <v>0</v>
      </c>
      <c r="R231" s="10" t="n">
        <v>16</v>
      </c>
      <c r="S231" s="1" t="str">
        <f aca="false">IF(R231=1,"-5",IF(OR(R231=2,R231=3),"-4",IF(OR(R231=4,R231=5),"-3",IF(OR(R231=6,R231=7),"-2",IF(OR(R231=8,R231=9),"-1",IF(OR(R231=10,R231=11),"0",IF(OR(R231=12,R231=13),"+1",IF(OR(R231=14,R231=15),"+2",IF(OR(R231=16,R231=17),"+3",IF(OR(R231=18,R231=19),"+4",IF(OR(R231=20,R231=21),"+5",IF(OR(R231=22,R231=23),"+6",IF(OR(R231=24,R231=25),"+7",IF(OR(R231=26,R231=27),"+8",IF(OR(R231=28,R231=29),"+9",IF(R231=30,"+10"," "))))))))))))))))</f>
        <v>+3</v>
      </c>
      <c r="T231" s="10" t="n">
        <v>10</v>
      </c>
      <c r="U231" s="1" t="str">
        <f aca="false">IF(T231=1,"-5",IF(OR(T231=2,T231=3),"-4",IF(OR(T231=4,T231=5),"-3",IF(OR(T231=6,T231=7),"-2",IF(OR(T231=8,T231=9),"-1",IF(OR(T231=10,T231=11),"0",IF(OR(T231=12,T231=13),"+1",IF(OR(T231=14,T231=15),"+2",IF(OR(T231=16,T231=17),"+3",IF(OR(T231=18,T231=19),"+4",IF(OR(T231=20,T231=21),"+5",IF(OR(T231=22,T231=23),"+6",IF(OR(T231=24,T231=25),"+7",IF(OR(T231=26,T231=27),"+8",IF(OR(T231=28,T231=29),"+9",IF(T231=30,"+10"," "))))))))))))))))</f>
        <v>0</v>
      </c>
      <c r="V231" s="1" t="s">
        <v>1238</v>
      </c>
      <c r="W231" s="1" t="s">
        <v>66</v>
      </c>
      <c r="X231" s="11" t="s">
        <v>1235</v>
      </c>
      <c r="Y231" s="11" t="s">
        <v>1239</v>
      </c>
      <c r="Z231" s="11" t="s">
        <v>1237</v>
      </c>
      <c r="AA231" s="12" t="s">
        <v>37</v>
      </c>
      <c r="AB231" s="1"/>
      <c r="AC231" s="1"/>
      <c r="AD231" s="1"/>
      <c r="AE231" s="1"/>
      <c r="AF231" s="1"/>
    </row>
    <row r="232" customFormat="false" ht="16.4" hidden="false" customHeight="false" outlineLevel="0" collapsed="false">
      <c r="A232" s="15" t="s">
        <v>1240</v>
      </c>
      <c r="B232" s="3" t="s">
        <v>39</v>
      </c>
      <c r="C232" s="3" t="s">
        <v>203</v>
      </c>
      <c r="D232" s="16" t="n">
        <v>2</v>
      </c>
      <c r="E232" s="3" t="n">
        <f aca="false">VLOOKUP(D232,'[1]REF Tables'!$A$2:$B$40,2)</f>
        <v>450</v>
      </c>
      <c r="F232" s="3" t="s">
        <v>30</v>
      </c>
      <c r="G232" s="3" t="n">
        <v>13</v>
      </c>
      <c r="H232" s="3" t="s">
        <v>198</v>
      </c>
      <c r="I232" s="3" t="s">
        <v>42</v>
      </c>
      <c r="J232" s="3" t="n">
        <v>11</v>
      </c>
      <c r="K232" s="1" t="str">
        <f aca="false">IF(J232=1,"-5",IF(OR(J232=2,J232=3),"-4",IF(OR(J232=4,J232=5),"-3",IF(OR(J232=6,J232=7),"-2",IF(OR(J232=8,J232=9),"-1",IF(OR(J232=10,J232=11),"0",IF(OR(J232=12,J232=13),"+1",IF(OR(J232=14,J232=15),"+2",IF(OR(J232=16,J232=17),"+3",IF(OR(J232=18,J232=19),"+4",IF(OR(J232=20,J232=21),"+5",IF(OR(J232=22,J232=23),"+6",IF(OR(J232=24,J232=25),"+7",IF(OR(J232=26,J232=27),"+8",IF(OR(J232=28,J232=29),"+9",IF(J232=30,"+10"," "))))))))))))))))</f>
        <v>0</v>
      </c>
      <c r="L232" s="3" t="n">
        <v>14</v>
      </c>
      <c r="M232" s="1" t="str">
        <f aca="false">IF(L232=1,"-5",IF(OR(L232=2,L232=3),"-4",IF(OR(L232=4,L232=5),"-3",IF(OR(L232=6,L232=7),"-2",IF(OR(L232=8,L232=9),"-1",IF(OR(L232=10,L232=11),"0",IF(OR(L232=12,L232=13),"+1",IF(OR(L232=14,L232=15),"+2",IF(OR(L232=16,L232=17),"+3",IF(OR(L232=18,L232=19),"+4",IF(OR(L232=20,L232=21),"+5",IF(OR(L232=22,L232=23),"+6",IF(OR(L232=24,L232=25),"+7",IF(OR(L232=26,L232=27),"+8",IF(OR(L232=28,L232=29),"+9",IF(L232=30,"+10"," "))))))))))))))))</f>
        <v>+2</v>
      </c>
      <c r="N232" s="3" t="n">
        <v>12</v>
      </c>
      <c r="O232" s="1" t="str">
        <f aca="false">IF(N232=1,"-5",IF(OR(N232=2,N232=3),"-4",IF(OR(N232=4,N232=5),"-3",IF(OR(N232=6,N232=7),"-2",IF(OR(N232=8,N232=9),"-1",IF(OR(N232=10,N232=11),"0",IF(OR(N232=12,N232=13),"+1",IF(OR(N232=14,N232=15),"+2",IF(OR(N232=16,N232=17),"+3",IF(OR(N232=18,N232=19),"+4",IF(OR(N232=20,N232=21),"+5",IF(OR(N232=22,N232=23),"+6",IF(OR(N232=24,N232=25),"+7",IF(OR(N232=26,N232=27),"+8",IF(OR(N232=28,N232=29),"+9",IF(N232=30,"+10"," "))))))))))))))))</f>
        <v>+1</v>
      </c>
      <c r="P232" s="3" t="n">
        <v>10</v>
      </c>
      <c r="Q232" s="1" t="str">
        <f aca="false">IF(P232=1,"-5",IF(OR(P232=2,P232=3),"-4",IF(OR(P232=4,P232=5),"-3",IF(OR(P232=6,P232=7),"-2",IF(OR(P232=8,P232=9),"-1",IF(OR(P232=10,P232=11),"0",IF(OR(P232=12,P232=13),"+1",IF(OR(P232=14,P232=15),"+2",IF(OR(P232=16,P232=17),"+3",IF(OR(P232=18,P232=19),"+4",IF(OR(P232=20,P232=21),"+5",IF(OR(P232=22,P232=23),"+6",IF(OR(P232=24,P232=25),"+7",IF(OR(P232=26,P232=27),"+8",IF(OR(P232=28,P232=29),"+9",IF(P232=30,"+10"," "))))))))))))))))</f>
        <v>0</v>
      </c>
      <c r="R232" s="3" t="n">
        <v>13</v>
      </c>
      <c r="S232" s="1" t="str">
        <f aca="false">IF(R232=1,"-5",IF(OR(R232=2,R232=3),"-4",IF(OR(R232=4,R232=5),"-3",IF(OR(R232=6,R232=7),"-2",IF(OR(R232=8,R232=9),"-1",IF(OR(R232=10,R232=11),"0",IF(OR(R232=12,R232=13),"+1",IF(OR(R232=14,R232=15),"+2",IF(OR(R232=16,R232=17),"+3",IF(OR(R232=18,R232=19),"+4",IF(OR(R232=20,R232=21),"+5",IF(OR(R232=22,R232=23),"+6",IF(OR(R232=24,R232=25),"+7",IF(OR(R232=26,R232=27),"+8",IF(OR(R232=28,R232=29),"+9",IF(R232=30,"+10"," "))))))))))))))))</f>
        <v>+1</v>
      </c>
      <c r="T232" s="3" t="n">
        <v>14</v>
      </c>
      <c r="U232" s="1" t="str">
        <f aca="false">IF(T232=1,"-5",IF(OR(T232=2,T232=3),"-4",IF(OR(T232=4,T232=5),"-3",IF(OR(T232=6,T232=7),"-2",IF(OR(T232=8,T232=9),"-1",IF(OR(T232=10,T232=11),"0",IF(OR(T232=12,T232=13),"+1",IF(OR(T232=14,T232=15),"+2",IF(OR(T232=16,T232=17),"+3",IF(OR(T232=18,T232=19),"+4",IF(OR(T232=20,T232=21),"+5",IF(OR(T232=22,T232=23),"+6",IF(OR(T232=24,T232=25),"+7",IF(OR(T232=26,T232=27),"+8",IF(OR(T232=28,T232=29),"+9",IF(T232=30,"+10"," "))))))))))))))))</f>
        <v>+2</v>
      </c>
      <c r="V232" s="3" t="s">
        <v>1241</v>
      </c>
      <c r="W232" s="3" t="s">
        <v>66</v>
      </c>
      <c r="X232" s="11" t="s">
        <v>1242</v>
      </c>
      <c r="Y232" s="11" t="s">
        <v>1243</v>
      </c>
      <c r="Z232" s="11"/>
      <c r="AA232" s="12"/>
    </row>
    <row r="233" customFormat="false" ht="16.4" hidden="false" customHeight="false" outlineLevel="0" collapsed="false">
      <c r="A233" s="15" t="s">
        <v>1244</v>
      </c>
      <c r="B233" s="3" t="s">
        <v>77</v>
      </c>
      <c r="C233" s="3" t="s">
        <v>40</v>
      </c>
      <c r="D233" s="16" t="n">
        <v>4</v>
      </c>
      <c r="E233" s="6" t="n">
        <f aca="false">VLOOKUP(D233,'[1]REF Tables'!$A$2:$B$40,2)</f>
        <v>1100</v>
      </c>
      <c r="F233" s="3" t="s">
        <v>30</v>
      </c>
      <c r="G233" s="3" t="n">
        <v>11</v>
      </c>
      <c r="H233" s="3" t="s">
        <v>1072</v>
      </c>
      <c r="I233" s="3" t="s">
        <v>1128</v>
      </c>
      <c r="J233" s="3" t="n">
        <v>7</v>
      </c>
      <c r="K233" s="1" t="str">
        <f aca="false">IF(J233=1,"-5",IF(OR(J233=2,J233=3),"-4",IF(OR(J233=4,J233=5),"-3",IF(OR(J233=6,J233=7),"-2",IF(OR(J233=8,J233=9),"-1",IF(OR(J233=10,J233=11),"0",IF(OR(J233=12,J233=13),"+1",IF(OR(J233=14,J233=15),"+2",IF(OR(J233=16,J233=17),"+3",IF(OR(J233=18,J233=19),"+4",IF(OR(J233=20,J233=21),"+5",IF(OR(J233=22,J233=23),"+6",IF(OR(J233=24,J233=25),"+7",IF(OR(J233=26,J233=27),"+8",IF(OR(J233=28,J233=29),"+9",IF(J233=30,"+10"," "))))))))))))))))</f>
        <v>-2</v>
      </c>
      <c r="L233" s="3" t="n">
        <v>13</v>
      </c>
      <c r="M233" s="1" t="str">
        <f aca="false">IF(L233=1,"-5",IF(OR(L233=2,L233=3),"-4",IF(OR(L233=4,L233=5),"-3",IF(OR(L233=6,L233=7),"-2",IF(OR(L233=8,L233=9),"-1",IF(OR(L233=10,L233=11),"0",IF(OR(L233=12,L233=13),"+1",IF(OR(L233=14,L233=15),"+2",IF(OR(L233=16,L233=17),"+3",IF(OR(L233=18,L233=19),"+4",IF(OR(L233=20,L233=21),"+5",IF(OR(L233=22,L233=23),"+6",IF(OR(L233=24,L233=25),"+7",IF(OR(L233=26,L233=27),"+8",IF(OR(L233=28,L233=29),"+9",IF(L233=30,"+10"," "))))))))))))))))</f>
        <v>+1</v>
      </c>
      <c r="N233" s="3" t="n">
        <v>10</v>
      </c>
      <c r="O233" s="1" t="str">
        <f aca="false">IF(N233=1,"-5",IF(OR(N233=2,N233=3),"-4",IF(OR(N233=4,N233=5),"-3",IF(OR(N233=6,N233=7),"-2",IF(OR(N233=8,N233=9),"-1",IF(OR(N233=10,N233=11),"0",IF(OR(N233=12,N233=13),"+1",IF(OR(N233=14,N233=15),"+2",IF(OR(N233=16,N233=17),"+3",IF(OR(N233=18,N233=19),"+4",IF(OR(N233=20,N233=21),"+5",IF(OR(N233=22,N233=23),"+6",IF(OR(N233=24,N233=25),"+7",IF(OR(N233=26,N233=27),"+8",IF(OR(N233=28,N233=29),"+9",IF(N233=30,"+10"," "))))))))))))))))</f>
        <v>0</v>
      </c>
      <c r="P233" s="3" t="n">
        <v>10</v>
      </c>
      <c r="Q233" s="1" t="str">
        <f aca="false">IF(P233=1,"-5",IF(OR(P233=2,P233=3),"-4",IF(OR(P233=4,P233=5),"-3",IF(OR(P233=6,P233=7),"-2",IF(OR(P233=8,P233=9),"-1",IF(OR(P233=10,P233=11),"0",IF(OR(P233=12,P233=13),"+1",IF(OR(P233=14,P233=15),"+2",IF(OR(P233=16,P233=17),"+3",IF(OR(P233=18,P233=19),"+4",IF(OR(P233=20,P233=21),"+5",IF(OR(P233=22,P233=23),"+6",IF(OR(P233=24,P233=25),"+7",IF(OR(P233=26,P233=27),"+8",IF(OR(P233=28,P233=29),"+9",IF(P233=30,"+10"," "))))))))))))))))</f>
        <v>0</v>
      </c>
      <c r="R233" s="3" t="n">
        <v>12</v>
      </c>
      <c r="S233" s="1" t="str">
        <f aca="false">IF(R233=1,"-5",IF(OR(R233=2,R233=3),"-4",IF(OR(R233=4,R233=5),"-3",IF(OR(R233=6,R233=7),"-2",IF(OR(R233=8,R233=9),"-1",IF(OR(R233=10,R233=11),"0",IF(OR(R233=12,R233=13),"+1",IF(OR(R233=14,R233=15),"+2",IF(OR(R233=16,R233=17),"+3",IF(OR(R233=18,R233=19),"+4",IF(OR(R233=20,R233=21),"+5",IF(OR(R233=22,R233=23),"+6",IF(OR(R233=24,R233=25),"+7",IF(OR(R233=26,R233=27),"+8",IF(OR(R233=28,R233=29),"+9",IF(R233=30,"+10"," "))))))))))))))))</f>
        <v>+1</v>
      </c>
      <c r="T233" s="3" t="n">
        <v>17</v>
      </c>
      <c r="U233" s="1" t="str">
        <f aca="false">IF(T233=1,"-5",IF(OR(T233=2,T233=3),"-4",IF(OR(T233=4,T233=5),"-3",IF(OR(T233=6,T233=7),"-2",IF(OR(T233=8,T233=9),"-1",IF(OR(T233=10,T233=11),"0",IF(OR(T233=12,T233=13),"+1",IF(OR(T233=14,T233=15),"+2",IF(OR(T233=16,T233=17),"+3",IF(OR(T233=18,T233=19),"+4",IF(OR(T233=20,T233=21),"+5",IF(OR(T233=22,T233=23),"+6",IF(OR(T233=24,T233=25),"+7",IF(OR(T233=26,T233=27),"+8",IF(OR(T233=28,T233=29),"+9",IF(T233=30,"+10"," "))))))))))))))))</f>
        <v>+3</v>
      </c>
      <c r="V233" s="3" t="s">
        <v>37</v>
      </c>
      <c r="W233" s="3" t="s">
        <v>89</v>
      </c>
      <c r="X233" s="11" t="s">
        <v>1245</v>
      </c>
      <c r="Y233" s="11" t="s">
        <v>1246</v>
      </c>
      <c r="Z233" s="11" t="s">
        <v>37</v>
      </c>
      <c r="AA233" s="12" t="s">
        <v>37</v>
      </c>
    </row>
    <row r="234" customFormat="false" ht="16.4" hidden="false" customHeight="false" outlineLevel="0" collapsed="false">
      <c r="A234" s="15" t="s">
        <v>1247</v>
      </c>
      <c r="B234" s="3" t="s">
        <v>59</v>
      </c>
      <c r="C234" s="3" t="s">
        <v>37</v>
      </c>
      <c r="D234" s="16" t="n">
        <v>0</v>
      </c>
      <c r="E234" s="3" t="n">
        <f aca="false">VLOOKUP(D234,'[1]REF Tables'!$A$2:$B$40,2)</f>
        <v>10</v>
      </c>
      <c r="F234" s="3" t="s">
        <v>315</v>
      </c>
      <c r="G234" s="3" t="n">
        <v>13</v>
      </c>
      <c r="H234" s="3" t="s">
        <v>316</v>
      </c>
      <c r="I234" s="3" t="s">
        <v>449</v>
      </c>
      <c r="J234" s="3" t="n">
        <v>5</v>
      </c>
      <c r="K234" s="1" t="str">
        <f aca="false">IF(J234=1,"-5",IF(OR(J234=2,J234=3),"-4",IF(OR(J234=4,J234=5),"-3",IF(OR(J234=6,J234=7),"-2",IF(OR(J234=8,J234=9),"-1",IF(OR(J234=10,J234=11),"0",IF(OR(J234=12,J234=13),"+1",IF(OR(J234=14,J234=15),"+2",IF(OR(J234=16,J234=17),"+3",IF(OR(J234=18,J234=19),"+4",IF(OR(J234=20,J234=21),"+5",IF(OR(J234=22,J234=23),"+6",IF(OR(J234=24,J234=25),"+7",IF(OR(J234=26,J234=27),"+8",IF(OR(J234=28,J234=29),"+9",IF(J234=30,"+10"," "))))))))))))))))</f>
        <v>-3</v>
      </c>
      <c r="L234" s="3" t="n">
        <v>16</v>
      </c>
      <c r="M234" s="1" t="str">
        <f aca="false">IF(L234=1,"-5",IF(OR(L234=2,L234=3),"-4",IF(OR(L234=4,L234=5),"-3",IF(OR(L234=6,L234=7),"-2",IF(OR(L234=8,L234=9),"-1",IF(OR(L234=10,L234=11),"0",IF(OR(L234=12,L234=13),"+1",IF(OR(L234=14,L234=15),"+2",IF(OR(L234=16,L234=17),"+3",IF(OR(L234=18,L234=19),"+4",IF(OR(L234=20,L234=21),"+5",IF(OR(L234=22,L234=23),"+6",IF(OR(L234=24,L234=25),"+7",IF(OR(L234=26,L234=27),"+8",IF(OR(L234=28,L234=29),"+9",IF(L234=30,"+10"," "))))))))))))))))</f>
        <v>+3</v>
      </c>
      <c r="N234" s="3" t="n">
        <v>8</v>
      </c>
      <c r="O234" s="1" t="str">
        <f aca="false">IF(N234=1,"-5",IF(OR(N234=2,N234=3),"-4",IF(OR(N234=4,N234=5),"-3",IF(OR(N234=6,N234=7),"-2",IF(OR(N234=8,N234=9),"-1",IF(OR(N234=10,N234=11),"0",IF(OR(N234=12,N234=13),"+1",IF(OR(N234=14,N234=15),"+2",IF(OR(N234=16,N234=17),"+3",IF(OR(N234=18,N234=19),"+4",IF(OR(N234=20,N234=21),"+5",IF(OR(N234=22,N234=23),"+6",IF(OR(N234=24,N234=25),"+7",IF(OR(N234=26,N234=27),"+8",IF(OR(N234=28,N234=29),"+9",IF(N234=30,"+10"," "))))))))))))))))</f>
        <v>-1</v>
      </c>
      <c r="P234" s="3" t="n">
        <v>2</v>
      </c>
      <c r="Q234" s="1" t="str">
        <f aca="false">IF(P234=1,"-5",IF(OR(P234=2,P234=3),"-4",IF(OR(P234=4,P234=5),"-3",IF(OR(P234=6,P234=7),"-2",IF(OR(P234=8,P234=9),"-1",IF(OR(P234=10,P234=11),"0",IF(OR(P234=12,P234=13),"+1",IF(OR(P234=14,P234=15),"+2",IF(OR(P234=16,P234=17),"+3",IF(OR(P234=18,P234=19),"+4",IF(OR(P234=20,P234=21),"+5",IF(OR(P234=22,P234=23),"+6",IF(OR(P234=24,P234=25),"+7",IF(OR(P234=26,P234=27),"+8",IF(OR(P234=28,P234=29),"+9",IF(P234=30,"+10"," "))))))))))))))))</f>
        <v>-4</v>
      </c>
      <c r="R234" s="3" t="n">
        <v>14</v>
      </c>
      <c r="S234" s="1" t="str">
        <f aca="false">IF(R234=1,"-5",IF(OR(R234=2,R234=3),"-4",IF(OR(R234=4,R234=5),"-3",IF(OR(R234=6,R234=7),"-2",IF(OR(R234=8,R234=9),"-1",IF(OR(R234=10,R234=11),"0",IF(OR(R234=12,R234=13),"+1",IF(OR(R234=14,R234=15),"+2",IF(OR(R234=16,R234=17),"+3",IF(OR(R234=18,R234=19),"+4",IF(OR(R234=20,R234=21),"+5",IF(OR(R234=22,R234=23),"+6",IF(OR(R234=24,R234=25),"+7",IF(OR(R234=26,R234=27),"+8",IF(OR(R234=28,R234=29),"+9",IF(R234=30,"+10"," "))))))))))))))))</f>
        <v>+2</v>
      </c>
      <c r="T234" s="3" t="n">
        <v>6</v>
      </c>
      <c r="U234" s="1" t="str">
        <f aca="false">IF(T234=1,"-5",IF(OR(T234=2,T234=3),"-4",IF(OR(T234=4,T234=5),"-3",IF(OR(T234=6,T234=7),"-2",IF(OR(T234=8,T234=9),"-1",IF(OR(T234=10,T234=11),"0",IF(OR(T234=12,T234=13),"+1",IF(OR(T234=14,T234=15),"+2",IF(OR(T234=16,T234=17),"+3",IF(OR(T234=18,T234=19),"+4",IF(OR(T234=20,T234=21),"+5",IF(OR(T234=22,T234=23),"+6",IF(OR(T234=24,T234=25),"+7",IF(OR(T234=26,T234=27),"+8",IF(OR(T234=28,T234=29),"+9",IF(T234=30,"+10"," "))))))))))))))))</f>
        <v>-2</v>
      </c>
      <c r="V234" s="3" t="s">
        <v>1248</v>
      </c>
      <c r="W234" s="3" t="s">
        <v>37</v>
      </c>
      <c r="X234" s="11" t="s">
        <v>1249</v>
      </c>
      <c r="Y234" s="11" t="s">
        <v>1250</v>
      </c>
      <c r="Z234" s="11" t="s">
        <v>37</v>
      </c>
      <c r="AA234" s="12"/>
    </row>
    <row r="235" customFormat="false" ht="16.4" hidden="false" customHeight="false" outlineLevel="0" collapsed="false">
      <c r="A235" s="15" t="s">
        <v>1251</v>
      </c>
      <c r="B235" s="3" t="s">
        <v>59</v>
      </c>
      <c r="C235" s="3" t="s">
        <v>37</v>
      </c>
      <c r="D235" s="16" t="n">
        <v>0.125</v>
      </c>
      <c r="E235" s="3" t="n">
        <f aca="false">VLOOKUP(D235,'[1]REF Tables'!$A$2:$B$40,2)</f>
        <v>25</v>
      </c>
      <c r="F235" s="3" t="s">
        <v>165</v>
      </c>
      <c r="G235" s="3" t="n">
        <v>12</v>
      </c>
      <c r="H235" s="3" t="s">
        <v>1252</v>
      </c>
      <c r="I235" s="3" t="s">
        <v>449</v>
      </c>
      <c r="J235" s="3" t="n">
        <v>6</v>
      </c>
      <c r="K235" s="1" t="str">
        <f aca="false">IF(J235=1,"-5",IF(OR(J235=2,J235=3),"-4",IF(OR(J235=4,J235=5),"-3",IF(OR(J235=6,J235=7),"-2",IF(OR(J235=8,J235=9),"-1",IF(OR(J235=10,J235=11),"0",IF(OR(J235=12,J235=13),"+1",IF(OR(J235=14,J235=15),"+2",IF(OR(J235=16,J235=17),"+3",IF(OR(J235=18,J235=19),"+4",IF(OR(J235=20,J235=21),"+5",IF(OR(J235=22,J235=23),"+6",IF(OR(J235=24,J235=25),"+7",IF(OR(J235=26,J235=27),"+8",IF(OR(J235=28,J235=29),"+9",IF(J235=30,"+10"," "))))))))))))))))</f>
        <v>-2</v>
      </c>
      <c r="L235" s="3" t="n">
        <v>14</v>
      </c>
      <c r="M235" s="1" t="str">
        <f aca="false">IF(L235=1,"-5",IF(OR(L235=2,L235=3),"-4",IF(OR(L235=4,L235=5),"-3",IF(OR(L235=6,L235=7),"-2",IF(OR(L235=8,L235=9),"-1",IF(OR(L235=10,L235=11),"0",IF(OR(L235=12,L235=13),"+1",IF(OR(L235=14,L235=15),"+2",IF(OR(L235=16,L235=17),"+3",IF(OR(L235=18,L235=19),"+4",IF(OR(L235=20,L235=21),"+5",IF(OR(L235=22,L235=23),"+6",IF(OR(L235=24,L235=25),"+7",IF(OR(L235=26,L235=27),"+8",IF(OR(L235=28,L235=29),"+9",IF(L235=30,"+10"," "))))))))))))))))</f>
        <v>+2</v>
      </c>
      <c r="N235" s="3" t="n">
        <v>10</v>
      </c>
      <c r="O235" s="1" t="str">
        <f aca="false">IF(N235=1,"-5",IF(OR(N235=2,N235=3),"-4",IF(OR(N235=4,N235=5),"-3",IF(OR(N235=6,N235=7),"-2",IF(OR(N235=8,N235=9),"-1",IF(OR(N235=10,N235=11),"0",IF(OR(N235=12,N235=13),"+1",IF(OR(N235=14,N235=15),"+2",IF(OR(N235=16,N235=17),"+3",IF(OR(N235=18,N235=19),"+4",IF(OR(N235=20,N235=21),"+5",IF(OR(N235=22,N235=23),"+6",IF(OR(N235=24,N235=25),"+7",IF(OR(N235=26,N235=27),"+8",IF(OR(N235=28,N235=29),"+9",IF(N235=30,"+10"," "))))))))))))))))</f>
        <v>0</v>
      </c>
      <c r="P235" s="3" t="n">
        <v>3</v>
      </c>
      <c r="Q235" s="1" t="str">
        <f aca="false">IF(P235=1,"-5",IF(OR(P235=2,P235=3),"-4",IF(OR(P235=4,P235=5),"-3",IF(OR(P235=6,P235=7),"-2",IF(OR(P235=8,P235=9),"-1",IF(OR(P235=10,P235=11),"0",IF(OR(P235=12,P235=13),"+1",IF(OR(P235=14,P235=15),"+2",IF(OR(P235=16,P235=17),"+3",IF(OR(P235=18,P235=19),"+4",IF(OR(P235=20,P235=21),"+5",IF(OR(P235=22,P235=23),"+6",IF(OR(P235=24,P235=25),"+7",IF(OR(P235=26,P235=27),"+8",IF(OR(P235=28,P235=29),"+9",IF(P235=30,"+10"," "))))))))))))))))</f>
        <v>-4</v>
      </c>
      <c r="R235" s="3" t="n">
        <v>14</v>
      </c>
      <c r="S235" s="1" t="str">
        <f aca="false">IF(R235=1,"-5",IF(OR(R235=2,R235=3),"-4",IF(OR(R235=4,R235=5),"-3",IF(OR(R235=6,R235=7),"-2",IF(OR(R235=8,R235=9),"-1",IF(OR(R235=10,R235=11),"0",IF(OR(R235=12,R235=13),"+1",IF(OR(R235=14,R235=15),"+2",IF(OR(R235=16,R235=17),"+3",IF(OR(R235=18,R235=19),"+4",IF(OR(R235=20,R235=21),"+5",IF(OR(R235=22,R235=23),"+6",IF(OR(R235=24,R235=25),"+7",IF(OR(R235=26,R235=27),"+8",IF(OR(R235=28,R235=29),"+9",IF(R235=30,"+10"," "))))))))))))))))</f>
        <v>+2</v>
      </c>
      <c r="T235" s="3" t="n">
        <v>5</v>
      </c>
      <c r="U235" s="1" t="str">
        <f aca="false">IF(T235=1,"-5",IF(OR(T235=2,T235=3),"-4",IF(OR(T235=4,T235=5),"-3",IF(OR(T235=6,T235=7),"-2",IF(OR(T235=8,T235=9),"-1",IF(OR(T235=10,T235=11),"0",IF(OR(T235=12,T235=13),"+1",IF(OR(T235=14,T235=15),"+2",IF(OR(T235=16,T235=17),"+3",IF(OR(T235=18,T235=19),"+4",IF(OR(T235=20,T235=21),"+5",IF(OR(T235=22,T235=23),"+6",IF(OR(T235=24,T235=25),"+7",IF(OR(T235=26,T235=27),"+8",IF(OR(T235=28,T235=29),"+9",IF(T235=30,"+10"," "))))))))))))))))</f>
        <v>-3</v>
      </c>
      <c r="V235" s="3" t="s">
        <v>1248</v>
      </c>
      <c r="W235" s="3" t="s">
        <v>37</v>
      </c>
      <c r="X235" s="11" t="s">
        <v>1253</v>
      </c>
      <c r="Y235" s="11" t="s">
        <v>1254</v>
      </c>
      <c r="Z235" s="11"/>
      <c r="AA235" s="12"/>
    </row>
    <row r="236" customFormat="false" ht="16.4" hidden="false" customHeight="false" outlineLevel="0" collapsed="false">
      <c r="A236" s="15" t="s">
        <v>1255</v>
      </c>
      <c r="B236" s="3" t="s">
        <v>77</v>
      </c>
      <c r="C236" s="3" t="s">
        <v>222</v>
      </c>
      <c r="D236" s="16" t="n">
        <v>2</v>
      </c>
      <c r="E236" s="3" t="n">
        <f aca="false">VLOOKUP(D236,'[1]REF Tables'!$A$2:$B$40,2)</f>
        <v>450</v>
      </c>
      <c r="F236" s="3" t="s">
        <v>315</v>
      </c>
      <c r="G236" s="3" t="n">
        <v>19</v>
      </c>
      <c r="H236" s="3" t="s">
        <v>1256</v>
      </c>
      <c r="I236" s="3" t="s">
        <v>1188</v>
      </c>
      <c r="J236" s="3" t="n">
        <v>1</v>
      </c>
      <c r="K236" s="1" t="str">
        <f aca="false">IF(J236=1,"-5",IF(OR(J236=2,J236=3),"-4",IF(OR(J236=4,J236=5),"-3",IF(OR(J236=6,J236=7),"-2",IF(OR(J236=8,J236=9),"-1",IF(OR(J236=10,J236=11),"0",IF(OR(J236=12,J236=13),"+1",IF(OR(J236=14,J236=15),"+2",IF(OR(J236=16,J236=17),"+3",IF(OR(J236=18,J236=19),"+4",IF(OR(J236=20,J236=21),"+5",IF(OR(J236=22,J236=23),"+6",IF(OR(J236=24,J236=25),"+7",IF(OR(J236=26,J236=27),"+8",IF(OR(J236=28,J236=29),"+9",IF(J236=30,"+10"," "))))))))))))))))</f>
        <v>-5</v>
      </c>
      <c r="L236" s="3" t="n">
        <v>28</v>
      </c>
      <c r="M236" s="1" t="str">
        <f aca="false">IF(L236=1,"-5",IF(OR(L236=2,L236=3),"-4",IF(OR(L236=4,L236=5),"-3",IF(OR(L236=6,L236=7),"-2",IF(OR(L236=8,L236=9),"-1",IF(OR(L236=10,L236=11),"0",IF(OR(L236=12,L236=13),"+1",IF(OR(L236=14,L236=15),"+2",IF(OR(L236=16,L236=17),"+3",IF(OR(L236=18,L236=19),"+4",IF(OR(L236=20,L236=21),"+5",IF(OR(L236=22,L236=23),"+6",IF(OR(L236=24,L236=25),"+7",IF(OR(L236=26,L236=27),"+8",IF(OR(L236=28,L236=29),"+9",IF(L236=30,"+10"," "))))))))))))))))</f>
        <v>+9</v>
      </c>
      <c r="N236" s="3" t="n">
        <v>10</v>
      </c>
      <c r="O236" s="1" t="str">
        <f aca="false">IF(N236=1,"-5",IF(OR(N236=2,N236=3),"-4",IF(OR(N236=4,N236=5),"-3",IF(OR(N236=6,N236=7),"-2",IF(OR(N236=8,N236=9),"-1",IF(OR(N236=10,N236=11),"0",IF(OR(N236=12,N236=13),"+1",IF(OR(N236=14,N236=15),"+2",IF(OR(N236=16,N236=17),"+3",IF(OR(N236=18,N236=19),"+4",IF(OR(N236=20,N236=21),"+5",IF(OR(N236=22,N236=23),"+6",IF(OR(N236=24,N236=25),"+7",IF(OR(N236=26,N236=27),"+8",IF(OR(N236=28,N236=29),"+9",IF(N236=30,"+10"," "))))))))))))))))</f>
        <v>0</v>
      </c>
      <c r="P236" s="3" t="n">
        <v>13</v>
      </c>
      <c r="Q236" s="1" t="str">
        <f aca="false">IF(P236=1,"-5",IF(OR(P236=2,P236=3),"-4",IF(OR(P236=4,P236=5),"-3",IF(OR(P236=6,P236=7),"-2",IF(OR(P236=8,P236=9),"-1",IF(OR(P236=10,P236=11),"0",IF(OR(P236=12,P236=13),"+1",IF(OR(P236=14,P236=15),"+2",IF(OR(P236=16,P236=17),"+3",IF(OR(P236=18,P236=19),"+4",IF(OR(P236=20,P236=21),"+5",IF(OR(P236=22,P236=23),"+6",IF(OR(P236=24,P236=25),"+7",IF(OR(P236=26,P236=27),"+8",IF(OR(P236=28,P236=29),"+9",IF(P236=30,"+10"," "))))))))))))))))</f>
        <v>+1</v>
      </c>
      <c r="R236" s="3" t="n">
        <v>14</v>
      </c>
      <c r="S236" s="1" t="str">
        <f aca="false">IF(R236=1,"-5",IF(OR(R236=2,R236=3),"-4",IF(OR(R236=4,R236=5),"-3",IF(OR(R236=6,R236=7),"-2",IF(OR(R236=8,R236=9),"-1",IF(OR(R236=10,R236=11),"0",IF(OR(R236=12,R236=13),"+1",IF(OR(R236=14,R236=15),"+2",IF(OR(R236=16,R236=17),"+3",IF(OR(R236=18,R236=19),"+4",IF(OR(R236=20,R236=21),"+5",IF(OR(R236=22,R236=23),"+6",IF(OR(R236=24,R236=25),"+7",IF(OR(R236=26,R236=27),"+8",IF(OR(R236=28,R236=29),"+9",IF(R236=30,"+10"," "))))))))))))))))</f>
        <v>+2</v>
      </c>
      <c r="T236" s="3" t="n">
        <v>11</v>
      </c>
      <c r="U236" s="1" t="str">
        <f aca="false">IF(T236=1,"-5",IF(OR(T236=2,T236=3),"-4",IF(OR(T236=4,T236=5),"-3",IF(OR(T236=6,T236=7),"-2",IF(OR(T236=8,T236=9),"-1",IF(OR(T236=10,T236=11),"0",IF(OR(T236=12,T236=13),"+1",IF(OR(T236=14,T236=15),"+2",IF(OR(T236=16,T236=17),"+3",IF(OR(T236=18,T236=19),"+4",IF(OR(T236=20,T236=21),"+5",IF(OR(T236=22,T236=23),"+6",IF(OR(T236=24,T236=25),"+7",IF(OR(T236=26,T236=27),"+8",IF(OR(T236=28,T236=29),"+9",IF(T236=30,"+10"," "))))))))))))))))</f>
        <v>0</v>
      </c>
      <c r="V236" s="3" t="s">
        <v>37</v>
      </c>
      <c r="W236" s="3" t="s">
        <v>89</v>
      </c>
      <c r="X236" s="11" t="s">
        <v>1257</v>
      </c>
      <c r="Y236" s="11" t="s">
        <v>1258</v>
      </c>
      <c r="Z236" s="11"/>
      <c r="AA236" s="12"/>
    </row>
    <row r="237" customFormat="false" ht="16.4" hidden="false" customHeight="false" outlineLevel="0" collapsed="false">
      <c r="A237" s="15" t="s">
        <v>1259</v>
      </c>
      <c r="B237" s="3" t="s">
        <v>48</v>
      </c>
      <c r="C237" s="3" t="s">
        <v>49</v>
      </c>
      <c r="D237" s="16" t="n">
        <v>7</v>
      </c>
      <c r="E237" s="6" t="n">
        <f aca="false">VLOOKUP(D237,'[1]REF Tables'!$A$2:$B$40,2)</f>
        <v>2900</v>
      </c>
      <c r="F237" s="3" t="s">
        <v>30</v>
      </c>
      <c r="G237" s="3" t="n">
        <v>15</v>
      </c>
      <c r="H237" s="3" t="s">
        <v>1260</v>
      </c>
      <c r="I237" s="3" t="s">
        <v>42</v>
      </c>
      <c r="J237" s="3" t="n">
        <v>11</v>
      </c>
      <c r="K237" s="1" t="str">
        <f aca="false">IF(J237=1,"-5",IF(OR(J237=2,J237=3),"-4",IF(OR(J237=4,J237=5),"-3",IF(OR(J237=6,J237=7),"-2",IF(OR(J237=8,J237=9),"-1",IF(OR(J237=10,J237=11),"0",IF(OR(J237=12,J237=13),"+1",IF(OR(J237=14,J237=15),"+2",IF(OR(J237=16,J237=17),"+3",IF(OR(J237=18,J237=19),"+4",IF(OR(J237=20,J237=21),"+5",IF(OR(J237=22,J237=23),"+6",IF(OR(J237=24,J237=25),"+7",IF(OR(J237=26,J237=27),"+8",IF(OR(J237=28,J237=29),"+9",IF(J237=30,"+10"," "))))))))))))))))</f>
        <v>0</v>
      </c>
      <c r="L237" s="3" t="n">
        <v>12</v>
      </c>
      <c r="M237" s="1" t="str">
        <f aca="false">IF(L237=1,"-5",IF(OR(L237=2,L237=3),"-4",IF(OR(L237=4,L237=5),"-3",IF(OR(L237=6,L237=7),"-2",IF(OR(L237=8,L237=9),"-1",IF(OR(L237=10,L237=11),"0",IF(OR(L237=12,L237=13),"+1",IF(OR(L237=14,L237=15),"+2",IF(OR(L237=16,L237=17),"+3",IF(OR(L237=18,L237=19),"+4",IF(OR(L237=20,L237=21),"+5",IF(OR(L237=22,L237=23),"+6",IF(OR(L237=24,L237=25),"+7",IF(OR(L237=26,L237=27),"+8",IF(OR(L237=28,L237=29),"+9",IF(L237=30,"+10"," "))))))))))))))))</f>
        <v>+1</v>
      </c>
      <c r="N237" s="3" t="n">
        <v>12</v>
      </c>
      <c r="O237" s="1" t="str">
        <f aca="false">IF(N237=1,"-5",IF(OR(N237=2,N237=3),"-4",IF(OR(N237=4,N237=5),"-3",IF(OR(N237=6,N237=7),"-2",IF(OR(N237=8,N237=9),"-1",IF(OR(N237=10,N237=11),"0",IF(OR(N237=12,N237=13),"+1",IF(OR(N237=14,N237=15),"+2",IF(OR(N237=16,N237=17),"+3",IF(OR(N237=18,N237=19),"+4",IF(OR(N237=20,N237=21),"+5",IF(OR(N237=22,N237=23),"+6",IF(OR(N237=24,N237=25),"+7",IF(OR(N237=26,N237=27),"+8",IF(OR(N237=28,N237=29),"+9",IF(N237=30,"+10"," "))))))))))))))))</f>
        <v>+1</v>
      </c>
      <c r="P237" s="3" t="n">
        <v>19</v>
      </c>
      <c r="Q237" s="1" t="str">
        <f aca="false">IF(P237=1,"-5",IF(OR(P237=2,P237=3),"-4",IF(OR(P237=4,P237=5),"-3",IF(OR(P237=6,P237=7),"-2",IF(OR(P237=8,P237=9),"-1",IF(OR(P237=10,P237=11),"0",IF(OR(P237=12,P237=13),"+1",IF(OR(P237=14,P237=15),"+2",IF(OR(P237=16,P237=17),"+3",IF(OR(P237=18,P237=19),"+4",IF(OR(P237=20,P237=21),"+5",IF(OR(P237=22,P237=23),"+6",IF(OR(P237=24,P237=25),"+7",IF(OR(P237=26,P237=27),"+8",IF(OR(P237=28,P237=29),"+9",IF(P237=30,"+10"," "))))))))))))))))</f>
        <v>+4</v>
      </c>
      <c r="R237" s="3" t="n">
        <v>17</v>
      </c>
      <c r="S237" s="1" t="str">
        <f aca="false">IF(R237=1,"-5",IF(OR(R237=2,R237=3),"-4",IF(OR(R237=4,R237=5),"-3",IF(OR(R237=6,R237=7),"-2",IF(OR(R237=8,R237=9),"-1",IF(OR(R237=10,R237=11),"0",IF(OR(R237=12,R237=13),"+1",IF(OR(R237=14,R237=15),"+2",IF(OR(R237=16,R237=17),"+3",IF(OR(R237=18,R237=19),"+4",IF(OR(R237=20,R237=21),"+5",IF(OR(R237=22,R237=23),"+6",IF(OR(R237=24,R237=25),"+7",IF(OR(R237=26,R237=27),"+8",IF(OR(R237=28,R237=29),"+9",IF(R237=30,"+10"," "))))))))))))))))</f>
        <v>+3</v>
      </c>
      <c r="T237" s="3" t="n">
        <v>17</v>
      </c>
      <c r="U237" s="1" t="str">
        <f aca="false">IF(T237=1,"-5",IF(OR(T237=2,T237=3),"-4",IF(OR(T237=4,T237=5),"-3",IF(OR(T237=6,T237=7),"-2",IF(OR(T237=8,T237=9),"-1",IF(OR(T237=10,T237=11),"0",IF(OR(T237=12,T237=13),"+1",IF(OR(T237=14,T237=15),"+2",IF(OR(T237=16,T237=17),"+3",IF(OR(T237=18,T237=19),"+4",IF(OR(T237=20,T237=21),"+5",IF(OR(T237=22,T237=23),"+6",IF(OR(T237=24,T237=25),"+7",IF(OR(T237=26,T237=27),"+8",IF(OR(T237=28,T237=29),"+9",IF(T237=30,"+10"," "))))))))))))))))</f>
        <v>+3</v>
      </c>
      <c r="V237" s="3" t="s">
        <v>1261</v>
      </c>
      <c r="W237" s="3" t="s">
        <v>81</v>
      </c>
      <c r="X237" s="11" t="s">
        <v>1262</v>
      </c>
      <c r="Y237" s="11" t="s">
        <v>1263</v>
      </c>
      <c r="Z237" s="11" t="s">
        <v>100</v>
      </c>
      <c r="AA237" s="12" t="s">
        <v>100</v>
      </c>
    </row>
    <row r="238" customFormat="false" ht="16.4" hidden="false" customHeight="false" outlineLevel="0" collapsed="false">
      <c r="A238" s="15" t="s">
        <v>1264</v>
      </c>
      <c r="B238" s="3" t="s">
        <v>1265</v>
      </c>
      <c r="C238" s="3" t="s">
        <v>222</v>
      </c>
      <c r="D238" s="16" t="n">
        <v>9</v>
      </c>
      <c r="E238" s="6" t="n">
        <f aca="false">VLOOKUP(D238,'[1]REF Tables'!$A$2:$B$40,2)</f>
        <v>5000</v>
      </c>
      <c r="F238" s="3" t="s">
        <v>30</v>
      </c>
      <c r="G238" s="3" t="n">
        <v>16</v>
      </c>
      <c r="H238" s="3" t="s">
        <v>1266</v>
      </c>
      <c r="I238" s="3" t="s">
        <v>42</v>
      </c>
      <c r="J238" s="3" t="n">
        <v>20</v>
      </c>
      <c r="K238" s="1" t="str">
        <f aca="false">IF(J238=1,"-5",IF(OR(J238=2,J238=3),"-4",IF(OR(J238=4,J238=5),"-3",IF(OR(J238=6,J238=7),"-2",IF(OR(J238=8,J238=9),"-1",IF(OR(J238=10,J238=11),"0",IF(OR(J238=12,J238=13),"+1",IF(OR(J238=14,J238=15),"+2",IF(OR(J238=16,J238=17),"+3",IF(OR(J238=18,J238=19),"+4",IF(OR(J238=20,J238=21),"+5",IF(OR(J238=22,J238=23),"+6",IF(OR(J238=24,J238=25),"+7",IF(OR(J238=26,J238=27),"+8",IF(OR(J238=28,J238=29),"+9",IF(J238=30,"+10"," "))))))))))))))))</f>
        <v>+5</v>
      </c>
      <c r="L238" s="3" t="n">
        <v>10</v>
      </c>
      <c r="M238" s="1" t="str">
        <f aca="false">IF(L238=1,"-5",IF(OR(L238=2,L238=3),"-4",IF(OR(L238=4,L238=5),"-3",IF(OR(L238=6,L238=7),"-2",IF(OR(L238=8,L238=9),"-1",IF(OR(L238=10,L238=11),"0",IF(OR(L238=12,L238=13),"+1",IF(OR(L238=14,L238=15),"+2",IF(OR(L238=16,L238=17),"+3",IF(OR(L238=18,L238=19),"+4",IF(OR(L238=20,L238=21),"+5",IF(OR(L238=22,L238=23),"+6",IF(OR(L238=24,L238=25),"+7",IF(OR(L238=26,L238=27),"+8",IF(OR(L238=28,L238=29),"+9",IF(L238=30,"+10"," "))))))))))))))))</f>
        <v>0</v>
      </c>
      <c r="N238" s="3" t="n">
        <v>19</v>
      </c>
      <c r="O238" s="1" t="str">
        <f aca="false">IF(N238=1,"-5",IF(OR(N238=2,N238=3),"-4",IF(OR(N238=4,N238=5),"-3",IF(OR(N238=6,N238=7),"-2",IF(OR(N238=8,N238=9),"-1",IF(OR(N238=10,N238=11),"0",IF(OR(N238=12,N238=13),"+1",IF(OR(N238=14,N238=15),"+2",IF(OR(N238=16,N238=17),"+3",IF(OR(N238=18,N238=19),"+4",IF(OR(N238=20,N238=21),"+5",IF(OR(N238=22,N238=23),"+6",IF(OR(N238=24,N238=25),"+7",IF(OR(N238=26,N238=27),"+8",IF(OR(N238=28,N238=29),"+9",IF(N238=30,"+10"," "))))))))))))))))</f>
        <v>+4</v>
      </c>
      <c r="P238" s="3" t="n">
        <v>11</v>
      </c>
      <c r="Q238" s="1" t="str">
        <f aca="false">IF(P238=1,"-5",IF(OR(P238=2,P238=3),"-4",IF(OR(P238=4,P238=5),"-3",IF(OR(P238=6,P238=7),"-2",IF(OR(P238=8,P238=9),"-1",IF(OR(P238=10,P238=11),"0",IF(OR(P238=12,P238=13),"+1",IF(OR(P238=14,P238=15),"+2",IF(OR(P238=16,P238=17),"+3",IF(OR(P238=18,P238=19),"+4",IF(OR(P238=20,P238=21),"+5",IF(OR(P238=22,P238=23),"+6",IF(OR(P238=24,P238=25),"+7",IF(OR(P238=26,P238=27),"+8",IF(OR(P238=28,P238=29),"+9",IF(P238=30,"+10"," "))))))))))))))))</f>
        <v>0</v>
      </c>
      <c r="R238" s="3" t="n">
        <v>13</v>
      </c>
      <c r="S238" s="1" t="str">
        <f aca="false">IF(R238=1,"-5",IF(OR(R238=2,R238=3),"-4",IF(OR(R238=4,R238=5),"-3",IF(OR(R238=6,R238=7),"-2",IF(OR(R238=8,R238=9),"-1",IF(OR(R238=10,R238=11),"0",IF(OR(R238=12,R238=13),"+1",IF(OR(R238=14,R238=15),"+2",IF(OR(R238=16,R238=17),"+3",IF(OR(R238=18,R238=19),"+4",IF(OR(R238=20,R238=21),"+5",IF(OR(R238=22,R238=23),"+6",IF(OR(R238=24,R238=25),"+7",IF(OR(R238=26,R238=27),"+8",IF(OR(R238=28,R238=29),"+9",IF(R238=30,"+10"," "))))))))))))))))</f>
        <v>+1</v>
      </c>
      <c r="T238" s="3" t="n">
        <v>12</v>
      </c>
      <c r="U238" s="1" t="str">
        <f aca="false">IF(T238=1,"-5",IF(OR(T238=2,T238=3),"-4",IF(OR(T238=4,T238=5),"-3",IF(OR(T238=6,T238=7),"-2",IF(OR(T238=8,T238=9),"-1",IF(OR(T238=10,T238=11),"0",IF(OR(T238=12,T238=13),"+1",IF(OR(T238=14,T238=15),"+2",IF(OR(T238=16,T238=17),"+3",IF(OR(T238=18,T238=19),"+4",IF(OR(T238=20,T238=21),"+5",IF(OR(T238=22,T238=23),"+6",IF(OR(T238=24,T238=25),"+7",IF(OR(T238=26,T238=27),"+8",IF(OR(T238=28,T238=29),"+9",IF(T238=30,"+10"," "))))))))))))))))</f>
        <v>+1</v>
      </c>
      <c r="V238" s="3" t="s">
        <v>1267</v>
      </c>
      <c r="W238" s="3" t="s">
        <v>1268</v>
      </c>
      <c r="X238" s="11" t="s">
        <v>1269</v>
      </c>
      <c r="Y238" s="11" t="s">
        <v>1270</v>
      </c>
      <c r="Z238" s="11" t="s">
        <v>37</v>
      </c>
      <c r="AA238" s="12" t="s">
        <v>37</v>
      </c>
    </row>
    <row r="239" customFormat="false" ht="16.4" hidden="false" customHeight="false" outlineLevel="0" collapsed="false">
      <c r="A239" s="15" t="s">
        <v>1271</v>
      </c>
      <c r="B239" s="3" t="s">
        <v>48</v>
      </c>
      <c r="C239" s="3" t="s">
        <v>502</v>
      </c>
      <c r="D239" s="16" t="n">
        <v>0.125</v>
      </c>
      <c r="E239" s="3" t="n">
        <f aca="false">VLOOKUP(D239,'[1]REF Tables'!$A$2:$B$40,2)</f>
        <v>25</v>
      </c>
      <c r="F239" s="3" t="s">
        <v>165</v>
      </c>
      <c r="G239" s="3" t="n">
        <v>12</v>
      </c>
      <c r="H239" s="3" t="s">
        <v>1252</v>
      </c>
      <c r="I239" s="3" t="s">
        <v>444</v>
      </c>
      <c r="J239" s="3" t="n">
        <v>6</v>
      </c>
      <c r="K239" s="1" t="str">
        <f aca="false">IF(J239=1,"-5",IF(OR(J239=2,J239=3),"-4",IF(OR(J239=4,J239=5),"-3",IF(OR(J239=6,J239=7),"-2",IF(OR(J239=8,J239=9),"-1",IF(OR(J239=10,J239=11),"0",IF(OR(J239=12,J239=13),"+1",IF(OR(J239=14,J239=15),"+2",IF(OR(J239=16,J239=17),"+3",IF(OR(J239=18,J239=19),"+4",IF(OR(J239=20,J239=21),"+5",IF(OR(J239=22,J239=23),"+6",IF(OR(J239=24,J239=25),"+7",IF(OR(J239=26,J239=27),"+8",IF(OR(J239=28,J239=29),"+9",IF(J239=30,"+10"," "))))))))))))))))</f>
        <v>-2</v>
      </c>
      <c r="L239" s="3" t="n">
        <v>15</v>
      </c>
      <c r="M239" s="1" t="str">
        <f aca="false">IF(L239=1,"-5",IF(OR(L239=2,L239=3),"-4",IF(OR(L239=4,L239=5),"-3",IF(OR(L239=6,L239=7),"-2",IF(OR(L239=8,L239=9),"-1",IF(OR(L239=10,L239=11),"0",IF(OR(L239=12,L239=13),"+1",IF(OR(L239=14,L239=15),"+2",IF(OR(L239=16,L239=17),"+3",IF(OR(L239=18,L239=19),"+4",IF(OR(L239=20,L239=21),"+5",IF(OR(L239=22,L239=23),"+6",IF(OR(L239=24,L239=25),"+7",IF(OR(L239=26,L239=27),"+8",IF(OR(L239=28,L239=29),"+9",IF(L239=30,"+10"," "))))))))))))))))</f>
        <v>+2</v>
      </c>
      <c r="N239" s="3" t="n">
        <v>10</v>
      </c>
      <c r="O239" s="1" t="str">
        <f aca="false">IF(N239=1,"-5",IF(OR(N239=2,N239=3),"-4",IF(OR(N239=4,N239=5),"-3",IF(OR(N239=6,N239=7),"-2",IF(OR(N239=8,N239=9),"-1",IF(OR(N239=10,N239=11),"0",IF(OR(N239=12,N239=13),"+1",IF(OR(N239=14,N239=15),"+2",IF(OR(N239=16,N239=17),"+3",IF(OR(N239=18,N239=19),"+4",IF(OR(N239=20,N239=21),"+5",IF(OR(N239=22,N239=23),"+6",IF(OR(N239=24,N239=25),"+7",IF(OR(N239=26,N239=27),"+8",IF(OR(N239=28,N239=29),"+9",IF(N239=30,"+10"," "))))))))))))))))</f>
        <v>0</v>
      </c>
      <c r="P239" s="3" t="n">
        <v>14</v>
      </c>
      <c r="Q239" s="1" t="str">
        <f aca="false">IF(P239=1,"-5",IF(OR(P239=2,P239=3),"-4",IF(OR(P239=4,P239=5),"-3",IF(OR(P239=6,P239=7),"-2",IF(OR(P239=8,P239=9),"-1",IF(OR(P239=10,P239=11),"0",IF(OR(P239=12,P239=13),"+1",IF(OR(P239=14,P239=15),"+2",IF(OR(P239=16,P239=17),"+3",IF(OR(P239=18,P239=19),"+4",IF(OR(P239=20,P239=21),"+5",IF(OR(P239=22,P239=23),"+6",IF(OR(P239=24,P239=25),"+7",IF(OR(P239=26,P239=27),"+8",IF(OR(P239=28,P239=29),"+9",IF(P239=30,"+10"," "))))))))))))))))</f>
        <v>+2</v>
      </c>
      <c r="R239" s="3" t="n">
        <v>14</v>
      </c>
      <c r="S239" s="1" t="str">
        <f aca="false">IF(R239=1,"-5",IF(OR(R239=2,R239=3),"-4",IF(OR(R239=4,R239=5),"-3",IF(OR(R239=6,R239=7),"-2",IF(OR(R239=8,R239=9),"-1",IF(OR(R239=10,R239=11),"0",IF(OR(R239=12,R239=13),"+1",IF(OR(R239=14,R239=15),"+2",IF(OR(R239=16,R239=17),"+3",IF(OR(R239=18,R239=19),"+4",IF(OR(R239=20,R239=21),"+5",IF(OR(R239=22,R239=23),"+6",IF(OR(R239=24,R239=25),"+7",IF(OR(R239=26,R239=27),"+8",IF(OR(R239=28,R239=29),"+9",IF(R239=30,"+10"," "))))))))))))))))</f>
        <v>+2</v>
      </c>
      <c r="T239" s="3" t="n">
        <v>11</v>
      </c>
      <c r="U239" s="1" t="str">
        <f aca="false">IF(T239=1,"-5",IF(OR(T239=2,T239=3),"-4",IF(OR(T239=4,T239=5),"-3",IF(OR(T239=6,T239=7),"-2",IF(OR(T239=8,T239=9),"-1",IF(OR(T239=10,T239=11),"0",IF(OR(T239=12,T239=13),"+1",IF(OR(T239=14,T239=15),"+2",IF(OR(T239=16,T239=17),"+3",IF(OR(T239=18,T239=19),"+4",IF(OR(T239=20,T239=21),"+5",IF(OR(T239=22,T239=23),"+6",IF(OR(T239=24,T239=25),"+7",IF(OR(T239=26,T239=27),"+8",IF(OR(T239=28,T239=29),"+9",IF(T239=30,"+10"," "))))))))))))))))</f>
        <v>0</v>
      </c>
      <c r="V239" s="3" t="s">
        <v>1272</v>
      </c>
      <c r="W239" s="3" t="s">
        <v>1273</v>
      </c>
      <c r="X239" s="11" t="s">
        <v>1274</v>
      </c>
      <c r="Y239" s="11" t="s">
        <v>1275</v>
      </c>
      <c r="Z239" s="11" t="s">
        <v>37</v>
      </c>
      <c r="AA239" s="12" t="s">
        <v>37</v>
      </c>
    </row>
    <row r="240" customFormat="false" ht="16.4" hidden="false" customHeight="false" outlineLevel="0" collapsed="false">
      <c r="A240" s="15" t="s">
        <v>1276</v>
      </c>
      <c r="B240" s="3" t="s">
        <v>614</v>
      </c>
      <c r="C240" s="3" t="s">
        <v>222</v>
      </c>
      <c r="D240" s="16" t="n">
        <v>8</v>
      </c>
      <c r="E240" s="6" t="n">
        <f aca="false">VLOOKUP(D240,'[1]REF Tables'!$A$2:$B$40,2)</f>
        <v>3900</v>
      </c>
      <c r="F240" s="3" t="s">
        <v>121</v>
      </c>
      <c r="G240" s="3" t="n">
        <v>14</v>
      </c>
      <c r="H240" s="3" t="s">
        <v>1277</v>
      </c>
      <c r="I240" s="3" t="s">
        <v>42</v>
      </c>
      <c r="J240" s="3" t="n">
        <v>23</v>
      </c>
      <c r="K240" s="1" t="str">
        <f aca="false">IF(J240=1,"-5",IF(OR(J240=2,J240=3),"-4",IF(OR(J240=4,J240=5),"-3",IF(OR(J240=6,J240=7),"-2",IF(OR(J240=8,J240=9),"-1",IF(OR(J240=10,J240=11),"0",IF(OR(J240=12,J240=13),"+1",IF(OR(J240=14,J240=15),"+2",IF(OR(J240=16,J240=17),"+3",IF(OR(J240=18,J240=19),"+4",IF(OR(J240=20,J240=21),"+5",IF(OR(J240=22,J240=23),"+6",IF(OR(J240=24,J240=25),"+7",IF(OR(J240=26,J240=27),"+8",IF(OR(J240=28,J240=29),"+9",IF(J240=30,"+10"," "))))))))))))))))</f>
        <v>+6</v>
      </c>
      <c r="L240" s="3" t="n">
        <v>10</v>
      </c>
      <c r="M240" s="1" t="str">
        <f aca="false">IF(L240=1,"-5",IF(OR(L240=2,L240=3),"-4",IF(OR(L240=4,L240=5),"-3",IF(OR(L240=6,L240=7),"-2",IF(OR(L240=8,L240=9),"-1",IF(OR(L240=10,L240=11),"0",IF(OR(L240=12,L240=13),"+1",IF(OR(L240=14,L240=15),"+2",IF(OR(L240=16,L240=17),"+3",IF(OR(L240=18,L240=19),"+4",IF(OR(L240=20,L240=21),"+5",IF(OR(L240=22,L240=23),"+6",IF(OR(L240=24,L240=25),"+7",IF(OR(L240=26,L240=27),"+8",IF(OR(L240=28,L240=29),"+9",IF(L240=30,"+10"," "))))))))))))))))</f>
        <v>0</v>
      </c>
      <c r="N240" s="3" t="n">
        <v>20</v>
      </c>
      <c r="O240" s="1" t="str">
        <f aca="false">IF(N240=1,"-5",IF(OR(N240=2,N240=3),"-4",IF(OR(N240=4,N240=5),"-3",IF(OR(N240=6,N240=7),"-2",IF(OR(N240=8,N240=9),"-1",IF(OR(N240=10,N240=11),"0",IF(OR(N240=12,N240=13),"+1",IF(OR(N240=14,N240=15),"+2",IF(OR(N240=16,N240=17),"+3",IF(OR(N240=18,N240=19),"+4",IF(OR(N240=20,N240=21),"+5",IF(OR(N240=22,N240=23),"+6",IF(OR(N240=24,N240=25),"+7",IF(OR(N240=26,N240=27),"+8",IF(OR(N240=28,N240=29),"+9",IF(N240=30,"+10"," "))))))))))))))))</f>
        <v>+5</v>
      </c>
      <c r="P240" s="3" t="n">
        <v>9</v>
      </c>
      <c r="Q240" s="1" t="str">
        <f aca="false">IF(P240=1,"-5",IF(OR(P240=2,P240=3),"-4",IF(OR(P240=4,P240=5),"-3",IF(OR(P240=6,P240=7),"-2",IF(OR(P240=8,P240=9),"-1",IF(OR(P240=10,P240=11),"0",IF(OR(P240=12,P240=13),"+1",IF(OR(P240=14,P240=15),"+2",IF(OR(P240=16,P240=17),"+3",IF(OR(P240=18,P240=19),"+4",IF(OR(P240=20,P240=21),"+5",IF(OR(P240=22,P240=23),"+6",IF(OR(P240=24,P240=25),"+7",IF(OR(P240=26,P240=27),"+8",IF(OR(P240=28,P240=29),"+9",IF(P240=30,"+10"," "))))))))))))))))</f>
        <v>-1</v>
      </c>
      <c r="R240" s="3" t="n">
        <v>14</v>
      </c>
      <c r="S240" s="1" t="str">
        <f aca="false">IF(R240=1,"-5",IF(OR(R240=2,R240=3),"-4",IF(OR(R240=4,R240=5),"-3",IF(OR(R240=6,R240=7),"-2",IF(OR(R240=8,R240=9),"-1",IF(OR(R240=10,R240=11),"0",IF(OR(R240=12,R240=13),"+1",IF(OR(R240=14,R240=15),"+2",IF(OR(R240=16,R240=17),"+3",IF(OR(R240=18,R240=19),"+4",IF(OR(R240=20,R240=21),"+5",IF(OR(R240=22,R240=23),"+6",IF(OR(R240=24,R240=25),"+7",IF(OR(R240=26,R240=27),"+8",IF(OR(R240=28,R240=29),"+9",IF(R240=30,"+10"," "))))))))))))))))</f>
        <v>+2</v>
      </c>
      <c r="T240" s="3" t="n">
        <v>6</v>
      </c>
      <c r="U240" s="1" t="str">
        <f aca="false">IF(T240=1,"-5",IF(OR(T240=2,T240=3),"-4",IF(OR(T240=4,T240=5),"-3",IF(OR(T240=6,T240=7),"-2",IF(OR(T240=8,T240=9),"-1",IF(OR(T240=10,T240=11),"0",IF(OR(T240=12,T240=13),"+1",IF(OR(T240=14,T240=15),"+2",IF(OR(T240=16,T240=17),"+3",IF(OR(T240=18,T240=19),"+4",IF(OR(T240=20,T240=21),"+5",IF(OR(T240=22,T240=23),"+6",IF(OR(T240=24,T240=25),"+7",IF(OR(T240=26,T240=27),"+8",IF(OR(T240=28,T240=29),"+9",IF(T240=30,"+10"," "))))))))))))))))</f>
        <v>-2</v>
      </c>
      <c r="V240" s="3" t="s">
        <v>1278</v>
      </c>
      <c r="W240" s="3" t="s">
        <v>1279</v>
      </c>
      <c r="X240" s="11" t="s">
        <v>1280</v>
      </c>
      <c r="Y240" s="11" t="s">
        <v>1281</v>
      </c>
      <c r="Z240" s="11" t="s">
        <v>37</v>
      </c>
      <c r="AA240" s="12" t="s">
        <v>37</v>
      </c>
    </row>
    <row r="241" customFormat="false" ht="16.4" hidden="false" customHeight="false" outlineLevel="0" collapsed="false">
      <c r="A241" s="15" t="s">
        <v>1282</v>
      </c>
      <c r="B241" s="3" t="s">
        <v>105</v>
      </c>
      <c r="C241" s="3" t="s">
        <v>37</v>
      </c>
      <c r="D241" s="16" t="n">
        <v>10</v>
      </c>
      <c r="E241" s="6" t="n">
        <f aca="false">VLOOKUP(D241,'[1]REF Tables'!$A$2:$B$40,2)</f>
        <v>5900</v>
      </c>
      <c r="F241" s="3" t="s">
        <v>121</v>
      </c>
      <c r="G241" s="3" t="n">
        <v>14</v>
      </c>
      <c r="H241" s="3" t="s">
        <v>903</v>
      </c>
      <c r="I241" s="3" t="s">
        <v>534</v>
      </c>
      <c r="J241" s="3" t="n">
        <v>23</v>
      </c>
      <c r="K241" s="1" t="str">
        <f aca="false">IF(J241=1,"-5",IF(OR(J241=2,J241=3),"-4",IF(OR(J241=4,J241=5),"-3",IF(OR(J241=6,J241=7),"-2",IF(OR(J241=8,J241=9),"-1",IF(OR(J241=10,J241=11),"0",IF(OR(J241=12,J241=13),"+1",IF(OR(J241=14,J241=15),"+2",IF(OR(J241=16,J241=17),"+3",IF(OR(J241=18,J241=19),"+4",IF(OR(J241=20,J241=21),"+5",IF(OR(J241=22,J241=23),"+6",IF(OR(J241=24,J241=25),"+7",IF(OR(J241=26,J241=27),"+8",IF(OR(J241=28,J241=29),"+9",IF(J241=30,"+10"," "))))))))))))))))</f>
        <v>+6</v>
      </c>
      <c r="L241" s="3" t="n">
        <v>13</v>
      </c>
      <c r="M241" s="1" t="str">
        <f aca="false">IF(L241=1,"-5",IF(OR(L241=2,L241=3),"-4",IF(OR(L241=4,L241=5),"-3",IF(OR(L241=6,L241=7),"-2",IF(OR(L241=8,L241=9),"-1",IF(OR(L241=10,L241=11),"0",IF(OR(L241=12,L241=13),"+1",IF(OR(L241=14,L241=15),"+2",IF(OR(L241=16,L241=17),"+3",IF(OR(L241=18,L241=19),"+4",IF(OR(L241=20,L241=21),"+5",IF(OR(L241=22,L241=23),"+6",IF(OR(L241=24,L241=25),"+7",IF(OR(L241=26,L241=27),"+8",IF(OR(L241=28,L241=29),"+9",IF(L241=30,"+10"," "))))))))))))))))</f>
        <v>+1</v>
      </c>
      <c r="N241" s="3" t="n">
        <v>20</v>
      </c>
      <c r="O241" s="1" t="str">
        <f aca="false">IF(N241=1,"-5",IF(OR(N241=2,N241=3),"-4",IF(OR(N241=4,N241=5),"-3",IF(OR(N241=6,N241=7),"-2",IF(OR(N241=8,N241=9),"-1",IF(OR(N241=10,N241=11),"0",IF(OR(N241=12,N241=13),"+1",IF(OR(N241=14,N241=15),"+2",IF(OR(N241=16,N241=17),"+3",IF(OR(N241=18,N241=19),"+4",IF(OR(N241=20,N241=21),"+5",IF(OR(N241=22,N241=23),"+6",IF(OR(N241=24,N241=25),"+7",IF(OR(N241=26,N241=27),"+8",IF(OR(N241=28,N241=29),"+9",IF(N241=30,"+10"," "))))))))))))))))</f>
        <v>+5</v>
      </c>
      <c r="P241" s="3" t="n">
        <v>2</v>
      </c>
      <c r="Q241" s="1" t="str">
        <f aca="false">IF(P241=1,"-5",IF(OR(P241=2,P241=3),"-4",IF(OR(P241=4,P241=5),"-3",IF(OR(P241=6,P241=7),"-2",IF(OR(P241=8,P241=9),"-1",IF(OR(P241=10,P241=11),"0",IF(OR(P241=12,P241=13),"+1",IF(OR(P241=14,P241=15),"+2",IF(OR(P241=16,P241=17),"+3",IF(OR(P241=18,P241=19),"+4",IF(OR(P241=20,P241=21),"+5",IF(OR(P241=22,P241=23),"+6",IF(OR(P241=24,P241=25),"+7",IF(OR(P241=26,P241=27),"+8",IF(OR(P241=28,P241=29),"+9",IF(P241=30,"+10"," "))))))))))))))))</f>
        <v>-4</v>
      </c>
      <c r="R241" s="3" t="n">
        <v>12</v>
      </c>
      <c r="S241" s="1" t="str">
        <f aca="false">IF(R241=1,"-5",IF(OR(R241=2,R241=3),"-4",IF(OR(R241=4,R241=5),"-3",IF(OR(R241=6,R241=7),"-2",IF(OR(R241=8,R241=9),"-1",IF(OR(R241=10,R241=11),"0",IF(OR(R241=12,R241=13),"+1",IF(OR(R241=14,R241=15),"+2",IF(OR(R241=16,R241=17),"+3",IF(OR(R241=18,R241=19),"+4",IF(OR(R241=20,R241=21),"+5",IF(OR(R241=22,R241=23),"+6",IF(OR(R241=24,R241=25),"+7",IF(OR(R241=26,R241=27),"+8",IF(OR(R241=28,R241=29),"+9",IF(R241=30,"+10"," "))))))))))))))))</f>
        <v>+1</v>
      </c>
      <c r="T241" s="3" t="n">
        <v>5</v>
      </c>
      <c r="U241" s="1" t="str">
        <f aca="false">IF(T241=1,"-5",IF(OR(T241=2,T241=3),"-4",IF(OR(T241=4,T241=5),"-3",IF(OR(T241=6,T241=7),"-2",IF(OR(T241=8,T241=9),"-1",IF(OR(T241=10,T241=11),"0",IF(OR(T241=12,T241=13),"+1",IF(OR(T241=14,T241=15),"+2",IF(OR(T241=16,T241=17),"+3",IF(OR(T241=18,T241=19),"+4",IF(OR(T241=20,T241=21),"+5",IF(OR(T241=22,T241=23),"+6",IF(OR(T241=24,T241=25),"+7",IF(OR(T241=26,T241=27),"+8",IF(OR(T241=28,T241=29),"+9",IF(T241=30,"+10"," "))))))))))))))))</f>
        <v>-3</v>
      </c>
      <c r="V241" s="3" t="s">
        <v>1283</v>
      </c>
      <c r="W241" s="3" t="s">
        <v>37</v>
      </c>
      <c r="X241" s="11" t="s">
        <v>1284</v>
      </c>
      <c r="Y241" s="11" t="s">
        <v>1285</v>
      </c>
      <c r="Z241" s="11" t="s">
        <v>37</v>
      </c>
      <c r="AA241" s="12" t="s">
        <v>37</v>
      </c>
    </row>
    <row r="242" customFormat="false" ht="16.4" hidden="false" customHeight="false" outlineLevel="0" collapsed="false">
      <c r="A242" s="15" t="s">
        <v>1286</v>
      </c>
      <c r="B242" s="3" t="s">
        <v>214</v>
      </c>
      <c r="C242" s="3" t="s">
        <v>230</v>
      </c>
      <c r="D242" s="16" t="n">
        <v>6</v>
      </c>
      <c r="E242" s="6" t="n">
        <f aca="false">VLOOKUP(D242,'[1]REF Tables'!$A$2:$B$40,2)</f>
        <v>2300</v>
      </c>
      <c r="F242" s="3" t="s">
        <v>30</v>
      </c>
      <c r="G242" s="3" t="n">
        <v>16</v>
      </c>
      <c r="H242" s="3" t="s">
        <v>1287</v>
      </c>
      <c r="I242" s="3" t="s">
        <v>1288</v>
      </c>
      <c r="J242" s="3" t="n">
        <v>20</v>
      </c>
      <c r="K242" s="1" t="str">
        <f aca="false">IF(J242=1,"-5",IF(OR(J242=2,J242=3),"-4",IF(OR(J242=4,J242=5),"-3",IF(OR(J242=6,J242=7),"-2",IF(OR(J242=8,J242=9),"-1",IF(OR(J242=10,J242=11),"0",IF(OR(J242=12,J242=13),"+1",IF(OR(J242=14,J242=15),"+2",IF(OR(J242=16,J242=17),"+3",IF(OR(J242=18,J242=19),"+4",IF(OR(J242=20,J242=21),"+5",IF(OR(J242=22,J242=23),"+6",IF(OR(J242=24,J242=25),"+7",IF(OR(J242=26,J242=27),"+8",IF(OR(J242=28,J242=29),"+9",IF(J242=30,"+10"," "))))))))))))))))</f>
        <v>+5</v>
      </c>
      <c r="L242" s="3" t="n">
        <v>14</v>
      </c>
      <c r="M242" s="1" t="str">
        <f aca="false">IF(L242=1,"-5",IF(OR(L242=2,L242=3),"-4",IF(OR(L242=4,L242=5),"-3",IF(OR(L242=6,L242=7),"-2",IF(OR(L242=8,L242=9),"-1",IF(OR(L242=10,L242=11),"0",IF(OR(L242=12,L242=13),"+1",IF(OR(L242=14,L242=15),"+2",IF(OR(L242=16,L242=17),"+3",IF(OR(L242=18,L242=19),"+4",IF(OR(L242=20,L242=21),"+5",IF(OR(L242=22,L242=23),"+6",IF(OR(L242=24,L242=25),"+7",IF(OR(L242=26,L242=27),"+8",IF(OR(L242=28,L242=29),"+9",IF(L242=30,"+10"," "))))))))))))))))</f>
        <v>+2</v>
      </c>
      <c r="N242" s="3" t="n">
        <v>20</v>
      </c>
      <c r="O242" s="1" t="str">
        <f aca="false">IF(N242=1,"-5",IF(OR(N242=2,N242=3),"-4",IF(OR(N242=4,N242=5),"-3",IF(OR(N242=6,N242=7),"-2",IF(OR(N242=8,N242=9),"-1",IF(OR(N242=10,N242=11),"0",IF(OR(N242=12,N242=13),"+1",IF(OR(N242=14,N242=15),"+2",IF(OR(N242=16,N242=17),"+3",IF(OR(N242=18,N242=19),"+4",IF(OR(N242=20,N242=21),"+5",IF(OR(N242=22,N242=23),"+6",IF(OR(N242=24,N242=25),"+7",IF(OR(N242=26,N242=27),"+8",IF(OR(N242=28,N242=29),"+9",IF(N242=30,"+10"," "))))))))))))))))</f>
        <v>+5</v>
      </c>
      <c r="P242" s="3" t="n">
        <v>11</v>
      </c>
      <c r="Q242" s="1" t="str">
        <f aca="false">IF(P242=1,"-5",IF(OR(P242=2,P242=3),"-4",IF(OR(P242=4,P242=5),"-3",IF(OR(P242=6,P242=7),"-2",IF(OR(P242=8,P242=9),"-1",IF(OR(P242=10,P242=11),"0",IF(OR(P242=12,P242=13),"+1",IF(OR(P242=14,P242=15),"+2",IF(OR(P242=16,P242=17),"+3",IF(OR(P242=18,P242=19),"+4",IF(OR(P242=20,P242=21),"+5",IF(OR(P242=22,P242=23),"+6",IF(OR(P242=24,P242=25),"+7",IF(OR(P242=26,P242=27),"+8",IF(OR(P242=28,P242=29),"+9",IF(P242=30,"+10"," "))))))))))))))))</f>
        <v>0</v>
      </c>
      <c r="R242" s="3" t="n">
        <v>12</v>
      </c>
      <c r="S242" s="1" t="str">
        <f aca="false">IF(R242=1,"-5",IF(OR(R242=2,R242=3),"-4",IF(OR(R242=4,R242=5),"-3",IF(OR(R242=6,R242=7),"-2",IF(OR(R242=8,R242=9),"-1",IF(OR(R242=10,R242=11),"0",IF(OR(R242=12,R242=13),"+1",IF(OR(R242=14,R242=15),"+2",IF(OR(R242=16,R242=17),"+3",IF(OR(R242=18,R242=19),"+4",IF(OR(R242=20,R242=21),"+5",IF(OR(R242=22,R242=23),"+6",IF(OR(R242=24,R242=25),"+7",IF(OR(R242=26,R242=27),"+8",IF(OR(R242=28,R242=29),"+9",IF(R242=30,"+10"," "))))))))))))))))</f>
        <v>+1</v>
      </c>
      <c r="T242" s="3" t="n">
        <v>11</v>
      </c>
      <c r="U242" s="1" t="str">
        <f aca="false">IF(T242=1,"-5",IF(OR(T242=2,T242=3),"-4",IF(OR(T242=4,T242=5),"-3",IF(OR(T242=6,T242=7),"-2",IF(OR(T242=8,T242=9),"-1",IF(OR(T242=10,T242=11),"0",IF(OR(T242=12,T242=13),"+1",IF(OR(T242=14,T242=15),"+2",IF(OR(T242=16,T242=17),"+3",IF(OR(T242=18,T242=19),"+4",IF(OR(T242=20,T242=21),"+5",IF(OR(T242=22,T242=23),"+6",IF(OR(T242=24,T242=25),"+7",IF(OR(T242=26,T242=27),"+8",IF(OR(T242=28,T242=29),"+9",IF(T242=30,"+10"," "))))))))))))))))</f>
        <v>0</v>
      </c>
      <c r="V242" s="3" t="s">
        <v>37</v>
      </c>
      <c r="W242" s="3" t="s">
        <v>623</v>
      </c>
      <c r="X242" s="11" t="s">
        <v>1289</v>
      </c>
      <c r="Y242" s="11" t="s">
        <v>1290</v>
      </c>
      <c r="Z242" s="11" t="s">
        <v>37</v>
      </c>
      <c r="AA242" s="12" t="s">
        <v>37</v>
      </c>
    </row>
    <row r="243" customFormat="false" ht="16.4" hidden="false" customHeight="false" outlineLevel="0" collapsed="false">
      <c r="A243" s="14" t="s">
        <v>1291</v>
      </c>
      <c r="B243" s="1" t="s">
        <v>39</v>
      </c>
      <c r="C243" s="1" t="s">
        <v>40</v>
      </c>
      <c r="D243" s="5" t="n">
        <v>0.125</v>
      </c>
      <c r="E243" s="3" t="n">
        <f aca="false">VLOOKUP(D243,'[1]REF Tables'!$A$2:$B$40,2)</f>
        <v>25</v>
      </c>
      <c r="F243" s="1" t="s">
        <v>30</v>
      </c>
      <c r="G243" s="1" t="n">
        <v>16</v>
      </c>
      <c r="H243" s="1" t="s">
        <v>152</v>
      </c>
      <c r="I243" s="3" t="s">
        <v>42</v>
      </c>
      <c r="J243" s="1" t="n">
        <v>13</v>
      </c>
      <c r="K243" s="1" t="str">
        <f aca="false">IF(J243=1,"-5",IF(OR(J243=2,J243=3),"-4",IF(OR(J243=4,J243=5),"-3",IF(OR(J243=6,J243=7),"-2",IF(OR(J243=8,J243=9),"-1",IF(OR(J243=10,J243=11),"0",IF(OR(J243=12,J243=13),"+1",IF(OR(J243=14,J243=15),"+2",IF(OR(J243=16,J243=17),"+3",IF(OR(J243=18,J243=19),"+4",IF(OR(J243=20,J243=21),"+5",IF(OR(J243=22,J243=23),"+6",IF(OR(J243=24,J243=25),"+7",IF(OR(J243=26,J243=27),"+8",IF(OR(J243=28,J243=29),"+9",IF(J243=30,"+10"," "))))))))))))))))</f>
        <v>+1</v>
      </c>
      <c r="L243" s="1" t="n">
        <v>12</v>
      </c>
      <c r="M243" s="1" t="str">
        <f aca="false">IF(L243=1,"-5",IF(OR(L243=2,L243=3),"-4",IF(OR(L243=4,L243=5),"-3",IF(OR(L243=6,L243=7),"-2",IF(OR(L243=8,L243=9),"-1",IF(OR(L243=10,L243=11),"0",IF(OR(L243=12,L243=13),"+1",IF(OR(L243=14,L243=15),"+2",IF(OR(L243=16,L243=17),"+3",IF(OR(L243=18,L243=19),"+4",IF(OR(L243=20,L243=21),"+5",IF(OR(L243=22,L243=23),"+6",IF(OR(L243=24,L243=25),"+7",IF(OR(L243=26,L243=27),"+8",IF(OR(L243=28,L243=29),"+9",IF(L243=30,"+10"," "))))))))))))))))</f>
        <v>+1</v>
      </c>
      <c r="N243" s="1" t="n">
        <v>12</v>
      </c>
      <c r="O243" s="1" t="str">
        <f aca="false">IF(N243=1,"-5",IF(OR(N243=2,N243=3),"-4",IF(OR(N243=4,N243=5),"-3",IF(OR(N243=6,N243=7),"-2",IF(OR(N243=8,N243=9),"-1",IF(OR(N243=10,N243=11),"0",IF(OR(N243=12,N243=13),"+1",IF(OR(N243=14,N243=15),"+2",IF(OR(N243=16,N243=17),"+3",IF(OR(N243=18,N243=19),"+4",IF(OR(N243=20,N243=21),"+5",IF(OR(N243=22,N243=23),"+6",IF(OR(N243=24,N243=25),"+7",IF(OR(N243=26,N243=27),"+8",IF(OR(N243=28,N243=29),"+9",IF(N243=30,"+10"," "))))))))))))))))</f>
        <v>+1</v>
      </c>
      <c r="P243" s="1" t="n">
        <v>10</v>
      </c>
      <c r="Q243" s="1" t="str">
        <f aca="false">IF(P243=1,"-5",IF(OR(P243=2,P243=3),"-4",IF(OR(P243=4,P243=5),"-3",IF(OR(P243=6,P243=7),"-2",IF(OR(P243=8,P243=9),"-1",IF(OR(P243=10,P243=11),"0",IF(OR(P243=12,P243=13),"+1",IF(OR(P243=14,P243=15),"+2",IF(OR(P243=16,P243=17),"+3",IF(OR(P243=18,P243=19),"+4",IF(OR(P243=20,P243=21),"+5",IF(OR(P243=22,P243=23),"+6",IF(OR(P243=24,P243=25),"+7",IF(OR(P243=26,P243=27),"+8",IF(OR(P243=28,P243=29),"+9",IF(P243=30,"+10"," "))))))))))))))))</f>
        <v>0</v>
      </c>
      <c r="R243" s="1" t="n">
        <v>11</v>
      </c>
      <c r="S243" s="1" t="str">
        <f aca="false">IF(R243=1,"-5",IF(OR(R243=2,R243=3),"-4",IF(OR(R243=4,R243=5),"-3",IF(OR(R243=6,R243=7),"-2",IF(OR(R243=8,R243=9),"-1",IF(OR(R243=10,R243=11),"0",IF(OR(R243=12,R243=13),"+1",IF(OR(R243=14,R243=15),"+2",IF(OR(R243=16,R243=17),"+3",IF(OR(R243=18,R243=19),"+4",IF(OR(R243=20,R243=21),"+5",IF(OR(R243=22,R243=23),"+6",IF(OR(R243=24,R243=25),"+7",IF(OR(R243=26,R243=27),"+8",IF(OR(R243=28,R243=29),"+9",IF(R243=30,"+10"," "))))))))))))))))</f>
        <v>0</v>
      </c>
      <c r="T243" s="1" t="n">
        <v>10</v>
      </c>
      <c r="U243" s="1" t="str">
        <f aca="false">IF(T243=1,"-5",IF(OR(T243=2,T243=3),"-4",IF(OR(T243=4,T243=5),"-3",IF(OR(T243=6,T243=7),"-2",IF(OR(T243=8,T243=9),"-1",IF(OR(T243=10,T243=11),"0",IF(OR(T243=12,T243=13),"+1",IF(OR(T243=14,T243=15),"+2",IF(OR(T243=16,T243=17),"+3",IF(OR(T243=18,T243=19),"+4",IF(OR(T243=20,T243=21),"+5",IF(OR(T243=22,T243=23),"+6",IF(OR(T243=24,T243=25),"+7",IF(OR(T243=26,T243=27),"+8",IF(OR(T243=28,T243=29),"+9",IF(T243=30,"+10"," "))))))))))))))))</f>
        <v>0</v>
      </c>
      <c r="V243" s="1" t="s">
        <v>1039</v>
      </c>
      <c r="W243" s="1" t="s">
        <v>66</v>
      </c>
      <c r="X243" s="2" t="s">
        <v>475</v>
      </c>
      <c r="Y243" s="2" t="s">
        <v>1292</v>
      </c>
      <c r="Z243" s="2" t="s">
        <v>37</v>
      </c>
      <c r="AA243" s="1" t="s">
        <v>37</v>
      </c>
    </row>
    <row r="244" customFormat="false" ht="210.4" hidden="false" customHeight="false" outlineLevel="0" collapsed="false">
      <c r="A244" s="15" t="s">
        <v>1293</v>
      </c>
      <c r="B244" s="3" t="s">
        <v>1091</v>
      </c>
      <c r="C244" s="3" t="s">
        <v>49</v>
      </c>
      <c r="D244" s="16" t="n">
        <v>0.125</v>
      </c>
      <c r="E244" s="3" t="n">
        <f aca="false">VLOOKUP(D244,'[1]REF Tables'!$A$2:$B$40,2)</f>
        <v>25</v>
      </c>
      <c r="F244" s="3" t="s">
        <v>30</v>
      </c>
      <c r="G244" s="3" t="n">
        <v>13</v>
      </c>
      <c r="H244" s="3" t="s">
        <v>136</v>
      </c>
      <c r="I244" s="3" t="s">
        <v>358</v>
      </c>
      <c r="J244" s="3" t="n">
        <v>12</v>
      </c>
      <c r="K244" s="3" t="str">
        <f aca="false">IF(J244=1,"-5",IF(OR(J244=2,J244=3),"-4",IF(OR(J244=4,J244=5),"-3",IF(OR(J244=6,J244=7),"-2",IF(OR(J244=8,J244=9),"-1",IF(OR(J244=10,J244=11),"0",IF(OR(J244=12,J244=13),"+1",IF(OR(J244=14,J244=15),"+2",IF(OR(J244=16,J244=17),"+3",IF(OR(J244=18,J244=19),"+4",IF(OR(J244=20,J244=21),"+5",IF(OR(J244=22,J244=23),"+6",IF(OR(J244=24,J244=25),"+7",IF(OR(J244=26,J244=27),"+8",IF(OR(J244=28,J244=29),"+9",IF(J244=30,"+10"," "))))))))))))))))</f>
        <v>+1</v>
      </c>
      <c r="L244" s="3" t="n">
        <v>10</v>
      </c>
      <c r="M244" s="3" t="str">
        <f aca="false">IF(L244=1,"-5",IF(OR(L244=2,L244=3),"-4",IF(OR(L244=4,L244=5),"-3",IF(OR(L244=6,L244=7),"-2",IF(OR(L244=8,L244=9),"-1",IF(OR(L244=10,L244=11),"0",IF(OR(L244=12,L244=13),"+1",IF(OR(L244=14,L244=15),"+2",IF(OR(L244=16,L244=17),"+3",IF(OR(L244=18,L244=19),"+4",IF(OR(L244=20,L244=21),"+5",IF(OR(L244=22,L244=23),"+6",IF(OR(L244=24,L244=25),"+7",IF(OR(L244=26,L244=27),"+8",IF(OR(L244=28,L244=29),"+9",IF(L244=30,"+10"," "))))))))))))))))</f>
        <v>0</v>
      </c>
      <c r="N244" s="3" t="n">
        <v>14</v>
      </c>
      <c r="O244" s="3" t="str">
        <f aca="false">IF(N244=1,"-5",IF(OR(N244=2,N244=3),"-4",IF(OR(N244=4,N244=5),"-3",IF(OR(N244=6,N244=7),"-2",IF(OR(N244=8,N244=9),"-1",IF(OR(N244=10,N244=11),"0",IF(OR(N244=12,N244=13),"+1",IF(OR(N244=14,N244=15),"+2",IF(OR(N244=16,N244=17),"+3",IF(OR(N244=18,N244=19),"+4",IF(OR(N244=20,N244=21),"+5",IF(OR(N244=22,N244=23),"+6",IF(OR(N244=24,N244=25),"+7",IF(OR(N244=26,N244=27),"+8",IF(OR(N244=28,N244=29),"+9",IF(N244=30,"+10"," "))))))))))))))))</f>
        <v>+2</v>
      </c>
      <c r="P244" s="3" t="n">
        <v>10</v>
      </c>
      <c r="Q244" s="3" t="str">
        <f aca="false">IF(P244=1,"-5",IF(OR(P244=2,P244=3),"-4",IF(OR(P244=4,P244=5),"-3",IF(OR(P244=6,P244=7),"-2",IF(OR(P244=8,P244=9),"-1",IF(OR(P244=10,P244=11),"0",IF(OR(P244=12,P244=13),"+1",IF(OR(P244=14,P244=15),"+2",IF(OR(P244=16,P244=17),"+3",IF(OR(P244=18,P244=19),"+4",IF(OR(P244=20,P244=21),"+5",IF(OR(P244=22,P244=23),"+6",IF(OR(P244=24,P244=25),"+7",IF(OR(P244=26,P244=27),"+8",IF(OR(P244=28,P244=29),"+9",IF(P244=30,"+10"," "))))))))))))))))</f>
        <v>0</v>
      </c>
      <c r="R244" s="3" t="n">
        <v>11</v>
      </c>
      <c r="S244" s="3" t="str">
        <f aca="false">IF(R244=1,"-5",IF(OR(R244=2,R244=3),"-4",IF(OR(R244=4,R244=5),"-3",IF(OR(R244=6,R244=7),"-2",IF(OR(R244=8,R244=9),"-1",IF(OR(R244=10,R244=11),"0",IF(OR(R244=12,R244=13),"+1",IF(OR(R244=14,R244=15),"+2",IF(OR(R244=16,R244=17),"+3",IF(OR(R244=18,R244=19),"+4",IF(OR(R244=20,R244=21),"+5",IF(OR(R244=22,R244=23),"+6",IF(OR(R244=24,R244=25),"+7",IF(OR(R244=26,R244=27),"+8",IF(OR(R244=28,R244=29),"+9",IF(R244=30,"+10"," "))))))))))))))))</f>
        <v>0</v>
      </c>
      <c r="T244" s="3" t="n">
        <v>10</v>
      </c>
      <c r="U244" s="3" t="str">
        <f aca="false">IF(T244=1,"-5",IF(OR(T244=2,T244=3),"-4",IF(OR(T244=4,T244=5),"-3",IF(OR(T244=6,T244=7),"-2",IF(OR(T244=8,T244=9),"-1",IF(OR(T244=10,T244=11),"0",IF(OR(T244=12,T244=13),"+1",IF(OR(T244=14,T244=15),"+2",IF(OR(T244=16,T244=17),"+3",IF(OR(T244=18,T244=19),"+4",IF(OR(T244=20,T244=21),"+5",IF(OR(T244=22,T244=23),"+6",IF(OR(T244=24,T244=25),"+7",IF(OR(T244=26,T244=27),"+8",IF(OR(T244=28,T244=29),"+9",IF(T244=30,"+10"," "))))))))))))))))</f>
        <v>0</v>
      </c>
      <c r="V244" s="3" t="s">
        <v>1294</v>
      </c>
      <c r="W244" s="3" t="s">
        <v>1295</v>
      </c>
      <c r="X244" s="19" t="s">
        <v>1296</v>
      </c>
      <c r="Y244" s="19" t="s">
        <v>1297</v>
      </c>
      <c r="Z244" s="11" t="s">
        <v>37</v>
      </c>
      <c r="AA244" s="12" t="s">
        <v>37</v>
      </c>
    </row>
    <row r="245" customFormat="false" ht="16.4" hidden="false" customHeight="false" outlineLevel="0" collapsed="false">
      <c r="A245" s="15" t="s">
        <v>1298</v>
      </c>
      <c r="B245" s="3" t="s">
        <v>197</v>
      </c>
      <c r="C245" s="3" t="s">
        <v>37</v>
      </c>
      <c r="D245" s="16" t="n">
        <v>7</v>
      </c>
      <c r="E245" s="6" t="n">
        <f aca="false">VLOOKUP(D245,'[1]REF Tables'!$A$2:$B$40,2)</f>
        <v>2900</v>
      </c>
      <c r="F245" s="3" t="s">
        <v>50</v>
      </c>
      <c r="G245" s="3" t="n">
        <v>17</v>
      </c>
      <c r="H245" s="3" t="s">
        <v>891</v>
      </c>
      <c r="I245" s="3" t="s">
        <v>42</v>
      </c>
      <c r="J245" s="3" t="n">
        <v>18</v>
      </c>
      <c r="K245" s="1" t="str">
        <f aca="false">IF(J245=1,"-5",IF(OR(J245=2,J245=3),"-4",IF(OR(J245=4,J245=5),"-3",IF(OR(J245=6,J245=7),"-2",IF(OR(J245=8,J245=9),"-1",IF(OR(J245=10,J245=11),"0",IF(OR(J245=12,J245=13),"+1",IF(OR(J245=14,J245=15),"+2",IF(OR(J245=16,J245=17),"+3",IF(OR(J245=18,J245=19),"+4",IF(OR(J245=20,J245=21),"+5",IF(OR(J245=22,J245=23),"+6",IF(OR(J245=24,J245=25),"+7",IF(OR(J245=26,J245=27),"+8",IF(OR(J245=28,J245=29),"+9",IF(J245=30,"+10"," "))))))))))))))))</f>
        <v>+4</v>
      </c>
      <c r="L245" s="3" t="n">
        <v>8</v>
      </c>
      <c r="M245" s="1" t="str">
        <f aca="false">IF(L245=1,"-5",IF(OR(L245=2,L245=3),"-4",IF(OR(L245=4,L245=5),"-3",IF(OR(L245=6,L245=7),"-2",IF(OR(L245=8,L245=9),"-1",IF(OR(L245=10,L245=11),"0",IF(OR(L245=12,L245=13),"+1",IF(OR(L245=14,L245=15),"+2",IF(OR(L245=16,L245=17),"+3",IF(OR(L245=18,L245=19),"+4",IF(OR(L245=20,L245=21),"+5",IF(OR(L245=22,L245=23),"+6",IF(OR(L245=24,L245=25),"+7",IF(OR(L245=26,L245=27),"+8",IF(OR(L245=28,L245=29),"+9",IF(L245=30,"+10"," "))))))))))))))))</f>
        <v>-1</v>
      </c>
      <c r="N245" s="3" t="n">
        <v>18</v>
      </c>
      <c r="O245" s="1" t="str">
        <f aca="false">IF(N245=1,"-5",IF(OR(N245=2,N245=3),"-4",IF(OR(N245=4,N245=5),"-3",IF(OR(N245=6,N245=7),"-2",IF(OR(N245=8,N245=9),"-1",IF(OR(N245=10,N245=11),"0",IF(OR(N245=12,N245=13),"+1",IF(OR(N245=14,N245=15),"+2",IF(OR(N245=16,N245=17),"+3",IF(OR(N245=18,N245=19),"+4",IF(OR(N245=20,N245=21),"+5",IF(OR(N245=22,N245=23),"+6",IF(OR(N245=24,N245=25),"+7",IF(OR(N245=26,N245=27),"+8",IF(OR(N245=28,N245=29),"+9",IF(N245=30,"+10"," "))))))))))))))))</f>
        <v>+4</v>
      </c>
      <c r="P245" s="3" t="n">
        <v>7</v>
      </c>
      <c r="Q245" s="1" t="str">
        <f aca="false">IF(P245=1,"-5",IF(OR(P245=2,P245=3),"-4",IF(OR(P245=4,P245=5),"-3",IF(OR(P245=6,P245=7),"-2",IF(OR(P245=8,P245=9),"-1",IF(OR(P245=10,P245=11),"0",IF(OR(P245=12,P245=13),"+1",IF(OR(P245=14,P245=15),"+2",IF(OR(P245=16,P245=17),"+3",IF(OR(P245=18,P245=19),"+4",IF(OR(P245=20,P245=21),"+5",IF(OR(P245=22,P245=23),"+6",IF(OR(P245=24,P245=25),"+7",IF(OR(P245=26,P245=27),"+8",IF(OR(P245=28,P245=29),"+9",IF(P245=30,"+10"," "))))))))))))))))</f>
        <v>-2</v>
      </c>
      <c r="R245" s="3" t="n">
        <v>10</v>
      </c>
      <c r="S245" s="1" t="str">
        <f aca="false">IF(R245=1,"-5",IF(OR(R245=2,R245=3),"-4",IF(OR(R245=4,R245=5),"-3",IF(OR(R245=6,R245=7),"-2",IF(OR(R245=8,R245=9),"-1",IF(OR(R245=10,R245=11),"0",IF(OR(R245=12,R245=13),"+1",IF(OR(R245=14,R245=15),"+2",IF(OR(R245=16,R245=17),"+3",IF(OR(R245=18,R245=19),"+4",IF(OR(R245=20,R245=21),"+5",IF(OR(R245=22,R245=23),"+6",IF(OR(R245=24,R245=25),"+7",IF(OR(R245=26,R245=27),"+8",IF(OR(R245=28,R245=29),"+9",IF(R245=30,"+10"," "))))))))))))))))</f>
        <v>0</v>
      </c>
      <c r="T245" s="3" t="n">
        <v>3</v>
      </c>
      <c r="U245" s="1" t="str">
        <f aca="false">IF(T245=1,"-5",IF(OR(T245=2,T245=3),"-4",IF(OR(T245=4,T245=5),"-3",IF(OR(T245=6,T245=7),"-2",IF(OR(T245=8,T245=9),"-1",IF(OR(T245=10,T245=11),"0",IF(OR(T245=12,T245=13),"+1",IF(OR(T245=14,T245=15),"+2",IF(OR(T245=16,T245=17),"+3",IF(OR(T245=18,T245=19),"+4",IF(OR(T245=20,T245=21),"+5",IF(OR(T245=22,T245=23),"+6",IF(OR(T245=24,T245=25),"+7",IF(OR(T245=26,T245=27),"+8",IF(OR(T245=28,T245=29),"+9",IF(T245=30,"+10"," "))))))))))))))))</f>
        <v>-4</v>
      </c>
      <c r="V245" s="3" t="s">
        <v>37</v>
      </c>
      <c r="W245" s="3" t="s">
        <v>1299</v>
      </c>
      <c r="X245" s="11" t="s">
        <v>1300</v>
      </c>
      <c r="Y245" s="11" t="s">
        <v>1301</v>
      </c>
      <c r="Z245" s="11" t="s">
        <v>1302</v>
      </c>
      <c r="AA245" s="12" t="s">
        <v>37</v>
      </c>
    </row>
    <row r="246" customFormat="false" ht="16.4" hidden="false" customHeight="false" outlineLevel="0" collapsed="false">
      <c r="A246" s="15" t="s">
        <v>1303</v>
      </c>
      <c r="B246" s="3" t="s">
        <v>214</v>
      </c>
      <c r="C246" s="3" t="s">
        <v>222</v>
      </c>
      <c r="D246" s="16" t="n">
        <v>2</v>
      </c>
      <c r="E246" s="3" t="n">
        <f aca="false">VLOOKUP(D246,'[1]REF Tables'!$A$2:$B$40,2)</f>
        <v>450</v>
      </c>
      <c r="F246" s="3" t="s">
        <v>30</v>
      </c>
      <c r="G246" s="3" t="n">
        <v>15</v>
      </c>
      <c r="H246" s="3" t="s">
        <v>1038</v>
      </c>
      <c r="I246" s="3" t="s">
        <v>388</v>
      </c>
      <c r="J246" s="3" t="n">
        <v>15</v>
      </c>
      <c r="K246" s="1" t="str">
        <f aca="false">IF(J246=1,"-5",IF(OR(J246=2,J246=3),"-4",IF(OR(J246=4,J246=5),"-3",IF(OR(J246=6,J246=7),"-2",IF(OR(J246=8,J246=9),"-1",IF(OR(J246=10,J246=11),"0",IF(OR(J246=12,J246=13),"+1",IF(OR(J246=14,J246=15),"+2",IF(OR(J246=16,J246=17),"+3",IF(OR(J246=18,J246=19),"+4",IF(OR(J246=20,J246=21),"+5",IF(OR(J246=22,J246=23),"+6",IF(OR(J246=24,J246=25),"+7",IF(OR(J246=26,J246=27),"+8",IF(OR(J246=28,J246=29),"+9",IF(J246=30,"+10"," "))))))))))))))))</f>
        <v>+2</v>
      </c>
      <c r="L246" s="3" t="n">
        <v>11</v>
      </c>
      <c r="M246" s="1" t="str">
        <f aca="false">IF(L246=1,"-5",IF(OR(L246=2,L246=3),"-4",IF(OR(L246=4,L246=5),"-3",IF(OR(L246=6,L246=7),"-2",IF(OR(L246=8,L246=9),"-1",IF(OR(L246=10,L246=11),"0",IF(OR(L246=12,L246=13),"+1",IF(OR(L246=14,L246=15),"+2",IF(OR(L246=16,L246=17),"+3",IF(OR(L246=18,L246=19),"+4",IF(OR(L246=20,L246=21),"+5",IF(OR(L246=22,L246=23),"+6",IF(OR(L246=24,L246=25),"+7",IF(OR(L246=26,L246=27),"+8",IF(OR(L246=28,L246=29),"+9",IF(L246=30,"+10"," "))))))))))))))))</f>
        <v>0</v>
      </c>
      <c r="N246" s="3" t="n">
        <v>16</v>
      </c>
      <c r="O246" s="1" t="str">
        <f aca="false">IF(N246=1,"-5",IF(OR(N246=2,N246=3),"-4",IF(OR(N246=4,N246=5),"-3",IF(OR(N246=6,N246=7),"-2",IF(OR(N246=8,N246=9),"-1",IF(OR(N246=10,N246=11),"0",IF(OR(N246=12,N246=13),"+1",IF(OR(N246=14,N246=15),"+2",IF(OR(N246=16,N246=17),"+3",IF(OR(N246=18,N246=19),"+4",IF(OR(N246=20,N246=21),"+5",IF(OR(N246=22,N246=23),"+6",IF(OR(N246=24,N246=25),"+7",IF(OR(N246=26,N246=27),"+8",IF(OR(N246=28,N246=29),"+9",IF(N246=30,"+10"," "))))))))))))))))</f>
        <v>+3</v>
      </c>
      <c r="P246" s="3" t="n">
        <v>6</v>
      </c>
      <c r="Q246" s="1" t="str">
        <f aca="false">IF(P246=1,"-5",IF(OR(P246=2,P246=3),"-4",IF(OR(P246=4,P246=5),"-3",IF(OR(P246=6,P246=7),"-2",IF(OR(P246=8,P246=9),"-1",IF(OR(P246=10,P246=11),"0",IF(OR(P246=12,P246=13),"+1",IF(OR(P246=14,P246=15),"+2",IF(OR(P246=16,P246=17),"+3",IF(OR(P246=18,P246=19),"+4",IF(OR(P246=20,P246=21),"+5",IF(OR(P246=22,P246=23),"+6",IF(OR(P246=24,P246=25),"+7",IF(OR(P246=26,P246=27),"+8",IF(OR(P246=28,P246=29),"+9",IF(P246=30,"+10"," "))))))))))))))))</f>
        <v>-2</v>
      </c>
      <c r="R246" s="3" t="n">
        <v>11</v>
      </c>
      <c r="S246" s="1" t="str">
        <f aca="false">IF(R246=1,"-5",IF(OR(R246=2,R246=3),"-4",IF(OR(R246=4,R246=5),"-3",IF(OR(R246=6,R246=7),"-2",IF(OR(R246=8,R246=9),"-1",IF(OR(R246=10,R246=11),"0",IF(OR(R246=12,R246=13),"+1",IF(OR(R246=14,R246=15),"+2",IF(OR(R246=16,R246=17),"+3",IF(OR(R246=18,R246=19),"+4",IF(OR(R246=20,R246=21),"+5",IF(OR(R246=22,R246=23),"+6",IF(OR(R246=24,R246=25),"+7",IF(OR(R246=26,R246=27),"+8",IF(OR(R246=28,R246=29),"+9",IF(R246=30,"+10"," "))))))))))))))))</f>
        <v>0</v>
      </c>
      <c r="T246" s="3" t="n">
        <v>7</v>
      </c>
      <c r="U246" s="1" t="str">
        <f aca="false">IF(T246=1,"-5",IF(OR(T246=2,T246=3),"-4",IF(OR(T246=4,T246=5),"-3",IF(OR(T246=6,T246=7),"-2",IF(OR(T246=8,T246=9),"-1",IF(OR(T246=10,T246=11),"0",IF(OR(T246=12,T246=13),"+1",IF(OR(T246=14,T246=15),"+2",IF(OR(T246=16,T246=17),"+3",IF(OR(T246=18,T246=19),"+4",IF(OR(T246=20,T246=21),"+5",IF(OR(T246=22,T246=23),"+6",IF(OR(T246=24,T246=25),"+7",IF(OR(T246=26,T246=27),"+8",IF(OR(T246=28,T246=29),"+9",IF(T246=30,"+10"," "))))))))))))))))</f>
        <v>-2</v>
      </c>
      <c r="V246" s="3" t="s">
        <v>37</v>
      </c>
      <c r="W246" s="3" t="s">
        <v>623</v>
      </c>
      <c r="X246" s="11" t="s">
        <v>1304</v>
      </c>
      <c r="Y246" s="11" t="s">
        <v>1305</v>
      </c>
      <c r="Z246" s="11" t="s">
        <v>37</v>
      </c>
      <c r="AA246" s="12" t="s">
        <v>37</v>
      </c>
    </row>
    <row r="247" customFormat="false" ht="16.4" hidden="false" customHeight="false" outlineLevel="0" collapsed="false">
      <c r="A247" s="15" t="s">
        <v>1306</v>
      </c>
      <c r="B247" s="3" t="s">
        <v>1307</v>
      </c>
      <c r="C247" s="3" t="s">
        <v>222</v>
      </c>
      <c r="D247" s="16" t="n">
        <v>0.5</v>
      </c>
      <c r="E247" s="3" t="n">
        <f aca="false">VLOOKUP(D247,'[1]REF Tables'!$A$2:$B$40,2)</f>
        <v>100</v>
      </c>
      <c r="F247" s="3" t="s">
        <v>30</v>
      </c>
      <c r="G247" s="3" t="n">
        <v>12</v>
      </c>
      <c r="H247" s="3" t="s">
        <v>1308</v>
      </c>
      <c r="I247" s="3" t="s">
        <v>224</v>
      </c>
      <c r="J247" s="3" t="n">
        <v>11</v>
      </c>
      <c r="K247" s="1" t="str">
        <f aca="false">IF(J247=1,"-5",IF(OR(J247=2,J247=3),"-4",IF(OR(J247=4,J247=5),"-3",IF(OR(J247=6,J247=7),"-2",IF(OR(J247=8,J247=9),"-1",IF(OR(J247=10,J247=11),"0",IF(OR(J247=12,J247=13),"+1",IF(OR(J247=14,J247=15),"+2",IF(OR(J247=16,J247=17),"+3",IF(OR(J247=18,J247=19),"+4",IF(OR(J247=20,J247=21),"+5",IF(OR(J247=22,J247=23),"+6",IF(OR(J247=24,J247=25),"+7",IF(OR(J247=26,J247=27),"+8",IF(OR(J247=28,J247=29),"+9",IF(J247=30,"+10"," "))))))))))))))))</f>
        <v>0</v>
      </c>
      <c r="L247" s="3" t="n">
        <v>15</v>
      </c>
      <c r="M247" s="1" t="str">
        <f aca="false">IF(L247=1,"-5",IF(OR(L247=2,L247=3),"-4",IF(OR(L247=4,L247=5),"-3",IF(OR(L247=6,L247=7),"-2",IF(OR(L247=8,L247=9),"-1",IF(OR(L247=10,L247=11),"0",IF(OR(L247=12,L247=13),"+1",IF(OR(L247=14,L247=15),"+2",IF(OR(L247=16,L247=17),"+3",IF(OR(L247=18,L247=19),"+4",IF(OR(L247=20,L247=21),"+5",IF(OR(L247=22,L247=23),"+6",IF(OR(L247=24,L247=25),"+7",IF(OR(L247=26,L247=27),"+8",IF(OR(L247=28,L247=29),"+9",IF(L247=30,"+10"," "))))))))))))))))</f>
        <v>+2</v>
      </c>
      <c r="N247" s="3" t="n">
        <v>11</v>
      </c>
      <c r="O247" s="1" t="str">
        <f aca="false">IF(N247=1,"-5",IF(OR(N247=2,N247=3),"-4",IF(OR(N247=4,N247=5),"-3",IF(OR(N247=6,N247=7),"-2",IF(OR(N247=8,N247=9),"-1",IF(OR(N247=10,N247=11),"0",IF(OR(N247=12,N247=13),"+1",IF(OR(N247=14,N247=15),"+2",IF(OR(N247=16,N247=17),"+3",IF(OR(N247=18,N247=19),"+4",IF(OR(N247=20,N247=21),"+5",IF(OR(N247=22,N247=23),"+6",IF(OR(N247=24,N247=25),"+7",IF(OR(N247=26,N247=27),"+8",IF(OR(N247=28,N247=29),"+9",IF(N247=30,"+10"," "))))))))))))))))</f>
        <v>0</v>
      </c>
      <c r="P247" s="3" t="n">
        <v>13</v>
      </c>
      <c r="Q247" s="1" t="str">
        <f aca="false">IF(P247=1,"-5",IF(OR(P247=2,P247=3),"-4",IF(OR(P247=4,P247=5),"-3",IF(OR(P247=6,P247=7),"-2",IF(OR(P247=8,P247=9),"-1",IF(OR(P247=10,P247=11),"0",IF(OR(P247=12,P247=13),"+1",IF(OR(P247=14,P247=15),"+2",IF(OR(P247=16,P247=17),"+3",IF(OR(P247=18,P247=19),"+4",IF(OR(P247=20,P247=21),"+5",IF(OR(P247=22,P247=23),"+6",IF(OR(P247=24,P247=25),"+7",IF(OR(P247=26,P247=27),"+8",IF(OR(P247=28,P247=29),"+9",IF(P247=30,"+10"," "))))))))))))))))</f>
        <v>+1</v>
      </c>
      <c r="R247" s="3" t="n">
        <v>11</v>
      </c>
      <c r="S247" s="1" t="str">
        <f aca="false">IF(R247=1,"-5",IF(OR(R247=2,R247=3),"-4",IF(OR(R247=4,R247=5),"-3",IF(OR(R247=6,R247=7),"-2",IF(OR(R247=8,R247=9),"-1",IF(OR(R247=10,R247=11),"0",IF(OR(R247=12,R247=13),"+1",IF(OR(R247=14,R247=15),"+2",IF(OR(R247=16,R247=17),"+3",IF(OR(R247=18,R247=19),"+4",IF(OR(R247=20,R247=21),"+5",IF(OR(R247=22,R247=23),"+6",IF(OR(R247=24,R247=25),"+7",IF(OR(R247=26,R247=27),"+8",IF(OR(R247=28,R247=29),"+9",IF(R247=30,"+10"," "))))))))))))))))</f>
        <v>0</v>
      </c>
      <c r="T247" s="3" t="n">
        <v>10</v>
      </c>
      <c r="U247" s="1" t="str">
        <f aca="false">IF(T247=1,"-5",IF(OR(T247=2,T247=3),"-4",IF(OR(T247=4,T247=5),"-3",IF(OR(T247=6,T247=7),"-2",IF(OR(T247=8,T247=9),"-1",IF(OR(T247=10,T247=11),"0",IF(OR(T247=12,T247=13),"+1",IF(OR(T247=14,T247=15),"+2",IF(OR(T247=16,T247=17),"+3",IF(OR(T247=18,T247=19),"+4",IF(OR(T247=20,T247=21),"+5",IF(OR(T247=22,T247=23),"+6",IF(OR(T247=24,T247=25),"+7",IF(OR(T247=26,T247=27),"+8",IF(OR(T247=28,T247=29),"+9",IF(T247=30,"+10"," "))))))))))))))))</f>
        <v>0</v>
      </c>
      <c r="V247" s="3" t="s">
        <v>1309</v>
      </c>
      <c r="W247" s="3" t="s">
        <v>1310</v>
      </c>
      <c r="X247" s="11" t="s">
        <v>1311</v>
      </c>
      <c r="Y247" s="11" t="s">
        <v>1312</v>
      </c>
      <c r="Z247" s="11" t="s">
        <v>37</v>
      </c>
      <c r="AA247" s="12" t="s">
        <v>37</v>
      </c>
    </row>
    <row r="248" customFormat="false" ht="16.4" hidden="false" customHeight="false" outlineLevel="0" collapsed="false">
      <c r="A248" s="15" t="s">
        <v>1313</v>
      </c>
      <c r="B248" s="3" t="s">
        <v>48</v>
      </c>
      <c r="C248" s="3" t="s">
        <v>49</v>
      </c>
      <c r="D248" s="16" t="n">
        <v>6</v>
      </c>
      <c r="E248" s="6" t="n">
        <f aca="false">VLOOKUP(D248,'[1]REF Tables'!$A$2:$B$40,2)</f>
        <v>2300</v>
      </c>
      <c r="F248" s="3" t="s">
        <v>30</v>
      </c>
      <c r="G248" s="3" t="n">
        <v>15</v>
      </c>
      <c r="H248" s="3" t="s">
        <v>98</v>
      </c>
      <c r="I248" s="3" t="s">
        <v>1314</v>
      </c>
      <c r="J248" s="3" t="n">
        <v>10</v>
      </c>
      <c r="K248" s="1" t="str">
        <f aca="false">IF(J248=1,"-5",IF(OR(J248=2,J248=3),"-4",IF(OR(J248=4,J248=5),"-3",IF(OR(J248=6,J248=7),"-2",IF(OR(J248=8,J248=9),"-1",IF(OR(J248=10,J248=11),"0",IF(OR(J248=12,J248=13),"+1",IF(OR(J248=14,J248=15),"+2",IF(OR(J248=16,J248=17),"+3",IF(OR(J248=18,J248=19),"+4",IF(OR(J248=20,J248=21),"+5",IF(OR(J248=22,J248=23),"+6",IF(OR(J248=24,J248=25),"+7",IF(OR(J248=26,J248=27),"+8",IF(OR(J248=28,J248=29),"+9",IF(J248=30,"+10"," "))))))))))))))))</f>
        <v>0</v>
      </c>
      <c r="L248" s="3" t="n">
        <v>14</v>
      </c>
      <c r="M248" s="1" t="str">
        <f aca="false">IF(L248=1,"-5",IF(OR(L248=2,L248=3),"-4",IF(OR(L248=4,L248=5),"-3",IF(OR(L248=6,L248=7),"-2",IF(OR(L248=8,L248=9),"-1",IF(OR(L248=10,L248=11),"0",IF(OR(L248=12,L248=13),"+1",IF(OR(L248=14,L248=15),"+2",IF(OR(L248=16,L248=17),"+3",IF(OR(L248=18,L248=19),"+4",IF(OR(L248=20,L248=21),"+5",IF(OR(L248=22,L248=23),"+6",IF(OR(L248=24,L248=25),"+7",IF(OR(L248=26,L248=27),"+8",IF(OR(L248=28,L248=29),"+9",IF(L248=30,"+10"," "))))))))))))))))</f>
        <v>+2</v>
      </c>
      <c r="N248" s="3" t="n">
        <v>16</v>
      </c>
      <c r="O248" s="1" t="str">
        <f aca="false">IF(N248=1,"-5",IF(OR(N248=2,N248=3),"-4",IF(OR(N248=4,N248=5),"-3",IF(OR(N248=6,N248=7),"-2",IF(OR(N248=8,N248=9),"-1",IF(OR(N248=10,N248=11),"0",IF(OR(N248=12,N248=13),"+1",IF(OR(N248=14,N248=15),"+2",IF(OR(N248=16,N248=17),"+3",IF(OR(N248=18,N248=19),"+4",IF(OR(N248=20,N248=21),"+5",IF(OR(N248=22,N248=23),"+6",IF(OR(N248=24,N248=25),"+7",IF(OR(N248=26,N248=27),"+8",IF(OR(N248=28,N248=29),"+9",IF(N248=30,"+10"," "))))))))))))))))</f>
        <v>+3</v>
      </c>
      <c r="P248" s="3" t="n">
        <v>15</v>
      </c>
      <c r="Q248" s="1" t="str">
        <f aca="false">IF(P248=1,"-5",IF(OR(P248=2,P248=3),"-4",IF(OR(P248=4,P248=5),"-3",IF(OR(P248=6,P248=7),"-2",IF(OR(P248=8,P248=9),"-1",IF(OR(P248=10,P248=11),"0",IF(OR(P248=12,P248=13),"+1",IF(OR(P248=14,P248=15),"+2",IF(OR(P248=16,P248=17),"+3",IF(OR(P248=18,P248=19),"+4",IF(OR(P248=20,P248=21),"+5",IF(OR(P248=22,P248=23),"+6",IF(OR(P248=24,P248=25),"+7",IF(OR(P248=26,P248=27),"+8",IF(OR(P248=28,P248=29),"+9",IF(P248=30,"+10"," "))))))))))))))))</f>
        <v>+2</v>
      </c>
      <c r="R248" s="3" t="n">
        <v>15</v>
      </c>
      <c r="S248" s="1" t="str">
        <f aca="false">IF(R248=1,"-5",IF(OR(R248=2,R248=3),"-4",IF(OR(R248=4,R248=5),"-3",IF(OR(R248=6,R248=7),"-2",IF(OR(R248=8,R248=9),"-1",IF(OR(R248=10,R248=11),"0",IF(OR(R248=12,R248=13),"+1",IF(OR(R248=14,R248=15),"+2",IF(OR(R248=16,R248=17),"+3",IF(OR(R248=18,R248=19),"+4",IF(OR(R248=20,R248=21),"+5",IF(OR(R248=22,R248=23),"+6",IF(OR(R248=24,R248=25),"+7",IF(OR(R248=26,R248=27),"+8",IF(OR(R248=28,R248=29),"+9",IF(R248=30,"+10"," "))))))))))))))))</f>
        <v>+2</v>
      </c>
      <c r="T248" s="3" t="n">
        <v>13</v>
      </c>
      <c r="U248" s="1" t="str">
        <f aca="false">IF(T248=1,"-5",IF(OR(T248=2,T248=3),"-4",IF(OR(T248=4,T248=5),"-3",IF(OR(T248=6,T248=7),"-2",IF(OR(T248=8,T248=9),"-1",IF(OR(T248=10,T248=11),"0",IF(OR(T248=12,T248=13),"+1",IF(OR(T248=14,T248=15),"+2",IF(OR(T248=16,T248=17),"+3",IF(OR(T248=18,T248=19),"+4",IF(OR(T248=20,T248=21),"+5",IF(OR(T248=22,T248=23),"+6",IF(OR(T248=24,T248=25),"+7",IF(OR(T248=26,T248=27),"+8",IF(OR(T248=28,T248=29),"+9",IF(T248=30,"+10"," "))))))))))))))))</f>
        <v>+1</v>
      </c>
      <c r="V248" s="3" t="s">
        <v>1315</v>
      </c>
      <c r="W248" s="3" t="s">
        <v>242</v>
      </c>
      <c r="X248" s="11" t="s">
        <v>1316</v>
      </c>
      <c r="Y248" s="11" t="s">
        <v>1317</v>
      </c>
      <c r="Z248" s="11" t="s">
        <v>37</v>
      </c>
      <c r="AA248" s="12" t="s">
        <v>37</v>
      </c>
    </row>
    <row r="249" customFormat="false" ht="16.4" hidden="false" customHeight="false" outlineLevel="0" collapsed="false">
      <c r="A249" s="15" t="s">
        <v>1318</v>
      </c>
      <c r="B249" s="3" t="s">
        <v>48</v>
      </c>
      <c r="C249" s="3" t="s">
        <v>85</v>
      </c>
      <c r="D249" s="16" t="n">
        <v>0.5</v>
      </c>
      <c r="E249" s="3" t="n">
        <f aca="false">VLOOKUP(D249,'[1]REF Tables'!$A$2:$B$40,2)</f>
        <v>100</v>
      </c>
      <c r="F249" s="3" t="s">
        <v>315</v>
      </c>
      <c r="G249" s="3" t="n">
        <v>13</v>
      </c>
      <c r="H249" s="3" t="s">
        <v>1319</v>
      </c>
      <c r="I249" s="3" t="s">
        <v>240</v>
      </c>
      <c r="J249" s="3" t="n">
        <v>3</v>
      </c>
      <c r="K249" s="1" t="str">
        <f aca="false">IF(J249=1,"-5",IF(OR(J249=2,J249=3),"-4",IF(OR(J249=4,J249=5),"-3",IF(OR(J249=6,J249=7),"-2",IF(OR(J249=8,J249=9),"-1",IF(OR(J249=10,J249=11),"0",IF(OR(J249=12,J249=13),"+1",IF(OR(J249=14,J249=15),"+2",IF(OR(J249=16,J249=17),"+3",IF(OR(J249=18,J249=19),"+4",IF(OR(J249=20,J249=21),"+5",IF(OR(J249=22,J249=23),"+6",IF(OR(J249=24,J249=25),"+7",IF(OR(J249=26,J249=27),"+8",IF(OR(J249=28,J249=29),"+9",IF(J249=30,"+10"," "))))))))))))))))</f>
        <v>-4</v>
      </c>
      <c r="L249" s="3" t="n">
        <v>17</v>
      </c>
      <c r="M249" s="1" t="str">
        <f aca="false">IF(L249=1,"-5",IF(OR(L249=2,L249=3),"-4",IF(OR(L249=4,L249=5),"-3",IF(OR(L249=6,L249=7),"-2",IF(OR(L249=8,L249=9),"-1",IF(OR(L249=10,L249=11),"0",IF(OR(L249=12,L249=13),"+1",IF(OR(L249=14,L249=15),"+2",IF(OR(L249=16,L249=17),"+3",IF(OR(L249=18,L249=19),"+4",IF(OR(L249=20,L249=21),"+5",IF(OR(L249=22,L249=23),"+6",IF(OR(L249=24,L249=25),"+7",IF(OR(L249=26,L249=27),"+8",IF(OR(L249=28,L249=29),"+9",IF(L249=30,"+10"," "))))))))))))))))</f>
        <v>+3</v>
      </c>
      <c r="N249" s="3" t="n">
        <v>14</v>
      </c>
      <c r="O249" s="1" t="str">
        <f aca="false">IF(N249=1,"-5",IF(OR(N249=2,N249=3),"-4",IF(OR(N249=4,N249=5),"-3",IF(OR(N249=6,N249=7),"-2",IF(OR(N249=8,N249=9),"-1",IF(OR(N249=10,N249=11),"0",IF(OR(N249=12,N249=13),"+1",IF(OR(N249=14,N249=15),"+2",IF(OR(N249=16,N249=17),"+3",IF(OR(N249=18,N249=19),"+4",IF(OR(N249=20,N249=21),"+5",IF(OR(N249=22,N249=23),"+6",IF(OR(N249=24,N249=25),"+7",IF(OR(N249=26,N249=27),"+8",IF(OR(N249=28,N249=29),"+9",IF(N249=30,"+10"," "))))))))))))))))</f>
        <v>+2</v>
      </c>
      <c r="P249" s="3" t="n">
        <v>3</v>
      </c>
      <c r="Q249" s="1" t="str">
        <f aca="false">IF(P249=1,"-5",IF(OR(P249=2,P249=3),"-4",IF(OR(P249=4,P249=5),"-3",IF(OR(P249=6,P249=7),"-2",IF(OR(P249=8,P249=9),"-1",IF(OR(P249=10,P249=11),"0",IF(OR(P249=12,P249=13),"+1",IF(OR(P249=14,P249=15),"+2",IF(OR(P249=16,P249=17),"+3",IF(OR(P249=18,P249=19),"+4",IF(OR(P249=20,P249=21),"+5",IF(OR(P249=22,P249=23),"+6",IF(OR(P249=24,P249=25),"+7",IF(OR(P249=26,P249=27),"+8",IF(OR(P249=28,P249=29),"+9",IF(P249=30,"+10"," "))))))))))))))))</f>
        <v>-4</v>
      </c>
      <c r="R249" s="3" t="n">
        <v>10</v>
      </c>
      <c r="S249" s="1" t="str">
        <f aca="false">IF(R249=1,"-5",IF(OR(R249=2,R249=3),"-4",IF(OR(R249=4,R249=5),"-3",IF(OR(R249=6,R249=7),"-2",IF(OR(R249=8,R249=9),"-1",IF(OR(R249=10,R249=11),"0",IF(OR(R249=12,R249=13),"+1",IF(OR(R249=14,R249=15),"+2",IF(OR(R249=16,R249=17),"+3",IF(OR(R249=18,R249=19),"+4",IF(OR(R249=20,R249=21),"+5",IF(OR(R249=22,R249=23),"+6",IF(OR(R249=24,R249=25),"+7",IF(OR(R249=26,R249=27),"+8",IF(OR(R249=28,R249=29),"+9",IF(R249=30,"+10"," "))))))))))))))))</f>
        <v>0</v>
      </c>
      <c r="T249" s="3" t="n">
        <v>7</v>
      </c>
      <c r="U249" s="1" t="str">
        <f aca="false">IF(T249=1,"-5",IF(OR(T249=2,T249=3),"-4",IF(OR(T249=4,T249=5),"-3",IF(OR(T249=6,T249=7),"-2",IF(OR(T249=8,T249=9),"-1",IF(OR(T249=10,T249=11),"0",IF(OR(T249=12,T249=13),"+1",IF(OR(T249=14,T249=15),"+2",IF(OR(T249=16,T249=17),"+3",IF(OR(T249=18,T249=19),"+4",IF(OR(T249=20,T249=21),"+5",IF(OR(T249=22,T249=23),"+6",IF(OR(T249=24,T249=25),"+7",IF(OR(T249=26,T249=27),"+8",IF(OR(T249=28,T249=29),"+9",IF(T249=30,"+10"," "))))))))))))))))</f>
        <v>-2</v>
      </c>
      <c r="V249" s="3" t="s">
        <v>1320</v>
      </c>
      <c r="W249" s="3" t="s">
        <v>37</v>
      </c>
      <c r="X249" s="11" t="s">
        <v>1321</v>
      </c>
      <c r="Y249" s="11" t="s">
        <v>1322</v>
      </c>
      <c r="Z249" s="11" t="s">
        <v>37</v>
      </c>
      <c r="AA249" s="12" t="s">
        <v>37</v>
      </c>
    </row>
    <row r="250" customFormat="false" ht="16.4" hidden="false" customHeight="false" outlineLevel="0" collapsed="false">
      <c r="A250" s="15" t="s">
        <v>1323</v>
      </c>
      <c r="B250" s="3" t="s">
        <v>614</v>
      </c>
      <c r="C250" s="3" t="s">
        <v>222</v>
      </c>
      <c r="D250" s="16" t="n">
        <v>5</v>
      </c>
      <c r="E250" s="6" t="n">
        <f aca="false">VLOOKUP(D250,'[1]REF Tables'!$A$2:$B$40,2)</f>
        <v>1800</v>
      </c>
      <c r="F250" s="3" t="s">
        <v>121</v>
      </c>
      <c r="G250" s="3" t="n">
        <v>13</v>
      </c>
      <c r="H250" s="3" t="s">
        <v>1324</v>
      </c>
      <c r="I250" s="3" t="s">
        <v>224</v>
      </c>
      <c r="J250" s="3" t="n">
        <v>21</v>
      </c>
      <c r="K250" s="1" t="str">
        <f aca="false">IF(J250=1,"-5",IF(OR(J250=2,J250=3),"-4",IF(OR(J250=4,J250=5),"-3",IF(OR(J250=6,J250=7),"-2",IF(OR(J250=8,J250=9),"-1",IF(OR(J250=10,J250=11),"0",IF(OR(J250=12,J250=13),"+1",IF(OR(J250=14,J250=15),"+2",IF(OR(J250=16,J250=17),"+3",IF(OR(J250=18,J250=19),"+4",IF(OR(J250=20,J250=21),"+5",IF(OR(J250=22,J250=23),"+6",IF(OR(J250=24,J250=25),"+7",IF(OR(J250=26,J250=27),"+8",IF(OR(J250=28,J250=29),"+9",IF(J250=30,"+10"," "))))))))))))))))</f>
        <v>+5</v>
      </c>
      <c r="L250" s="3" t="n">
        <v>8</v>
      </c>
      <c r="M250" s="1" t="str">
        <f aca="false">IF(L250=1,"-5",IF(OR(L250=2,L250=3),"-4",IF(OR(L250=4,L250=5),"-3",IF(OR(L250=6,L250=7),"-2",IF(OR(L250=8,L250=9),"-1",IF(OR(L250=10,L250=11),"0",IF(OR(L250=12,L250=13),"+1",IF(OR(L250=14,L250=15),"+2",IF(OR(L250=16,L250=17),"+3",IF(OR(L250=18,L250=19),"+4",IF(OR(L250=20,L250=21),"+5",IF(OR(L250=22,L250=23),"+6",IF(OR(L250=24,L250=25),"+7",IF(OR(L250=26,L250=27),"+8",IF(OR(L250=28,L250=29),"+9",IF(L250=30,"+10"," "))))))))))))))))</f>
        <v>-1</v>
      </c>
      <c r="N250" s="3" t="n">
        <v>19</v>
      </c>
      <c r="O250" s="1" t="str">
        <f aca="false">IF(N250=1,"-5",IF(OR(N250=2,N250=3),"-4",IF(OR(N250=4,N250=5),"-3",IF(OR(N250=6,N250=7),"-2",IF(OR(N250=8,N250=9),"-1",IF(OR(N250=10,N250=11),"0",IF(OR(N250=12,N250=13),"+1",IF(OR(N250=14,N250=15),"+2",IF(OR(N250=16,N250=17),"+3",IF(OR(N250=18,N250=19),"+4",IF(OR(N250=20,N250=21),"+5",IF(OR(N250=22,N250=23),"+6",IF(OR(N250=24,N250=25),"+7",IF(OR(N250=26,N250=27),"+8",IF(OR(N250=28,N250=29),"+9",IF(N250=30,"+10"," "))))))))))))))))</f>
        <v>+4</v>
      </c>
      <c r="P250" s="3" t="n">
        <v>5</v>
      </c>
      <c r="Q250" s="1" t="str">
        <f aca="false">IF(P250=1,"-5",IF(OR(P250=2,P250=3),"-4",IF(OR(P250=4,P250=5),"-3",IF(OR(P250=6,P250=7),"-2",IF(OR(P250=8,P250=9),"-1",IF(OR(P250=10,P250=11),"0",IF(OR(P250=12,P250=13),"+1",IF(OR(P250=14,P250=15),"+2",IF(OR(P250=16,P250=17),"+3",IF(OR(P250=18,P250=19),"+4",IF(OR(P250=20,P250=21),"+5",IF(OR(P250=22,P250=23),"+6",IF(OR(P250=24,P250=25),"+7",IF(OR(P250=26,P250=27),"+8",IF(OR(P250=28,P250=29),"+9",IF(P250=30,"+10"," "))))))))))))))))</f>
        <v>-3</v>
      </c>
      <c r="R250" s="3" t="n">
        <v>9</v>
      </c>
      <c r="S250" s="1" t="str">
        <f aca="false">IF(R250=1,"-5",IF(OR(R250=2,R250=3),"-4",IF(OR(R250=4,R250=5),"-3",IF(OR(R250=6,R250=7),"-2",IF(OR(R250=8,R250=9),"-1",IF(OR(R250=10,R250=11),"0",IF(OR(R250=12,R250=13),"+1",IF(OR(R250=14,R250=15),"+2",IF(OR(R250=16,R250=17),"+3",IF(OR(R250=18,R250=19),"+4",IF(OR(R250=20,R250=21),"+5",IF(OR(R250=22,R250=23),"+6",IF(OR(R250=24,R250=25),"+7",IF(OR(R250=26,R250=27),"+8",IF(OR(R250=28,R250=29),"+9",IF(R250=30,"+10"," "))))))))))))))))</f>
        <v>-1</v>
      </c>
      <c r="T250" s="3" t="n">
        <v>6</v>
      </c>
      <c r="U250" s="1" t="str">
        <f aca="false">IF(T250=1,"-5",IF(OR(T250=2,T250=3),"-4",IF(OR(T250=4,T250=5),"-3",IF(OR(T250=6,T250=7),"-2",IF(OR(T250=8,T250=9),"-1",IF(OR(T250=10,T250=11),"0",IF(OR(T250=12,T250=13),"+1",IF(OR(T250=14,T250=15),"+2",IF(OR(T250=16,T250=17),"+3",IF(OR(T250=18,T250=19),"+4",IF(OR(T250=20,T250=21),"+5",IF(OR(T250=22,T250=23),"+6",IF(OR(T250=24,T250=25),"+7",IF(OR(T250=26,T250=27),"+8",IF(OR(T250=28,T250=29),"+9",IF(T250=30,"+10"," "))))))))))))))))</f>
        <v>-2</v>
      </c>
      <c r="V250" s="3" t="s">
        <v>1039</v>
      </c>
      <c r="W250" s="3" t="s">
        <v>616</v>
      </c>
      <c r="X250" s="11" t="s">
        <v>475</v>
      </c>
      <c r="Y250" s="11" t="s">
        <v>1325</v>
      </c>
      <c r="Z250" s="11" t="s">
        <v>37</v>
      </c>
      <c r="AA250" s="12" t="s">
        <v>37</v>
      </c>
    </row>
    <row r="251" customFormat="false" ht="16.4" hidden="false" customHeight="false" outlineLevel="0" collapsed="false">
      <c r="A251" s="15" t="s">
        <v>1326</v>
      </c>
      <c r="B251" s="3" t="s">
        <v>614</v>
      </c>
      <c r="C251" s="3" t="s">
        <v>1327</v>
      </c>
      <c r="D251" s="16" t="n">
        <v>9</v>
      </c>
      <c r="E251" s="6" t="n">
        <f aca="false">VLOOKUP(D251,'[1]REF Tables'!$A$2:$B$40,2)</f>
        <v>5000</v>
      </c>
      <c r="F251" s="3" t="s">
        <v>121</v>
      </c>
      <c r="G251" s="3" t="n">
        <v>14</v>
      </c>
      <c r="H251" s="3" t="s">
        <v>777</v>
      </c>
      <c r="I251" s="3" t="s">
        <v>224</v>
      </c>
      <c r="J251" s="3" t="n">
        <v>27</v>
      </c>
      <c r="K251" s="1" t="str">
        <f aca="false">IF(J251=1,"-5",IF(OR(J251=2,J251=3),"-4",IF(OR(J251=4,J251=5),"-3",IF(OR(J251=6,J251=7),"-2",IF(OR(J251=8,J251=9),"-1",IF(OR(J251=10,J251=11),"0",IF(OR(J251=12,J251=13),"+1",IF(OR(J251=14,J251=15),"+2",IF(OR(J251=16,J251=17),"+3",IF(OR(J251=18,J251=19),"+4",IF(OR(J251=20,J251=21),"+5",IF(OR(J251=22,J251=23),"+6",IF(OR(J251=24,J251=25),"+7",IF(OR(J251=26,J251=27),"+8",IF(OR(J251=28,J251=29),"+9",IF(J251=30,"+10"," "))))))))))))))))</f>
        <v>+8</v>
      </c>
      <c r="L251" s="3" t="n">
        <v>10</v>
      </c>
      <c r="M251" s="1" t="str">
        <f aca="false">IF(L251=1,"-5",IF(OR(L251=2,L251=3),"-4",IF(OR(L251=4,L251=5),"-3",IF(OR(L251=6,L251=7),"-2",IF(OR(L251=8,L251=9),"-1",IF(OR(L251=10,L251=11),"0",IF(OR(L251=12,L251=13),"+1",IF(OR(L251=14,L251=15),"+2",IF(OR(L251=16,L251=17),"+3",IF(OR(L251=18,L251=19),"+4",IF(OR(L251=20,L251=21),"+5",IF(OR(L251=22,L251=23),"+6",IF(OR(L251=24,L251=25),"+7",IF(OR(L251=26,L251=27),"+8",IF(OR(L251=28,L251=29),"+9",IF(L251=30,"+10"," "))))))))))))))))</f>
        <v>0</v>
      </c>
      <c r="N251" s="3" t="n">
        <v>22</v>
      </c>
      <c r="O251" s="1" t="str">
        <f aca="false">IF(N251=1,"-5",IF(OR(N251=2,N251=3),"-4",IF(OR(N251=4,N251=5),"-3",IF(OR(N251=6,N251=7),"-2",IF(OR(N251=8,N251=9),"-1",IF(OR(N251=10,N251=11),"0",IF(OR(N251=12,N251=13),"+1",IF(OR(N251=14,N251=15),"+2",IF(OR(N251=16,N251=17),"+3",IF(OR(N251=18,N251=19),"+4",IF(OR(N251=20,N251=21),"+5",IF(OR(N251=22,N251=23),"+6",IF(OR(N251=24,N251=25),"+7",IF(OR(N251=26,N251=27),"+8",IF(OR(N251=28,N251=29),"+9",IF(N251=30,"+10"," "))))))))))))))))</f>
        <v>+6</v>
      </c>
      <c r="P251" s="3" t="n">
        <v>12</v>
      </c>
      <c r="Q251" s="1" t="str">
        <f aca="false">IF(P251=1,"-5",IF(OR(P251=2,P251=3),"-4",IF(OR(P251=4,P251=5),"-3",IF(OR(P251=6,P251=7),"-2",IF(OR(P251=8,P251=9),"-1",IF(OR(P251=10,P251=11),"0",IF(OR(P251=12,P251=13),"+1",IF(OR(P251=14,P251=15),"+2",IF(OR(P251=16,P251=17),"+3",IF(OR(P251=18,P251=19),"+4",IF(OR(P251=20,P251=21),"+5",IF(OR(P251=22,P251=23),"+6",IF(OR(P251=24,P251=25),"+7",IF(OR(P251=26,P251=27),"+8",IF(OR(P251=28,P251=29),"+9",IF(P251=30,"+10"," "))))))))))))))))</f>
        <v>+1</v>
      </c>
      <c r="R251" s="3" t="n">
        <v>16</v>
      </c>
      <c r="S251" s="1" t="str">
        <f aca="false">IF(R251=1,"-5",IF(OR(R251=2,R251=3),"-4",IF(OR(R251=4,R251=5),"-3",IF(OR(R251=6,R251=7),"-2",IF(OR(R251=8,R251=9),"-1",IF(OR(R251=10,R251=11),"0",IF(OR(R251=12,R251=13),"+1",IF(OR(R251=14,R251=15),"+2",IF(OR(R251=16,R251=17),"+3",IF(OR(R251=18,R251=19),"+4",IF(OR(R251=20,R251=21),"+5",IF(OR(R251=22,R251=23),"+6",IF(OR(R251=24,R251=25),"+7",IF(OR(R251=26,R251=27),"+8",IF(OR(R251=28,R251=29),"+9",IF(R251=30,"+10"," "))))))))))))))))</f>
        <v>+3</v>
      </c>
      <c r="T251" s="3" t="n">
        <v>16</v>
      </c>
      <c r="U251" s="1" t="str">
        <f aca="false">IF(T251=1,"-5",IF(OR(T251=2,T251=3),"-4",IF(OR(T251=4,T251=5),"-3",IF(OR(T251=6,T251=7),"-2",IF(OR(T251=8,T251=9),"-1",IF(OR(T251=10,T251=11),"0",IF(OR(T251=12,T251=13),"+1",IF(OR(T251=14,T251=15),"+2",IF(OR(T251=16,T251=17),"+3",IF(OR(T251=18,T251=19),"+4",IF(OR(T251=20,T251=21),"+5",IF(OR(T251=22,T251=23),"+6",IF(OR(T251=24,T251=25),"+7",IF(OR(T251=26,T251=27),"+8",IF(OR(T251=28,T251=29),"+9",IF(T251=30,"+10"," "))))))))))))))))</f>
        <v>+3</v>
      </c>
      <c r="V251" s="3" t="s">
        <v>1328</v>
      </c>
      <c r="W251" s="3" t="s">
        <v>1329</v>
      </c>
      <c r="X251" s="11" t="s">
        <v>1330</v>
      </c>
      <c r="Y251" s="11" t="s">
        <v>1331</v>
      </c>
      <c r="Z251" s="11" t="s">
        <v>37</v>
      </c>
      <c r="AA251" s="12" t="s">
        <v>37</v>
      </c>
    </row>
    <row r="252" customFormat="false" ht="16.4" hidden="false" customHeight="false" outlineLevel="0" collapsed="false">
      <c r="A252" s="15" t="s">
        <v>1332</v>
      </c>
      <c r="B252" s="3" t="s">
        <v>614</v>
      </c>
      <c r="C252" s="3" t="s">
        <v>590</v>
      </c>
      <c r="D252" s="16" t="n">
        <v>11</v>
      </c>
      <c r="E252" s="6" t="n">
        <f aca="false">VLOOKUP(D252,'[1]REF Tables'!$A$2:$B$40,2)</f>
        <v>7200</v>
      </c>
      <c r="F252" s="3" t="s">
        <v>121</v>
      </c>
      <c r="G252" s="3" t="n">
        <v>15</v>
      </c>
      <c r="H252" s="3" t="s">
        <v>246</v>
      </c>
      <c r="I252" s="3" t="s">
        <v>224</v>
      </c>
      <c r="J252" s="3" t="n">
        <v>26</v>
      </c>
      <c r="K252" s="1" t="str">
        <f aca="false">IF(J252=1,"-5",IF(OR(J252=2,J252=3),"-4",IF(OR(J252=4,J252=5),"-3",IF(OR(J252=6,J252=7),"-2",IF(OR(J252=8,J252=9),"-1",IF(OR(J252=10,J252=11),"0",IF(OR(J252=12,J252=13),"+1",IF(OR(J252=14,J252=15),"+2",IF(OR(J252=16,J252=17),"+3",IF(OR(J252=18,J252=19),"+4",IF(OR(J252=20,J252=21),"+5",IF(OR(J252=22,J252=23),"+6",IF(OR(J252=24,J252=25),"+7",IF(OR(J252=26,J252=27),"+8",IF(OR(J252=28,J252=29),"+9",IF(J252=30,"+10"," "))))))))))))))))</f>
        <v>+8</v>
      </c>
      <c r="L252" s="3" t="n">
        <v>12</v>
      </c>
      <c r="M252" s="1" t="str">
        <f aca="false">IF(L252=1,"-5",IF(OR(L252=2,L252=3),"-4",IF(OR(L252=4,L252=5),"-3",IF(OR(L252=6,L252=7),"-2",IF(OR(L252=8,L252=9),"-1",IF(OR(L252=10,L252=11),"0",IF(OR(L252=12,L252=13),"+1",IF(OR(L252=14,L252=15),"+2",IF(OR(L252=16,L252=17),"+3",IF(OR(L252=18,L252=19),"+4",IF(OR(L252=20,L252=21),"+5",IF(OR(L252=22,L252=23),"+6",IF(OR(L252=24,L252=25),"+7",IF(OR(L252=26,L252=27),"+8",IF(OR(L252=28,L252=29),"+9",IF(L252=30,"+10"," "))))))))))))))))</f>
        <v>+1</v>
      </c>
      <c r="N252" s="3" t="n">
        <v>22</v>
      </c>
      <c r="O252" s="1" t="str">
        <f aca="false">IF(N252=1,"-5",IF(OR(N252=2,N252=3),"-4",IF(OR(N252=4,N252=5),"-3",IF(OR(N252=6,N252=7),"-2",IF(OR(N252=8,N252=9),"-1",IF(OR(N252=10,N252=11),"0",IF(OR(N252=12,N252=13),"+1",IF(OR(N252=14,N252=15),"+2",IF(OR(N252=16,N252=17),"+3",IF(OR(N252=18,N252=19),"+4",IF(OR(N252=20,N252=21),"+5",IF(OR(N252=22,N252=23),"+6",IF(OR(N252=24,N252=25),"+7",IF(OR(N252=26,N252=27),"+8",IF(OR(N252=28,N252=29),"+9",IF(N252=30,"+10"," "))))))))))))))))</f>
        <v>+6</v>
      </c>
      <c r="P252" s="3" t="n">
        <v>15</v>
      </c>
      <c r="Q252" s="1" t="str">
        <f aca="false">IF(P252=1,"-5",IF(OR(P252=2,P252=3),"-4",IF(OR(P252=4,P252=5),"-3",IF(OR(P252=6,P252=7),"-2",IF(OR(P252=8,P252=9),"-1",IF(OR(P252=10,P252=11),"0",IF(OR(P252=12,P252=13),"+1",IF(OR(P252=14,P252=15),"+2",IF(OR(P252=16,P252=17),"+3",IF(OR(P252=18,P252=19),"+4",IF(OR(P252=20,P252=21),"+5",IF(OR(P252=22,P252=23),"+6",IF(OR(P252=24,P252=25),"+7",IF(OR(P252=26,P252=27),"+8",IF(OR(P252=28,P252=29),"+9",IF(P252=30,"+10"," "))))))))))))))))</f>
        <v>+2</v>
      </c>
      <c r="R252" s="3" t="n">
        <v>16</v>
      </c>
      <c r="S252" s="1" t="str">
        <f aca="false">IF(R252=1,"-5",IF(OR(R252=2,R252=3),"-4",IF(OR(R252=4,R252=5),"-3",IF(OR(R252=6,R252=7),"-2",IF(OR(R252=8,R252=9),"-1",IF(OR(R252=10,R252=11),"0",IF(OR(R252=12,R252=13),"+1",IF(OR(R252=14,R252=15),"+2",IF(OR(R252=16,R252=17),"+3",IF(OR(R252=18,R252=19),"+4",IF(OR(R252=20,R252=21),"+5",IF(OR(R252=22,R252=23),"+6",IF(OR(R252=24,R252=25),"+7",IF(OR(R252=26,R252=27),"+8",IF(OR(R252=28,R252=29),"+9",IF(R252=30,"+10"," "))))))))))))))))</f>
        <v>+3</v>
      </c>
      <c r="T252" s="3" t="n">
        <v>17</v>
      </c>
      <c r="U252" s="1" t="str">
        <f aca="false">IF(T252=1,"-5",IF(OR(T252=2,T252=3),"-4",IF(OR(T252=4,T252=5),"-3",IF(OR(T252=6,T252=7),"-2",IF(OR(T252=8,T252=9),"-1",IF(OR(T252=10,T252=11),"0",IF(OR(T252=12,T252=13),"+1",IF(OR(T252=14,T252=15),"+2",IF(OR(T252=16,T252=17),"+3",IF(OR(T252=18,T252=19),"+4",IF(OR(T252=20,T252=21),"+5",IF(OR(T252=22,T252=23),"+6",IF(OR(T252=24,T252=25),"+7",IF(OR(T252=26,T252=27),"+8",IF(OR(T252=28,T252=29),"+9",IF(T252=30,"+10"," "))))))))))))))))</f>
        <v>+3</v>
      </c>
      <c r="V252" s="3" t="s">
        <v>1333</v>
      </c>
      <c r="W252" s="3" t="s">
        <v>1329</v>
      </c>
      <c r="X252" s="11" t="s">
        <v>1334</v>
      </c>
      <c r="Y252" s="11" t="s">
        <v>1335</v>
      </c>
      <c r="Z252" s="11" t="s">
        <v>37</v>
      </c>
      <c r="AA252" s="12" t="s">
        <v>37</v>
      </c>
    </row>
    <row r="253" customFormat="false" ht="16.4" hidden="false" customHeight="false" outlineLevel="0" collapsed="false">
      <c r="A253" s="15" t="s">
        <v>1336</v>
      </c>
      <c r="B253" s="3" t="s">
        <v>614</v>
      </c>
      <c r="C253" s="3" t="s">
        <v>230</v>
      </c>
      <c r="D253" s="16" t="n">
        <v>7</v>
      </c>
      <c r="E253" s="6" t="n">
        <f aca="false">VLOOKUP(D253,'[1]REF Tables'!$A$2:$B$40,2)</f>
        <v>2900</v>
      </c>
      <c r="F253" s="3" t="s">
        <v>121</v>
      </c>
      <c r="G253" s="3" t="n">
        <v>17</v>
      </c>
      <c r="H253" s="3" t="s">
        <v>1337</v>
      </c>
      <c r="I253" s="3" t="s">
        <v>224</v>
      </c>
      <c r="J253" s="3" t="n">
        <v>23</v>
      </c>
      <c r="K253" s="1" t="str">
        <f aca="false">IF(J253=1,"-5",IF(OR(J253=2,J253=3),"-4",IF(OR(J253=4,J253=5),"-3",IF(OR(J253=6,J253=7),"-2",IF(OR(J253=8,J253=9),"-1",IF(OR(J253=10,J253=11),"0",IF(OR(J253=12,J253=13),"+1",IF(OR(J253=14,J253=15),"+2",IF(OR(J253=16,J253=17),"+3",IF(OR(J253=18,J253=19),"+4",IF(OR(J253=20,J253=21),"+5",IF(OR(J253=22,J253=23),"+6",IF(OR(J253=24,J253=25),"+7",IF(OR(J253=26,J253=27),"+8",IF(OR(J253=28,J253=29),"+9",IF(J253=30,"+10"," "))))))))))))))))</f>
        <v>+6</v>
      </c>
      <c r="L253" s="3" t="n">
        <v>15</v>
      </c>
      <c r="M253" s="1" t="str">
        <f aca="false">IF(L253=1,"-5",IF(OR(L253=2,L253=3),"-4",IF(OR(L253=4,L253=5),"-3",IF(OR(L253=6,L253=7),"-2",IF(OR(L253=8,L253=9),"-1",IF(OR(L253=10,L253=11),"0",IF(OR(L253=12,L253=13),"+1",IF(OR(L253=14,L253=15),"+2",IF(OR(L253=16,L253=17),"+3",IF(OR(L253=18,L253=19),"+4",IF(OR(L253=20,L253=21),"+5",IF(OR(L253=22,L253=23),"+6",IF(OR(L253=24,L253=25),"+7",IF(OR(L253=26,L253=27),"+8",IF(OR(L253=28,L253=29),"+9",IF(L253=30,"+10"," "))))))))))))))))</f>
        <v>+2</v>
      </c>
      <c r="N253" s="3" t="n">
        <v>20</v>
      </c>
      <c r="O253" s="1" t="str">
        <f aca="false">IF(N253=1,"-5",IF(OR(N253=2,N253=3),"-4",IF(OR(N253=4,N253=5),"-3",IF(OR(N253=6,N253=7),"-2",IF(OR(N253=8,N253=9),"-1",IF(OR(N253=10,N253=11),"0",IF(OR(N253=12,N253=13),"+1",IF(OR(N253=14,N253=15),"+2",IF(OR(N253=16,N253=17),"+3",IF(OR(N253=18,N253=19),"+4",IF(OR(N253=20,N253=21),"+5",IF(OR(N253=22,N253=23),"+6",IF(OR(N253=24,N253=25),"+7",IF(OR(N253=26,N253=27),"+8",IF(OR(N253=28,N253=29),"+9",IF(N253=30,"+10"," "))))))))))))))))</f>
        <v>+5</v>
      </c>
      <c r="P253" s="3" t="n">
        <v>10</v>
      </c>
      <c r="Q253" s="1" t="str">
        <f aca="false">IF(P253=1,"-5",IF(OR(P253=2,P253=3),"-4",IF(OR(P253=4,P253=5),"-3",IF(OR(P253=6,P253=7),"-2",IF(OR(P253=8,P253=9),"-1",IF(OR(P253=10,P253=11),"0",IF(OR(P253=12,P253=13),"+1",IF(OR(P253=14,P253=15),"+2",IF(OR(P253=16,P253=17),"+3",IF(OR(P253=18,P253=19),"+4",IF(OR(P253=20,P253=21),"+5",IF(OR(P253=22,P253=23),"+6",IF(OR(P253=24,P253=25),"+7",IF(OR(P253=26,P253=27),"+8",IF(OR(P253=28,P253=29),"+9",IF(P253=30,"+10"," "))))))))))))))))</f>
        <v>0</v>
      </c>
      <c r="R253" s="3" t="n">
        <v>12</v>
      </c>
      <c r="S253" s="1" t="str">
        <f aca="false">IF(R253=1,"-5",IF(OR(R253=2,R253=3),"-4",IF(OR(R253=4,R253=5),"-3",IF(OR(R253=6,R253=7),"-2",IF(OR(R253=8,R253=9),"-1",IF(OR(R253=10,R253=11),"0",IF(OR(R253=12,R253=13),"+1",IF(OR(R253=14,R253=15),"+2",IF(OR(R253=16,R253=17),"+3",IF(OR(R253=18,R253=19),"+4",IF(OR(R253=20,R253=21),"+5",IF(OR(R253=22,R253=23),"+6",IF(OR(R253=24,R253=25),"+7",IF(OR(R253=26,R253=27),"+8",IF(OR(R253=28,R253=29),"+9",IF(R253=30,"+10"," "))))))))))))))))</f>
        <v>+1</v>
      </c>
      <c r="T253" s="3" t="n">
        <v>9</v>
      </c>
      <c r="U253" s="1" t="str">
        <f aca="false">IF(T253=1,"-5",IF(OR(T253=2,T253=3),"-4",IF(OR(T253=4,T253=5),"-3",IF(OR(T253=6,T253=7),"-2",IF(OR(T253=8,T253=9),"-1",IF(OR(T253=10,T253=11),"0",IF(OR(T253=12,T253=13),"+1",IF(OR(T253=14,T253=15),"+2",IF(OR(T253=16,T253=17),"+3",IF(OR(T253=18,T253=19),"+4",IF(OR(T253=20,T253=21),"+5",IF(OR(T253=22,T253=23),"+6",IF(OR(T253=24,T253=25),"+7",IF(OR(T253=26,T253=27),"+8",IF(OR(T253=28,T253=29),"+9",IF(T253=30,"+10"," "))))))))))))))))</f>
        <v>-1</v>
      </c>
      <c r="V253" s="3" t="s">
        <v>1338</v>
      </c>
      <c r="W253" s="3" t="s">
        <v>616</v>
      </c>
      <c r="X253" s="11" t="s">
        <v>1339</v>
      </c>
      <c r="Y253" s="11" t="s">
        <v>1340</v>
      </c>
      <c r="Z253" s="11" t="s">
        <v>1341</v>
      </c>
      <c r="AA253" s="12" t="s">
        <v>37</v>
      </c>
    </row>
    <row r="254" customFormat="false" ht="16.4" hidden="false" customHeight="false" outlineLevel="0" collapsed="false">
      <c r="A254" s="15" t="s">
        <v>1342</v>
      </c>
      <c r="B254" s="3" t="s">
        <v>614</v>
      </c>
      <c r="C254" s="3" t="s">
        <v>590</v>
      </c>
      <c r="D254" s="16" t="n">
        <v>10</v>
      </c>
      <c r="E254" s="6" t="n">
        <f aca="false">VLOOKUP(D254,'[1]REF Tables'!$A$2:$B$40,2)</f>
        <v>5900</v>
      </c>
      <c r="F254" s="3" t="s">
        <v>121</v>
      </c>
      <c r="G254" s="3" t="n">
        <v>18</v>
      </c>
      <c r="H254" s="3" t="s">
        <v>1343</v>
      </c>
      <c r="I254" s="3" t="s">
        <v>224</v>
      </c>
      <c r="J254" s="3" t="n">
        <v>23</v>
      </c>
      <c r="K254" s="1" t="str">
        <f aca="false">IF(J254=1,"-5",IF(OR(J254=2,J254=3),"-4",IF(OR(J254=4,J254=5),"-3",IF(OR(J254=6,J254=7),"-2",IF(OR(J254=8,J254=9),"-1",IF(OR(J254=10,J254=11),"0",IF(OR(J254=12,J254=13),"+1",IF(OR(J254=14,J254=15),"+2",IF(OR(J254=16,J254=17),"+3",IF(OR(J254=18,J254=19),"+4",IF(OR(J254=20,J254=21),"+5",IF(OR(J254=22,J254=23),"+6",IF(OR(J254=24,J254=25),"+7",IF(OR(J254=26,J254=27),"+8",IF(OR(J254=28,J254=29),"+9",IF(J254=30,"+10"," "))))))))))))))))</f>
        <v>+6</v>
      </c>
      <c r="L254" s="3" t="n">
        <v>14</v>
      </c>
      <c r="M254" s="1" t="str">
        <f aca="false">IF(L254=1,"-5",IF(OR(L254=2,L254=3),"-4",IF(OR(L254=4,L254=5),"-3",IF(OR(L254=6,L254=7),"-2",IF(OR(L254=8,L254=9),"-1",IF(OR(L254=10,L254=11),"0",IF(OR(L254=12,L254=13),"+1",IF(OR(L254=14,L254=15),"+2",IF(OR(L254=16,L254=17),"+3",IF(OR(L254=18,L254=19),"+4",IF(OR(L254=20,L254=21),"+5",IF(OR(L254=22,L254=23),"+6",IF(OR(L254=24,L254=25),"+7",IF(OR(L254=26,L254=27),"+8",IF(OR(L254=28,L254=29),"+9",IF(L254=30,"+10"," "))))))))))))))))</f>
        <v>+2</v>
      </c>
      <c r="N254" s="3" t="n">
        <v>21</v>
      </c>
      <c r="O254" s="1" t="str">
        <f aca="false">IF(N254=1,"-5",IF(OR(N254=2,N254=3),"-4",IF(OR(N254=4,N254=5),"-3",IF(OR(N254=6,N254=7),"-2",IF(OR(N254=8,N254=9),"-1",IF(OR(N254=10,N254=11),"0",IF(OR(N254=12,N254=13),"+1",IF(OR(N254=14,N254=15),"+2",IF(OR(N254=16,N254=17),"+3",IF(OR(N254=18,N254=19),"+4",IF(OR(N254=20,N254=21),"+5",IF(OR(N254=22,N254=23),"+6",IF(OR(N254=24,N254=25),"+7",IF(OR(N254=26,N254=27),"+8",IF(OR(N254=28,N254=29),"+9",IF(N254=30,"+10"," "))))))))))))))))</f>
        <v>+5</v>
      </c>
      <c r="P254" s="3" t="n">
        <v>10</v>
      </c>
      <c r="Q254" s="1" t="str">
        <f aca="false">IF(P254=1,"-5",IF(OR(P254=2,P254=3),"-4",IF(OR(P254=4,P254=5),"-3",IF(OR(P254=6,P254=7),"-2",IF(OR(P254=8,P254=9),"-1",IF(OR(P254=10,P254=11),"0",IF(OR(P254=12,P254=13),"+1",IF(OR(P254=14,P254=15),"+2",IF(OR(P254=16,P254=17),"+3",IF(OR(P254=18,P254=19),"+4",IF(OR(P254=20,P254=21),"+5",IF(OR(P254=22,P254=23),"+6",IF(OR(P254=24,P254=25),"+7",IF(OR(P254=26,P254=27),"+8",IF(OR(P254=28,P254=29),"+9",IF(P254=30,"+10"," "))))))))))))))))</f>
        <v>0</v>
      </c>
      <c r="R254" s="3" t="n">
        <v>8</v>
      </c>
      <c r="S254" s="1" t="str">
        <f aca="false">IF(R254=1,"-5",IF(OR(R254=2,R254=3),"-4",IF(OR(R254=4,R254=5),"-3",IF(OR(R254=6,R254=7),"-2",IF(OR(R254=8,R254=9),"-1",IF(OR(R254=10,R254=11),"0",IF(OR(R254=12,R254=13),"+1",IF(OR(R254=14,R254=15),"+2",IF(OR(R254=16,R254=17),"+3",IF(OR(R254=18,R254=19),"+4",IF(OR(R254=20,R254=21),"+5",IF(OR(R254=22,R254=23),"+6",IF(OR(R254=24,R254=25),"+7",IF(OR(R254=26,R254=27),"+8",IF(OR(R254=28,R254=29),"+9",IF(R254=30,"+10"," "))))))))))))))))</f>
        <v>-1</v>
      </c>
      <c r="T254" s="3" t="n">
        <v>12</v>
      </c>
      <c r="U254" s="1" t="str">
        <f aca="false">IF(T254=1,"-5",IF(OR(T254=2,T254=3),"-4",IF(OR(T254=4,T254=5),"-3",IF(OR(T254=6,T254=7),"-2",IF(OR(T254=8,T254=9),"-1",IF(OR(T254=10,T254=11),"0",IF(OR(T254=12,T254=13),"+1",IF(OR(T254=14,T254=15),"+2",IF(OR(T254=16,T254=17),"+3",IF(OR(T254=18,T254=19),"+4",IF(OR(T254=20,T254=21),"+5",IF(OR(T254=22,T254=23),"+6",IF(OR(T254=24,T254=25),"+7",IF(OR(T254=26,T254=27),"+8",IF(OR(T254=28,T254=29),"+9",IF(T254=30,"+10"," "))))))))))))))))</f>
        <v>+1</v>
      </c>
      <c r="V254" s="3" t="s">
        <v>1344</v>
      </c>
      <c r="W254" s="3" t="s">
        <v>1329</v>
      </c>
      <c r="X254" s="11" t="s">
        <v>1345</v>
      </c>
      <c r="Y254" s="11" t="s">
        <v>1346</v>
      </c>
      <c r="Z254" s="11" t="s">
        <v>37</v>
      </c>
      <c r="AA254" s="12" t="s">
        <v>37</v>
      </c>
    </row>
    <row r="255" customFormat="false" ht="16.4" hidden="false" customHeight="false" outlineLevel="0" collapsed="false">
      <c r="A255" s="15" t="s">
        <v>1347</v>
      </c>
      <c r="B255" s="3" t="s">
        <v>614</v>
      </c>
      <c r="C255" s="3" t="s">
        <v>748</v>
      </c>
      <c r="D255" s="16" t="n">
        <v>13</v>
      </c>
      <c r="E255" s="6" t="n">
        <f aca="false">VLOOKUP(D255,'[1]REF Tables'!$A$2:$B$40,2)</f>
        <v>10000</v>
      </c>
      <c r="F255" s="3" t="s">
        <v>121</v>
      </c>
      <c r="G255" s="3" t="n">
        <v>16</v>
      </c>
      <c r="H255" s="3" t="s">
        <v>1348</v>
      </c>
      <c r="I255" s="3" t="s">
        <v>659</v>
      </c>
      <c r="J255" s="3" t="n">
        <v>29</v>
      </c>
      <c r="K255" s="1" t="str">
        <f aca="false">IF(J255=1,"-5",IF(OR(J255=2,J255=3),"-4",IF(OR(J255=4,J255=5),"-3",IF(OR(J255=6,J255=7),"-2",IF(OR(J255=8,J255=9),"-1",IF(OR(J255=10,J255=11),"0",IF(OR(J255=12,J255=13),"+1",IF(OR(J255=14,J255=15),"+2",IF(OR(J255=16,J255=17),"+3",IF(OR(J255=18,J255=19),"+4",IF(OR(J255=20,J255=21),"+5",IF(OR(J255=22,J255=23),"+6",IF(OR(J255=24,J255=25),"+7",IF(OR(J255=26,J255=27),"+8",IF(OR(J255=28,J255=29),"+9",IF(J255=30,"+10"," "))))))))))))))))</f>
        <v>+9</v>
      </c>
      <c r="L255" s="3" t="n">
        <v>14</v>
      </c>
      <c r="M255" s="1" t="str">
        <f aca="false">IF(L255=1,"-5",IF(OR(L255=2,L255=3),"-4",IF(OR(L255=4,L255=5),"-3",IF(OR(L255=6,L255=7),"-2",IF(OR(L255=8,L255=9),"-1",IF(OR(L255=10,L255=11),"0",IF(OR(L255=12,L255=13),"+1",IF(OR(L255=14,L255=15),"+2",IF(OR(L255=16,L255=17),"+3",IF(OR(L255=18,L255=19),"+4",IF(OR(L255=20,L255=21),"+5",IF(OR(L255=22,L255=23),"+6",IF(OR(L255=24,L255=25),"+7",IF(OR(L255=26,L255=27),"+8",IF(OR(L255=28,L255=29),"+9",IF(L255=30,"+10"," "))))))))))))))))</f>
        <v>+2</v>
      </c>
      <c r="N255" s="3" t="n">
        <v>20</v>
      </c>
      <c r="O255" s="1" t="str">
        <f aca="false">IF(N255=1,"-5",IF(OR(N255=2,N255=3),"-4",IF(OR(N255=4,N255=5),"-3",IF(OR(N255=6,N255=7),"-2",IF(OR(N255=8,N255=9),"-1",IF(OR(N255=10,N255=11),"0",IF(OR(N255=12,N255=13),"+1",IF(OR(N255=14,N255=15),"+2",IF(OR(N255=16,N255=17),"+3",IF(OR(N255=18,N255=19),"+4",IF(OR(N255=20,N255=21),"+5",IF(OR(N255=22,N255=23),"+6",IF(OR(N255=24,N255=25),"+7",IF(OR(N255=26,N255=27),"+8",IF(OR(N255=28,N255=29),"+9",IF(N255=30,"+10"," "))))))))))))))))</f>
        <v>+5</v>
      </c>
      <c r="P255" s="3" t="n">
        <v>16</v>
      </c>
      <c r="Q255" s="1" t="str">
        <f aca="false">IF(P255=1,"-5",IF(OR(P255=2,P255=3),"-4",IF(OR(P255=4,P255=5),"-3",IF(OR(P255=6,P255=7),"-2",IF(OR(P255=8,P255=9),"-1",IF(OR(P255=10,P255=11),"0",IF(OR(P255=12,P255=13),"+1",IF(OR(P255=14,P255=15),"+2",IF(OR(P255=16,P255=17),"+3",IF(OR(P255=18,P255=19),"+4",IF(OR(P255=20,P255=21),"+5",IF(OR(P255=22,P255=23),"+6",IF(OR(P255=24,P255=25),"+7",IF(OR(P255=26,P255=27),"+8",IF(OR(P255=28,P255=29),"+9",IF(P255=30,"+10"," "))))))))))))))))</f>
        <v>+3</v>
      </c>
      <c r="R255" s="3" t="n">
        <v>18</v>
      </c>
      <c r="S255" s="1" t="str">
        <f aca="false">IF(R255=1,"-5",IF(OR(R255=2,R255=3),"-4",IF(OR(R255=4,R255=5),"-3",IF(OR(R255=6,R255=7),"-2",IF(OR(R255=8,R255=9),"-1",IF(OR(R255=10,R255=11),"0",IF(OR(R255=12,R255=13),"+1",IF(OR(R255=14,R255=15),"+2",IF(OR(R255=16,R255=17),"+3",IF(OR(R255=18,R255=19),"+4",IF(OR(R255=20,R255=21),"+5",IF(OR(R255=22,R255=23),"+6",IF(OR(R255=24,R255=25),"+7",IF(OR(R255=26,R255=27),"+8",IF(OR(R255=28,R255=29),"+9",IF(R255=30,"+10"," "))))))))))))))))</f>
        <v>+4</v>
      </c>
      <c r="T255" s="3" t="n">
        <v>18</v>
      </c>
      <c r="U255" s="1" t="str">
        <f aca="false">IF(T255=1,"-5",IF(OR(T255=2,T255=3),"-4",IF(OR(T255=4,T255=5),"-3",IF(OR(T255=6,T255=7),"-2",IF(OR(T255=8,T255=9),"-1",IF(OR(T255=10,T255=11),"0",IF(OR(T255=12,T255=13),"+1",IF(OR(T255=14,T255=15),"+2",IF(OR(T255=16,T255=17),"+3",IF(OR(T255=18,T255=19),"+4",IF(OR(T255=20,T255=21),"+5",IF(OR(T255=22,T255=23),"+6",IF(OR(T255=24,T255=25),"+7",IF(OR(T255=26,T255=27),"+8",IF(OR(T255=28,T255=29),"+9",IF(T255=30,"+10"," "))))))))))))))))</f>
        <v>+4</v>
      </c>
      <c r="V255" s="3" t="s">
        <v>1349</v>
      </c>
      <c r="W255" s="3" t="s">
        <v>1329</v>
      </c>
      <c r="X255" s="11" t="s">
        <v>1350</v>
      </c>
      <c r="Y255" s="11" t="s">
        <v>1351</v>
      </c>
      <c r="Z255" s="11" t="s">
        <v>37</v>
      </c>
      <c r="AA255" s="12" t="s">
        <v>37</v>
      </c>
    </row>
    <row r="256" customFormat="false" ht="16.4" hidden="false" customHeight="false" outlineLevel="0" collapsed="false">
      <c r="A256" s="15" t="s">
        <v>1352</v>
      </c>
      <c r="B256" s="3" t="s">
        <v>614</v>
      </c>
      <c r="C256" s="3" t="s">
        <v>748</v>
      </c>
      <c r="D256" s="16" t="n">
        <v>16</v>
      </c>
      <c r="E256" s="6" t="n">
        <f aca="false">VLOOKUP(D256,'[1]REF Tables'!$A$2:$B$40,2)</f>
        <v>15000</v>
      </c>
      <c r="F256" s="3" t="s">
        <v>121</v>
      </c>
      <c r="G256" s="3" t="n">
        <v>12</v>
      </c>
      <c r="H256" s="3" t="s">
        <v>1348</v>
      </c>
      <c r="I256" s="3" t="s">
        <v>1353</v>
      </c>
      <c r="J256" s="3" t="n">
        <v>29</v>
      </c>
      <c r="K256" s="1" t="str">
        <f aca="false">IF(J256=1,"-5",IF(OR(J256=2,J256=3),"-4",IF(OR(J256=4,J256=5),"-3",IF(OR(J256=6,J256=7),"-2",IF(OR(J256=8,J256=9),"-1",IF(OR(J256=10,J256=11),"0",IF(OR(J256=12,J256=13),"+1",IF(OR(J256=14,J256=15),"+2",IF(OR(J256=16,J256=17),"+3",IF(OR(J256=18,J256=19),"+4",IF(OR(J256=20,J256=21),"+5",IF(OR(J256=22,J256=23),"+6",IF(OR(J256=24,J256=25),"+7",IF(OR(J256=26,J256=27),"+8",IF(OR(J256=28,J256=29),"+9",IF(J256=30,"+10"," "))))))))))))))))</f>
        <v>+9</v>
      </c>
      <c r="L256" s="3" t="n">
        <v>14</v>
      </c>
      <c r="M256" s="1" t="str">
        <f aca="false">IF(L256=1,"-5",IF(OR(L256=2,L256=3),"-4",IF(OR(L256=4,L256=5),"-3",IF(OR(L256=6,L256=7),"-2",IF(OR(L256=8,L256=9),"-1",IF(OR(L256=10,L256=11),"0",IF(OR(L256=12,L256=13),"+1",IF(OR(L256=14,L256=15),"+2",IF(OR(L256=16,L256=17),"+3",IF(OR(L256=18,L256=19),"+4",IF(OR(L256=20,L256=21),"+5",IF(OR(L256=22,L256=23),"+6",IF(OR(L256=24,L256=25),"+7",IF(OR(L256=26,L256=27),"+8",IF(OR(L256=28,L256=29),"+9",IF(L256=30,"+10"," "))))))))))))))))</f>
        <v>+2</v>
      </c>
      <c r="N256" s="3" t="n">
        <v>20</v>
      </c>
      <c r="O256" s="1" t="str">
        <f aca="false">IF(N256=1,"-5",IF(OR(N256=2,N256=3),"-4",IF(OR(N256=4,N256=5),"-3",IF(OR(N256=6,N256=7),"-2",IF(OR(N256=8,N256=9),"-1",IF(OR(N256=10,N256=11),"0",IF(OR(N256=12,N256=13),"+1",IF(OR(N256=14,N256=15),"+2",IF(OR(N256=16,N256=17),"+3",IF(OR(N256=18,N256=19),"+4",IF(OR(N256=20,N256=21),"+5",IF(OR(N256=22,N256=23),"+6",IF(OR(N256=24,N256=25),"+7",IF(OR(N256=26,N256=27),"+8",IF(OR(N256=28,N256=29),"+9",IF(N256=30,"+10"," "))))))))))))))))</f>
        <v>+5</v>
      </c>
      <c r="P256" s="3" t="n">
        <v>17</v>
      </c>
      <c r="Q256" s="1" t="str">
        <f aca="false">IF(P256=1,"-5",IF(OR(P256=2,P256=3),"-4",IF(OR(P256=4,P256=5),"-3",IF(OR(P256=6,P256=7),"-2",IF(OR(P256=8,P256=9),"-1",IF(OR(P256=10,P256=11),"0",IF(OR(P256=12,P256=13),"+1",IF(OR(P256=14,P256=15),"+2",IF(OR(P256=16,P256=17),"+3",IF(OR(P256=18,P256=19),"+4",IF(OR(P256=20,P256=21),"+5",IF(OR(P256=22,P256=23),"+6",IF(OR(P256=24,P256=25),"+7",IF(OR(P256=26,P256=27),"+8",IF(OR(P256=28,P256=29),"+9",IF(P256=30,"+10"," "))))))))))))))))</f>
        <v>+3</v>
      </c>
      <c r="R256" s="3" t="n">
        <v>20</v>
      </c>
      <c r="S256" s="1" t="str">
        <f aca="false">IF(R256=1,"-5",IF(OR(R256=2,R256=3),"-4",IF(OR(R256=4,R256=5),"-3",IF(OR(R256=6,R256=7),"-2",IF(OR(R256=8,R256=9),"-1",IF(OR(R256=10,R256=11),"0",IF(OR(R256=12,R256=13),"+1",IF(OR(R256=14,R256=15),"+2",IF(OR(R256=16,R256=17),"+3",IF(OR(R256=18,R256=19),"+4",IF(OR(R256=20,R256=21),"+5",IF(OR(R256=22,R256=23),"+6",IF(OR(R256=24,R256=25),"+7",IF(OR(R256=26,R256=27),"+8",IF(OR(R256=28,R256=29),"+9",IF(R256=30,"+10"," "))))))))))))))))</f>
        <v>+5</v>
      </c>
      <c r="T256" s="3" t="n">
        <v>19</v>
      </c>
      <c r="U256" s="1" t="str">
        <f aca="false">IF(T256=1,"-5",IF(OR(T256=2,T256=3),"-4",IF(OR(T256=4,T256=5),"-3",IF(OR(T256=6,T256=7),"-2",IF(OR(T256=8,T256=9),"-1",IF(OR(T256=10,T256=11),"0",IF(OR(T256=12,T256=13),"+1",IF(OR(T256=14,T256=15),"+2",IF(OR(T256=16,T256=17),"+3",IF(OR(T256=18,T256=19),"+4",IF(OR(T256=20,T256=21),"+5",IF(OR(T256=22,T256=23),"+6",IF(OR(T256=24,T256=25),"+7",IF(OR(T256=26,T256=27),"+8",IF(OR(T256=28,T256=29),"+9",IF(T256=30,"+10"," "))))))))))))))))</f>
        <v>+4</v>
      </c>
      <c r="V256" s="3" t="s">
        <v>1354</v>
      </c>
      <c r="W256" s="3" t="s">
        <v>1329</v>
      </c>
      <c r="X256" s="11" t="s">
        <v>1355</v>
      </c>
      <c r="Y256" s="11" t="s">
        <v>1356</v>
      </c>
      <c r="Z256" s="11" t="s">
        <v>37</v>
      </c>
      <c r="AA256" s="12" t="s">
        <v>1357</v>
      </c>
    </row>
    <row r="257" customFormat="false" ht="16.4" hidden="false" customHeight="false" outlineLevel="0" collapsed="false">
      <c r="A257" s="15" t="s">
        <v>1358</v>
      </c>
      <c r="B257" s="3" t="s">
        <v>614</v>
      </c>
      <c r="C257" s="3" t="s">
        <v>49</v>
      </c>
      <c r="D257" s="16" t="n">
        <v>9</v>
      </c>
      <c r="E257" s="6" t="n">
        <f aca="false">VLOOKUP(D257,'[1]REF Tables'!$A$2:$B$40,2)</f>
        <v>5000</v>
      </c>
      <c r="F257" s="3" t="s">
        <v>121</v>
      </c>
      <c r="G257" s="3" t="n">
        <v>18</v>
      </c>
      <c r="H257" s="3" t="s">
        <v>1359</v>
      </c>
      <c r="I257" s="3" t="s">
        <v>42</v>
      </c>
      <c r="J257" s="3" t="n">
        <v>25</v>
      </c>
      <c r="K257" s="1" t="str">
        <f aca="false">IF(J257=1,"-5",IF(OR(J257=2,J257=3),"-4",IF(OR(J257=4,J257=5),"-3",IF(OR(J257=6,J257=7),"-2",IF(OR(J257=8,J257=9),"-1",IF(OR(J257=10,J257=11),"0",IF(OR(J257=12,J257=13),"+1",IF(OR(J257=14,J257=15),"+2",IF(OR(J257=16,J257=17),"+3",IF(OR(J257=18,J257=19),"+4",IF(OR(J257=20,J257=21),"+5",IF(OR(J257=22,J257=23),"+6",IF(OR(J257=24,J257=25),"+7",IF(OR(J257=26,J257=27),"+8",IF(OR(J257=28,J257=29),"+9",IF(J257=30,"+10"," "))))))))))))))))</f>
        <v>+7</v>
      </c>
      <c r="L257" s="3" t="n">
        <v>9</v>
      </c>
      <c r="M257" s="1" t="str">
        <f aca="false">IF(L257=1,"-5",IF(OR(L257=2,L257=3),"-4",IF(OR(L257=4,L257=5),"-3",IF(OR(L257=6,L257=7),"-2",IF(OR(L257=8,L257=9),"-1",IF(OR(L257=10,L257=11),"0",IF(OR(L257=12,L257=13),"+1",IF(OR(L257=14,L257=15),"+2",IF(OR(L257=16,L257=17),"+3",IF(OR(L257=18,L257=19),"+4",IF(OR(L257=20,L257=21),"+5",IF(OR(L257=22,L257=23),"+6",IF(OR(L257=24,L257=25),"+7",IF(OR(L257=26,L257=27),"+8",IF(OR(L257=28,L257=29),"+9",IF(L257=30,"+10"," "))))))))))))))))</f>
        <v>-1</v>
      </c>
      <c r="N257" s="3" t="n">
        <v>23</v>
      </c>
      <c r="O257" s="1" t="str">
        <f aca="false">IF(N257=1,"-5",IF(OR(N257=2,N257=3),"-4",IF(OR(N257=4,N257=5),"-3",IF(OR(N257=6,N257=7),"-2",IF(OR(N257=8,N257=9),"-1",IF(OR(N257=10,N257=11),"0",IF(OR(N257=12,N257=13),"+1",IF(OR(N257=14,N257=15),"+2",IF(OR(N257=16,N257=17),"+3",IF(OR(N257=18,N257=19),"+4",IF(OR(N257=20,N257=21),"+5",IF(OR(N257=22,N257=23),"+6",IF(OR(N257=24,N257=25),"+7",IF(OR(N257=26,N257=27),"+8",IF(OR(N257=28,N257=29),"+9",IF(N257=30,"+10"," "))))))))))))))))</f>
        <v>+6</v>
      </c>
      <c r="P257" s="3" t="n">
        <v>10</v>
      </c>
      <c r="Q257" s="1" t="str">
        <f aca="false">IF(P257=1,"-5",IF(OR(P257=2,P257=3),"-4",IF(OR(P257=4,P257=5),"-3",IF(OR(P257=6,P257=7),"-2",IF(OR(P257=8,P257=9),"-1",IF(OR(P257=10,P257=11),"0",IF(OR(P257=12,P257=13),"+1",IF(OR(P257=14,P257=15),"+2",IF(OR(P257=16,P257=17),"+3",IF(OR(P257=18,P257=19),"+4",IF(OR(P257=20,P257=21),"+5",IF(OR(P257=22,P257=23),"+6",IF(OR(P257=24,P257=25),"+7",IF(OR(P257=26,P257=27),"+8",IF(OR(P257=28,P257=29),"+9",IF(P257=30,"+10"," "))))))))))))))))</f>
        <v>0</v>
      </c>
      <c r="R257" s="3" t="n">
        <v>14</v>
      </c>
      <c r="S257" s="1" t="str">
        <f aca="false">IF(R257=1,"-5",IF(OR(R257=2,R257=3),"-4",IF(OR(R257=4,R257=5),"-3",IF(OR(R257=6,R257=7),"-2",IF(OR(R257=8,R257=9),"-1",IF(OR(R257=10,R257=11),"0",IF(OR(R257=12,R257=13),"+1",IF(OR(R257=14,R257=15),"+2",IF(OR(R257=16,R257=17),"+3",IF(OR(R257=18,R257=19),"+4",IF(OR(R257=20,R257=21),"+5",IF(OR(R257=22,R257=23),"+6",IF(OR(R257=24,R257=25),"+7",IF(OR(R257=26,R257=27),"+8",IF(OR(R257=28,R257=29),"+9",IF(R257=30,"+10"," "))))))))))))))))</f>
        <v>+2</v>
      </c>
      <c r="T257" s="3" t="n">
        <v>13</v>
      </c>
      <c r="U257" s="1" t="str">
        <f aca="false">IF(T257=1,"-5",IF(OR(T257=2,T257=3),"-4",IF(OR(T257=4,T257=5),"-3",IF(OR(T257=6,T257=7),"-2",IF(OR(T257=8,T257=9),"-1",IF(OR(T257=10,T257=11),"0",IF(OR(T257=12,T257=13),"+1",IF(OR(T257=14,T257=15),"+2",IF(OR(T257=16,T257=17),"+3",IF(OR(T257=18,T257=19),"+4",IF(OR(T257=20,T257=21),"+5",IF(OR(T257=22,T257=23),"+6",IF(OR(T257=24,T257=25),"+7",IF(OR(T257=26,T257=27),"+8",IF(OR(T257=28,T257=29),"+9",IF(T257=30,"+10"," "))))))))))))))))</f>
        <v>+1</v>
      </c>
      <c r="V257" s="3" t="s">
        <v>1360</v>
      </c>
      <c r="W257" s="3" t="s">
        <v>616</v>
      </c>
      <c r="X257" s="11" t="s">
        <v>1361</v>
      </c>
      <c r="Y257" s="11" t="s">
        <v>1362</v>
      </c>
      <c r="Z257" s="11" t="s">
        <v>37</v>
      </c>
      <c r="AA257" s="12" t="s">
        <v>37</v>
      </c>
    </row>
    <row r="258" customFormat="false" ht="16.4" hidden="false" customHeight="false" outlineLevel="0" collapsed="false">
      <c r="A258" s="15" t="s">
        <v>1363</v>
      </c>
      <c r="B258" s="3" t="s">
        <v>614</v>
      </c>
      <c r="C258" s="3" t="s">
        <v>49</v>
      </c>
      <c r="D258" s="16" t="n">
        <v>14</v>
      </c>
      <c r="E258" s="6" t="n">
        <f aca="false">VLOOKUP(D258,'[1]REF Tables'!$A$2:$B$40,2)</f>
        <v>11500</v>
      </c>
      <c r="F258" s="3" t="s">
        <v>121</v>
      </c>
      <c r="G258" s="3" t="n">
        <v>21</v>
      </c>
      <c r="H258" s="3" t="s">
        <v>1364</v>
      </c>
      <c r="I258" s="3" t="s">
        <v>42</v>
      </c>
      <c r="J258" s="3" t="n">
        <v>27</v>
      </c>
      <c r="K258" s="1" t="str">
        <f aca="false">IF(J258=1,"-5",IF(OR(J258=2,J258=3),"-4",IF(OR(J258=4,J258=5),"-3",IF(OR(J258=6,J258=7),"-2",IF(OR(J258=8,J258=9),"-1",IF(OR(J258=10,J258=11),"0",IF(OR(J258=12,J258=13),"+1",IF(OR(J258=14,J258=15),"+2",IF(OR(J258=16,J258=17),"+3",IF(OR(J258=18,J258=19),"+4",IF(OR(J258=20,J258=21),"+5",IF(OR(J258=22,J258=23),"+6",IF(OR(J258=24,J258=25),"+7",IF(OR(J258=26,J258=27),"+8",IF(OR(J258=28,J258=29),"+9",IF(J258=30,"+10"," "))))))))))))))))</f>
        <v>+8</v>
      </c>
      <c r="L258" s="3" t="n">
        <v>9</v>
      </c>
      <c r="M258" s="1" t="str">
        <f aca="false">IF(L258=1,"-5",IF(OR(L258=2,L258=3),"-4",IF(OR(L258=4,L258=5),"-3",IF(OR(L258=6,L258=7),"-2",IF(OR(L258=8,L258=9),"-1",IF(OR(L258=10,L258=11),"0",IF(OR(L258=12,L258=13),"+1",IF(OR(L258=14,L258=15),"+2",IF(OR(L258=16,L258=17),"+3",IF(OR(L258=18,L258=19),"+4",IF(OR(L258=20,L258=21),"+5",IF(OR(L258=22,L258=23),"+6",IF(OR(L258=24,L258=25),"+7",IF(OR(L258=26,L258=27),"+8",IF(OR(L258=28,L258=29),"+9",IF(L258=30,"+10"," "))))))))))))))))</f>
        <v>-1</v>
      </c>
      <c r="N258" s="3" t="n">
        <v>23</v>
      </c>
      <c r="O258" s="1" t="str">
        <f aca="false">IF(N258=1,"-5",IF(OR(N258=2,N258=3),"-4",IF(OR(N258=4,N258=5),"-3",IF(OR(N258=6,N258=7),"-2",IF(OR(N258=8,N258=9),"-1",IF(OR(N258=10,N258=11),"0",IF(OR(N258=12,N258=13),"+1",IF(OR(N258=14,N258=15),"+2",IF(OR(N258=16,N258=17),"+3",IF(OR(N258=18,N258=19),"+4",IF(OR(N258=20,N258=21),"+5",IF(OR(N258=22,N258=23),"+6",IF(OR(N258=24,N258=25),"+7",IF(OR(N258=26,N258=27),"+8",IF(OR(N258=28,N258=29),"+9",IF(N258=30,"+10"," "))))))))))))))))</f>
        <v>+6</v>
      </c>
      <c r="P258" s="3" t="n">
        <v>8</v>
      </c>
      <c r="Q258" s="1" t="str">
        <f aca="false">IF(P258=1,"-5",IF(OR(P258=2,P258=3),"-4",IF(OR(P258=4,P258=5),"-3",IF(OR(P258=6,P258=7),"-2",IF(OR(P258=8,P258=9),"-1",IF(OR(P258=10,P258=11),"0",IF(OR(P258=12,P258=13),"+1",IF(OR(P258=14,P258=15),"+2",IF(OR(P258=16,P258=17),"+3",IF(OR(P258=18,P258=19),"+4",IF(OR(P258=20,P258=21),"+5",IF(OR(P258=22,P258=23),"+6",IF(OR(P258=24,P258=25),"+7",IF(OR(P258=26,P258=27),"+8",IF(OR(P258=28,P258=29),"+9",IF(P258=30,"+10"," "))))))))))))))))</f>
        <v>-1</v>
      </c>
      <c r="R258" s="3" t="n">
        <v>10</v>
      </c>
      <c r="S258" s="1" t="str">
        <f aca="false">IF(R258=1,"-5",IF(OR(R258=2,R258=3),"-4",IF(OR(R258=4,R258=5),"-3",IF(OR(R258=6,R258=7),"-2",IF(OR(R258=8,R258=9),"-1",IF(OR(R258=10,R258=11),"0",IF(OR(R258=12,R258=13),"+1",IF(OR(R258=14,R258=15),"+2",IF(OR(R258=16,R258=17),"+3",IF(OR(R258=18,R258=19),"+4",IF(OR(R258=20,R258=21),"+5",IF(OR(R258=22,R258=23),"+6",IF(OR(R258=24,R258=25),"+7",IF(OR(R258=26,R258=27),"+8",IF(OR(R258=28,R258=29),"+9",IF(R258=30,"+10"," "))))))))))))))))</f>
        <v>0</v>
      </c>
      <c r="T258" s="3" t="n">
        <v>11</v>
      </c>
      <c r="U258" s="1" t="str">
        <f aca="false">IF(T258=1,"-5",IF(OR(T258=2,T258=3),"-4",IF(OR(T258=4,T258=5),"-3",IF(OR(T258=6,T258=7),"-2",IF(OR(T258=8,T258=9),"-1",IF(OR(T258=10,T258=11),"0",IF(OR(T258=12,T258=13),"+1",IF(OR(T258=14,T258=15),"+2",IF(OR(T258=16,T258=17),"+3",IF(OR(T258=18,T258=19),"+4",IF(OR(T258=20,T258=21),"+5",IF(OR(T258=22,T258=23),"+6",IF(OR(T258=24,T258=25),"+7",IF(OR(T258=26,T258=27),"+8",IF(OR(T258=28,T258=29),"+9",IF(T258=30,"+10"," "))))))))))))))))</f>
        <v>0</v>
      </c>
      <c r="V258" s="3" t="s">
        <v>1365</v>
      </c>
      <c r="W258" s="3" t="s">
        <v>616</v>
      </c>
      <c r="X258" s="11" t="s">
        <v>1366</v>
      </c>
      <c r="Y258" s="11" t="s">
        <v>1367</v>
      </c>
      <c r="Z258" s="11" t="s">
        <v>37</v>
      </c>
      <c r="AA258" s="12" t="s">
        <v>37</v>
      </c>
    </row>
    <row r="259" customFormat="false" ht="16.4" hidden="false" customHeight="false" outlineLevel="0" collapsed="false">
      <c r="A259" s="15" t="s">
        <v>1368</v>
      </c>
      <c r="B259" s="3" t="s">
        <v>614</v>
      </c>
      <c r="C259" s="3" t="s">
        <v>85</v>
      </c>
      <c r="D259" s="16" t="n">
        <v>8</v>
      </c>
      <c r="E259" s="6" t="n">
        <f aca="false">VLOOKUP(D259,'[1]REF Tables'!$A$2:$B$40,2)</f>
        <v>3900</v>
      </c>
      <c r="F259" s="3" t="s">
        <v>121</v>
      </c>
      <c r="G259" s="3" t="n">
        <v>15</v>
      </c>
      <c r="H259" s="3" t="s">
        <v>615</v>
      </c>
      <c r="I259" s="3" t="s">
        <v>224</v>
      </c>
      <c r="J259" s="3" t="n">
        <v>23</v>
      </c>
      <c r="K259" s="1" t="str">
        <f aca="false">IF(J259=1,"-5",IF(OR(J259=2,J259=3),"-4",IF(OR(J259=4,J259=5),"-3",IF(OR(J259=6,J259=7),"-2",IF(OR(J259=8,J259=9),"-1",IF(OR(J259=10,J259=11),"0",IF(OR(J259=12,J259=13),"+1",IF(OR(J259=14,J259=15),"+2",IF(OR(J259=16,J259=17),"+3",IF(OR(J259=18,J259=19),"+4",IF(OR(J259=20,J259=21),"+5",IF(OR(J259=22,J259=23),"+6",IF(OR(J259=24,J259=25),"+7",IF(OR(J259=26,J259=27),"+8",IF(OR(J259=28,J259=29),"+9",IF(J259=30,"+10"," "))))))))))))))))</f>
        <v>+6</v>
      </c>
      <c r="L259" s="3" t="n">
        <v>9</v>
      </c>
      <c r="M259" s="1" t="str">
        <f aca="false">IF(L259=1,"-5",IF(OR(L259=2,L259=3),"-4",IF(OR(L259=4,L259=5),"-3",IF(OR(L259=6,L259=7),"-2",IF(OR(L259=8,L259=9),"-1",IF(OR(L259=10,L259=11),"0",IF(OR(L259=12,L259=13),"+1",IF(OR(L259=14,L259=15),"+2",IF(OR(L259=16,L259=17),"+3",IF(OR(L259=18,L259=19),"+4",IF(OR(L259=20,L259=21),"+5",IF(OR(L259=22,L259=23),"+6",IF(OR(L259=24,L259=25),"+7",IF(OR(L259=26,L259=27),"+8",IF(OR(L259=28,L259=29),"+9",IF(L259=30,"+10"," "))))))))))))))))</f>
        <v>-1</v>
      </c>
      <c r="N259" s="3" t="n">
        <v>21</v>
      </c>
      <c r="O259" s="1" t="str">
        <f aca="false">IF(N259=1,"-5",IF(OR(N259=2,N259=3),"-4",IF(OR(N259=4,N259=5),"-3",IF(OR(N259=6,N259=7),"-2",IF(OR(N259=8,N259=9),"-1",IF(OR(N259=10,N259=11),"0",IF(OR(N259=12,N259=13),"+1",IF(OR(N259=14,N259=15),"+2",IF(OR(N259=16,N259=17),"+3",IF(OR(N259=18,N259=19),"+4",IF(OR(N259=20,N259=21),"+5",IF(OR(N259=22,N259=23),"+6",IF(OR(N259=24,N259=25),"+7",IF(OR(N259=26,N259=27),"+8",IF(OR(N259=28,N259=29),"+9",IF(N259=30,"+10"," "))))))))))))))))</f>
        <v>+5</v>
      </c>
      <c r="P259" s="3" t="n">
        <v>9</v>
      </c>
      <c r="Q259" s="1" t="str">
        <f aca="false">IF(P259=1,"-5",IF(OR(P259=2,P259=3),"-4",IF(OR(P259=4,P259=5),"-3",IF(OR(P259=6,P259=7),"-2",IF(OR(P259=8,P259=9),"-1",IF(OR(P259=10,P259=11),"0",IF(OR(P259=12,P259=13),"+1",IF(OR(P259=14,P259=15),"+2",IF(OR(P259=16,P259=17),"+3",IF(OR(P259=18,P259=19),"+4",IF(OR(P259=20,P259=21),"+5",IF(OR(P259=22,P259=23),"+6",IF(OR(P259=24,P259=25),"+7",IF(OR(P259=26,P259=27),"+8",IF(OR(P259=28,P259=29),"+9",IF(P259=30,"+10"," "))))))))))))))))</f>
        <v>-1</v>
      </c>
      <c r="R259" s="3" t="n">
        <v>10</v>
      </c>
      <c r="S259" s="1" t="str">
        <f aca="false">IF(R259=1,"-5",IF(OR(R259=2,R259=3),"-4",IF(OR(R259=4,R259=5),"-3",IF(OR(R259=6,R259=7),"-2",IF(OR(R259=8,R259=9),"-1",IF(OR(R259=10,R259=11),"0",IF(OR(R259=12,R259=13),"+1",IF(OR(R259=14,R259=15),"+2",IF(OR(R259=16,R259=17),"+3",IF(OR(R259=18,R259=19),"+4",IF(OR(R259=20,R259=21),"+5",IF(OR(R259=22,R259=23),"+6",IF(OR(R259=24,R259=25),"+7",IF(OR(R259=26,R259=27),"+8",IF(OR(R259=28,R259=29),"+9",IF(R259=30,"+10"," "))))))))))))))))</f>
        <v>0</v>
      </c>
      <c r="T259" s="3" t="n">
        <v>12</v>
      </c>
      <c r="U259" s="1" t="str">
        <f aca="false">IF(T259=1,"-5",IF(OR(T259=2,T259=3),"-4",IF(OR(T259=4,T259=5),"-3",IF(OR(T259=6,T259=7),"-2",IF(OR(T259=8,T259=9),"-1",IF(OR(T259=10,T259=11),"0",IF(OR(T259=12,T259=13),"+1",IF(OR(T259=14,T259=15),"+2",IF(OR(T259=16,T259=17),"+3",IF(OR(T259=18,T259=19),"+4",IF(OR(T259=20,T259=21),"+5",IF(OR(T259=22,T259=23),"+6",IF(OR(T259=24,T259=25),"+7",IF(OR(T259=26,T259=27),"+8",IF(OR(T259=28,T259=29),"+9",IF(T259=30,"+10"," "))))))))))))))))</f>
        <v>+1</v>
      </c>
      <c r="V259" s="3" t="s">
        <v>1369</v>
      </c>
      <c r="W259" s="3" t="s">
        <v>616</v>
      </c>
      <c r="X259" s="11" t="s">
        <v>1370</v>
      </c>
      <c r="Y259" s="11" t="s">
        <v>1371</v>
      </c>
      <c r="Z259" s="11" t="s">
        <v>37</v>
      </c>
      <c r="AA259" s="12" t="s">
        <v>37</v>
      </c>
    </row>
    <row r="260" customFormat="false" ht="16.4" hidden="false" customHeight="false" outlineLevel="0" collapsed="false">
      <c r="A260" s="15" t="s">
        <v>1372</v>
      </c>
      <c r="B260" s="3" t="s">
        <v>614</v>
      </c>
      <c r="C260" s="3" t="s">
        <v>222</v>
      </c>
      <c r="D260" s="16" t="n">
        <v>12</v>
      </c>
      <c r="E260" s="6" t="n">
        <f aca="false">VLOOKUP(D260,'[1]REF Tables'!$A$2:$B$40,2)</f>
        <v>8400</v>
      </c>
      <c r="F260" s="3" t="s">
        <v>121</v>
      </c>
      <c r="G260" s="3" t="n">
        <v>15</v>
      </c>
      <c r="H260" s="3" t="s">
        <v>1373</v>
      </c>
      <c r="I260" s="3" t="s">
        <v>224</v>
      </c>
      <c r="J260" s="3" t="n">
        <v>25</v>
      </c>
      <c r="K260" s="1" t="str">
        <f aca="false">IF(J260=1,"-5",IF(OR(J260=2,J260=3),"-4",IF(OR(J260=4,J260=5),"-3",IF(OR(J260=6,J260=7),"-2",IF(OR(J260=8,J260=9),"-1",IF(OR(J260=10,J260=11),"0",IF(OR(J260=12,J260=13),"+1",IF(OR(J260=14,J260=15),"+2",IF(OR(J260=16,J260=17),"+3",IF(OR(J260=18,J260=19),"+4",IF(OR(J260=20,J260=21),"+5",IF(OR(J260=22,J260=23),"+6",IF(OR(J260=24,J260=25),"+7",IF(OR(J260=26,J260=27),"+8",IF(OR(J260=28,J260=29),"+9",IF(J260=30,"+10"," "))))))))))))))))</f>
        <v>+7</v>
      </c>
      <c r="L260" s="3" t="n">
        <v>9</v>
      </c>
      <c r="M260" s="1" t="str">
        <f aca="false">IF(L260=1,"-5",IF(OR(L260=2,L260=3),"-4",IF(OR(L260=4,L260=5),"-3",IF(OR(L260=6,L260=7),"-2",IF(OR(L260=8,L260=9),"-1",IF(OR(L260=10,L260=11),"0",IF(OR(L260=12,L260=13),"+1",IF(OR(L260=14,L260=15),"+2",IF(OR(L260=16,L260=17),"+3",IF(OR(L260=18,L260=19),"+4",IF(OR(L260=20,L260=21),"+5",IF(OR(L260=22,L260=23),"+6",IF(OR(L260=24,L260=25),"+7",IF(OR(L260=26,L260=27),"+8",IF(OR(L260=28,L260=29),"+9",IF(L260=30,"+10"," "))))))))))))))))</f>
        <v>-1</v>
      </c>
      <c r="N260" s="3" t="n">
        <v>24</v>
      </c>
      <c r="O260" s="1" t="str">
        <f aca="false">IF(N260=1,"-5",IF(OR(N260=2,N260=3),"-4",IF(OR(N260=4,N260=5),"-3",IF(OR(N260=6,N260=7),"-2",IF(OR(N260=8,N260=9),"-1",IF(OR(N260=10,N260=11),"0",IF(OR(N260=12,N260=13),"+1",IF(OR(N260=14,N260=15),"+2",IF(OR(N260=16,N260=17),"+3",IF(OR(N260=18,N260=19),"+4",IF(OR(N260=20,N260=21),"+5",IF(OR(N260=22,N260=23),"+6",IF(OR(N260=24,N260=25),"+7",IF(OR(N260=26,N260=27),"+8",IF(OR(N260=28,N260=29),"+9",IF(N260=30,"+10"," "))))))))))))))))</f>
        <v>+7</v>
      </c>
      <c r="P260" s="3" t="n">
        <v>9</v>
      </c>
      <c r="Q260" s="1" t="str">
        <f aca="false">IF(P260=1,"-5",IF(OR(P260=2,P260=3),"-4",IF(OR(P260=4,P260=5),"-3",IF(OR(P260=6,P260=7),"-2",IF(OR(P260=8,P260=9),"-1",IF(OR(P260=10,P260=11),"0",IF(OR(P260=12,P260=13),"+1",IF(OR(P260=14,P260=15),"+2",IF(OR(P260=16,P260=17),"+3",IF(OR(P260=18,P260=19),"+4",IF(OR(P260=20,P260=21),"+5",IF(OR(P260=22,P260=23),"+6",IF(OR(P260=24,P260=25),"+7",IF(OR(P260=26,P260=27),"+8",IF(OR(P260=28,P260=29),"+9",IF(P260=30,"+10"," "))))))))))))))))</f>
        <v>-1</v>
      </c>
      <c r="R260" s="3" t="n">
        <v>10</v>
      </c>
      <c r="S260" s="1" t="str">
        <f aca="false">IF(R260=1,"-5",IF(OR(R260=2,R260=3),"-4",IF(OR(R260=4,R260=5),"-3",IF(OR(R260=6,R260=7),"-2",IF(OR(R260=8,R260=9),"-1",IF(OR(R260=10,R260=11),"0",IF(OR(R260=12,R260=13),"+1",IF(OR(R260=14,R260=15),"+2",IF(OR(R260=16,R260=17),"+3",IF(OR(R260=18,R260=19),"+4",IF(OR(R260=20,R260=21),"+5",IF(OR(R260=22,R260=23),"+6",IF(OR(R260=24,R260=25),"+7",IF(OR(R260=26,R260=27),"+8",IF(OR(R260=28,R260=29),"+9",IF(R260=30,"+10"," "))))))))))))))))</f>
        <v>0</v>
      </c>
      <c r="T260" s="3" t="n">
        <v>12</v>
      </c>
      <c r="U260" s="1" t="str">
        <f aca="false">IF(T260=1,"-5",IF(OR(T260=2,T260=3),"-4",IF(OR(T260=4,T260=5),"-3",IF(OR(T260=6,T260=7),"-2",IF(OR(T260=8,T260=9),"-1",IF(OR(T260=10,T260=11),"0",IF(OR(T260=12,T260=13),"+1",IF(OR(T260=14,T260=15),"+2",IF(OR(T260=16,T260=17),"+3",IF(OR(T260=18,T260=19),"+4",IF(OR(T260=20,T260=21),"+5",IF(OR(T260=22,T260=23),"+6",IF(OR(T260=24,T260=25),"+7",IF(OR(T260=26,T260=27),"+8",IF(OR(T260=28,T260=29),"+9",IF(T260=30,"+10"," "))))))))))))))))</f>
        <v>+1</v>
      </c>
      <c r="V260" s="3" t="s">
        <v>1374</v>
      </c>
      <c r="W260" s="3" t="s">
        <v>616</v>
      </c>
      <c r="X260" s="11" t="s">
        <v>1375</v>
      </c>
      <c r="Y260" s="11" t="s">
        <v>1376</v>
      </c>
      <c r="Z260" s="11" t="s">
        <v>37</v>
      </c>
      <c r="AA260" s="12" t="s">
        <v>37</v>
      </c>
    </row>
    <row r="261" customFormat="false" ht="16.4" hidden="false" customHeight="false" outlineLevel="0" collapsed="false">
      <c r="A261" s="14" t="s">
        <v>1377</v>
      </c>
      <c r="B261" s="1" t="s">
        <v>595</v>
      </c>
      <c r="C261" s="1" t="s">
        <v>37</v>
      </c>
      <c r="D261" s="5" t="n">
        <v>2</v>
      </c>
      <c r="E261" s="3" t="n">
        <f aca="false">VLOOKUP(D261,'[1]REF Tables'!$A$2:$B$40,2)</f>
        <v>450</v>
      </c>
      <c r="F261" s="1" t="s">
        <v>50</v>
      </c>
      <c r="G261" s="1" t="n">
        <v>8</v>
      </c>
      <c r="H261" s="1" t="s">
        <v>398</v>
      </c>
      <c r="I261" s="3" t="s">
        <v>1378</v>
      </c>
      <c r="J261" s="1" t="n">
        <v>15</v>
      </c>
      <c r="K261" s="1" t="str">
        <f aca="false">IF(J261=1,"-5",IF(OR(J261=2,J261=3),"-4",IF(OR(J261=4,J261=5),"-3",IF(OR(J261=6,J261=7),"-2",IF(OR(J261=8,J261=9),"-1",IF(OR(J261=10,J261=11),"0",IF(OR(J261=12,J261=13),"+1",IF(OR(J261=14,J261=15),"+2",IF(OR(J261=16,J261=17),"+3",IF(OR(J261=18,J261=19),"+4",IF(OR(J261=20,J261=21),"+5",IF(OR(J261=22,J261=23),"+6",IF(OR(J261=24,J261=25),"+7",IF(OR(J261=26,J261=27),"+8",IF(OR(J261=28,J261=29),"+9",IF(J261=30,"+10"," "))))))))))))))))</f>
        <v>+2</v>
      </c>
      <c r="L261" s="1" t="n">
        <v>6</v>
      </c>
      <c r="M261" s="1" t="str">
        <f aca="false">IF(L261=1,"-5",IF(OR(L261=2,L261=3),"-4",IF(OR(L261=4,L261=5),"-3",IF(OR(L261=6,L261=7),"-2",IF(OR(L261=8,L261=9),"-1",IF(OR(L261=10,L261=11),"0",IF(OR(L261=12,L261=13),"+1",IF(OR(L261=14,L261=15),"+2",IF(OR(L261=16,L261=17),"+3",IF(OR(L261=18,L261=19),"+4",IF(OR(L261=20,L261=21),"+5",IF(OR(L261=22,L261=23),"+6",IF(OR(L261=24,L261=25),"+7",IF(OR(L261=26,L261=27),"+8",IF(OR(L261=28,L261=29),"+9",IF(L261=30,"+10"," "))))))))))))))))</f>
        <v>-2</v>
      </c>
      <c r="N261" s="1" t="n">
        <v>14</v>
      </c>
      <c r="O261" s="1" t="str">
        <f aca="false">IF(N261=1,"-5",IF(OR(N261=2,N261=3),"-4",IF(OR(N261=4,N261=5),"-3",IF(OR(N261=6,N261=7),"-2",IF(OR(N261=8,N261=9),"-1",IF(OR(N261=10,N261=11),"0",IF(OR(N261=12,N261=13),"+1",IF(OR(N261=14,N261=15),"+2",IF(OR(N261=16,N261=17),"+3",IF(OR(N261=18,N261=19),"+4",IF(OR(N261=20,N261=21),"+5",IF(OR(N261=22,N261=23),"+6",IF(OR(N261=24,N261=25),"+7",IF(OR(N261=26,N261=27),"+8",IF(OR(N261=28,N261=29),"+9",IF(N261=30,"+10"," "))))))))))))))))</f>
        <v>+2</v>
      </c>
      <c r="P261" s="1" t="n">
        <v>2</v>
      </c>
      <c r="Q261" s="1" t="str">
        <f aca="false">IF(P261=1,"-5",IF(OR(P261=2,P261=3),"-4",IF(OR(P261=4,P261=5),"-3",IF(OR(P261=6,P261=7),"-2",IF(OR(P261=8,P261=9),"-1",IF(OR(P261=10,P261=11),"0",IF(OR(P261=12,P261=13),"+1",IF(OR(P261=14,P261=15),"+2",IF(OR(P261=16,P261=17),"+3",IF(OR(P261=18,P261=19),"+4",IF(OR(P261=20,P261=21),"+5",IF(OR(P261=22,P261=23),"+6",IF(OR(P261=24,P261=25),"+7",IF(OR(P261=26,P261=27),"+8",IF(OR(P261=28,P261=29),"+9",IF(P261=30,"+10"," "))))))))))))))))</f>
        <v>-4</v>
      </c>
      <c r="R261" s="1" t="n">
        <v>6</v>
      </c>
      <c r="S261" s="1" t="str">
        <f aca="false">IF(R261=1,"-5",IF(OR(R261=2,R261=3),"-4",IF(OR(R261=4,R261=5),"-3",IF(OR(R261=6,R261=7),"-2",IF(OR(R261=8,R261=9),"-1",IF(OR(R261=10,R261=11),"0",IF(OR(R261=12,R261=13),"+1",IF(OR(R261=14,R261=15),"+2",IF(OR(R261=16,R261=17),"+3",IF(OR(R261=18,R261=19),"+4",IF(OR(R261=20,R261=21),"+5",IF(OR(R261=22,R261=23),"+6",IF(OR(R261=24,R261=25),"+7",IF(OR(R261=26,R261=27),"+8",IF(OR(R261=28,R261=29),"+9",IF(R261=30,"+10"," "))))))))))))))))</f>
        <v>-2</v>
      </c>
      <c r="T261" s="1" t="n">
        <v>1</v>
      </c>
      <c r="U261" s="1" t="str">
        <f aca="false">IF(T261=1,"-5",IF(OR(T261=2,T261=3),"-4",IF(OR(T261=4,T261=5),"-3",IF(OR(T261=6,T261=7),"-2",IF(OR(T261=8,T261=9),"-1",IF(OR(T261=10,T261=11),"0",IF(OR(T261=12,T261=13),"+1",IF(OR(T261=14,T261=15),"+2",IF(OR(T261=16,T261=17),"+3",IF(OR(T261=18,T261=19),"+4",IF(OR(T261=20,T261=21),"+5",IF(OR(T261=22,T261=23),"+6",IF(OR(T261=24,T261=25),"+7",IF(OR(T261=26,T261=27),"+8",IF(OR(T261=28,T261=29),"+9",IF(T261=30,"+10"," "))))))))))))))))</f>
        <v>-5</v>
      </c>
      <c r="V261" s="1" t="s">
        <v>37</v>
      </c>
      <c r="W261" s="1" t="s">
        <v>37</v>
      </c>
      <c r="X261" s="2" t="s">
        <v>1379</v>
      </c>
      <c r="Y261" s="2" t="s">
        <v>1380</v>
      </c>
      <c r="Z261" s="2" t="s">
        <v>1381</v>
      </c>
      <c r="AA261" s="1" t="s">
        <v>37</v>
      </c>
    </row>
    <row r="262" customFormat="false" ht="16.4" hidden="false" customHeight="false" outlineLevel="0" collapsed="false">
      <c r="A262" s="15" t="s">
        <v>1382</v>
      </c>
      <c r="B262" s="3" t="s">
        <v>105</v>
      </c>
      <c r="C262" s="3" t="s">
        <v>37</v>
      </c>
      <c r="D262" s="16" t="n">
        <v>4</v>
      </c>
      <c r="E262" s="6" t="n">
        <f aca="false">VLOOKUP(D262,'[1]REF Tables'!$A$2:$B$40,2)</f>
        <v>1100</v>
      </c>
      <c r="F262" s="3" t="s">
        <v>50</v>
      </c>
      <c r="G262" s="3" t="n">
        <v>13</v>
      </c>
      <c r="H262" s="3" t="s">
        <v>1383</v>
      </c>
      <c r="I262" s="3" t="s">
        <v>153</v>
      </c>
      <c r="J262" s="3" t="n">
        <v>18</v>
      </c>
      <c r="K262" s="1" t="str">
        <f aca="false">IF(J262=1,"-5",IF(OR(J262=2,J262=3),"-4",IF(OR(J262=4,J262=5),"-3",IF(OR(J262=6,J262=7),"-2",IF(OR(J262=8,J262=9),"-1",IF(OR(J262=10,J262=11),"0",IF(OR(J262=12,J262=13),"+1",IF(OR(J262=14,J262=15),"+2",IF(OR(J262=16,J262=17),"+3",IF(OR(J262=18,J262=19),"+4",IF(OR(J262=20,J262=21),"+5",IF(OR(J262=22,J262=23),"+6",IF(OR(J262=24,J262=25),"+7",IF(OR(J262=26,J262=27),"+8",IF(OR(J262=28,J262=29),"+9",IF(J262=30,"+10"," "))))))))))))))))</f>
        <v>+4</v>
      </c>
      <c r="L262" s="3" t="n">
        <v>16</v>
      </c>
      <c r="M262" s="1" t="str">
        <f aca="false">IF(L262=1,"-5",IF(OR(L262=2,L262=3),"-4",IF(OR(L262=4,L262=5),"-3",IF(OR(L262=6,L262=7),"-2",IF(OR(L262=8,L262=9),"-1",IF(OR(L262=10,L262=11),"0",IF(OR(L262=12,L262=13),"+1",IF(OR(L262=14,L262=15),"+2",IF(OR(L262=16,L262=17),"+3",IF(OR(L262=18,L262=19),"+4",IF(OR(L262=20,L262=21),"+5",IF(OR(L262=22,L262=23),"+6",IF(OR(L262=24,L262=25),"+7",IF(OR(L262=26,L262=27),"+8",IF(OR(L262=28,L262=29),"+9",IF(L262=30,"+10"," "))))))))))))))))</f>
        <v>+3</v>
      </c>
      <c r="N262" s="3" t="n">
        <v>16</v>
      </c>
      <c r="O262" s="1" t="str">
        <f aca="false">IF(N262=1,"-5",IF(OR(N262=2,N262=3),"-4",IF(OR(N262=4,N262=5),"-3",IF(OR(N262=6,N262=7),"-2",IF(OR(N262=8,N262=9),"-1",IF(OR(N262=10,N262=11),"0",IF(OR(N262=12,N262=13),"+1",IF(OR(N262=14,N262=15),"+2",IF(OR(N262=16,N262=17),"+3",IF(OR(N262=18,N262=19),"+4",IF(OR(N262=20,N262=21),"+5",IF(OR(N262=22,N262=23),"+6",IF(OR(N262=24,N262=25),"+7",IF(OR(N262=26,N262=27),"+8",IF(OR(N262=28,N262=29),"+9",IF(N262=30,"+10"," "))))))))))))))))</f>
        <v>+3</v>
      </c>
      <c r="P262" s="3" t="n">
        <v>5</v>
      </c>
      <c r="Q262" s="1" t="str">
        <f aca="false">IF(P262=1,"-5",IF(OR(P262=2,P262=3),"-4",IF(OR(P262=4,P262=5),"-3",IF(OR(P262=6,P262=7),"-2",IF(OR(P262=8,P262=9),"-1",IF(OR(P262=10,P262=11),"0",IF(OR(P262=12,P262=13),"+1",IF(OR(P262=14,P262=15),"+2",IF(OR(P262=16,P262=17),"+3",IF(OR(P262=18,P262=19),"+4",IF(OR(P262=20,P262=21),"+5",IF(OR(P262=22,P262=23),"+6",IF(OR(P262=24,P262=25),"+7",IF(OR(P262=26,P262=27),"+8",IF(OR(P262=28,P262=29),"+9",IF(P262=30,"+10"," "))))))))))))))))</f>
        <v>-3</v>
      </c>
      <c r="R262" s="3" t="n">
        <v>12</v>
      </c>
      <c r="S262" s="1" t="str">
        <f aca="false">IF(R262=1,"-5",IF(OR(R262=2,R262=3),"-4",IF(OR(R262=4,R262=5),"-3",IF(OR(R262=6,R262=7),"-2",IF(OR(R262=8,R262=9),"-1",IF(OR(R262=10,R262=11),"0",IF(OR(R262=12,R262=13),"+1",IF(OR(R262=14,R262=15),"+2",IF(OR(R262=16,R262=17),"+3",IF(OR(R262=18,R262=19),"+4",IF(OR(R262=20,R262=21),"+5",IF(OR(R262=22,R262=23),"+6",IF(OR(R262=24,R262=25),"+7",IF(OR(R262=26,R262=27),"+8",IF(OR(R262=28,R262=29),"+9",IF(R262=30,"+10"," "))))))))))))))))</f>
        <v>+1</v>
      </c>
      <c r="T262" s="3" t="n">
        <v>7</v>
      </c>
      <c r="U262" s="1" t="str">
        <f aca="false">IF(T262=1,"-5",IF(OR(T262=2,T262=3),"-4",IF(OR(T262=4,T262=5),"-3",IF(OR(T262=6,T262=7),"-2",IF(OR(T262=8,T262=9),"-1",IF(OR(T262=10,T262=11),"0",IF(OR(T262=12,T262=13),"+1",IF(OR(T262=14,T262=15),"+2",IF(OR(T262=16,T262=17),"+3",IF(OR(T262=18,T262=19),"+4",IF(OR(T262=20,T262=21),"+5",IF(OR(T262=22,T262=23),"+6",IF(OR(T262=24,T262=25),"+7",IF(OR(T262=26,T262=27),"+8",IF(OR(T262=28,T262=29),"+9",IF(T262=30,"+10"," "))))))))))))))))</f>
        <v>-2</v>
      </c>
      <c r="V262" s="3" t="s">
        <v>771</v>
      </c>
      <c r="W262" s="3" t="s">
        <v>37</v>
      </c>
      <c r="X262" s="11" t="s">
        <v>1384</v>
      </c>
      <c r="Y262" s="11" t="s">
        <v>1385</v>
      </c>
      <c r="Z262" s="11" t="s">
        <v>37</v>
      </c>
      <c r="AA262" s="12" t="s">
        <v>37</v>
      </c>
    </row>
    <row r="263" customFormat="false" ht="16.4" hidden="false" customHeight="false" outlineLevel="0" collapsed="false">
      <c r="A263" s="15" t="s">
        <v>1386</v>
      </c>
      <c r="B263" s="3" t="s">
        <v>1387</v>
      </c>
      <c r="C263" s="3" t="s">
        <v>49</v>
      </c>
      <c r="D263" s="16" t="n">
        <v>8</v>
      </c>
      <c r="E263" s="6" t="n">
        <f aca="false">VLOOKUP(D263,'[1]REF Tables'!$A$2:$B$40,2)</f>
        <v>3900</v>
      </c>
      <c r="F263" s="3" t="s">
        <v>30</v>
      </c>
      <c r="G263" s="3" t="n">
        <v>18</v>
      </c>
      <c r="H263" s="3" t="s">
        <v>1388</v>
      </c>
      <c r="I263" s="3" t="s">
        <v>42</v>
      </c>
      <c r="J263" s="3" t="n">
        <v>16</v>
      </c>
      <c r="K263" s="1" t="str">
        <f aca="false">IF(J263=1,"-5",IF(OR(J263=2,J263=3),"-4",IF(OR(J263=4,J263=5),"-3",IF(OR(J263=6,J263=7),"-2",IF(OR(J263=8,J263=9),"-1",IF(OR(J263=10,J263=11),"0",IF(OR(J263=12,J263=13),"+1",IF(OR(J263=14,J263=15),"+2",IF(OR(J263=16,J263=17),"+3",IF(OR(J263=18,J263=19),"+4",IF(OR(J263=20,J263=21),"+5",IF(OR(J263=22,J263=23),"+6",IF(OR(J263=24,J263=25),"+7",IF(OR(J263=26,J263=27),"+8",IF(OR(J263=28,J263=29),"+9",IF(J263=30,"+10"," "))))))))))))))))</f>
        <v>+3</v>
      </c>
      <c r="L263" s="3" t="n">
        <v>14</v>
      </c>
      <c r="M263" s="1" t="str">
        <f aca="false">IF(L263=1,"-5",IF(OR(L263=2,L263=3),"-4",IF(OR(L263=4,L263=5),"-3",IF(OR(L263=6,L263=7),"-2",IF(OR(L263=8,L263=9),"-1",IF(OR(L263=10,L263=11),"0",IF(OR(L263=12,L263=13),"+1",IF(OR(L263=14,L263=15),"+2",IF(OR(L263=16,L263=17),"+3",IF(OR(L263=18,L263=19),"+4",IF(OR(L263=20,L263=21),"+5",IF(OR(L263=22,L263=23),"+6",IF(OR(L263=24,L263=25),"+7",IF(OR(L263=26,L263=27),"+8",IF(OR(L263=28,L263=29),"+9",IF(L263=30,"+10"," "))))))))))))))))</f>
        <v>+2</v>
      </c>
      <c r="N263" s="3" t="n">
        <v>15</v>
      </c>
      <c r="O263" s="1" t="str">
        <f aca="false">IF(N263=1,"-5",IF(OR(N263=2,N263=3),"-4",IF(OR(N263=4,N263=5),"-3",IF(OR(N263=6,N263=7),"-2",IF(OR(N263=8,N263=9),"-1",IF(OR(N263=10,N263=11),"0",IF(OR(N263=12,N263=13),"+1",IF(OR(N263=14,N263=15),"+2",IF(OR(N263=16,N263=17),"+3",IF(OR(N263=18,N263=19),"+4",IF(OR(N263=20,N263=21),"+5",IF(OR(N263=22,N263=23),"+6",IF(OR(N263=24,N263=25),"+7",IF(OR(N263=26,N263=27),"+8",IF(OR(N263=28,N263=29),"+9",IF(N263=30,"+10"," "))))))))))))))))</f>
        <v>+2</v>
      </c>
      <c r="P263" s="3" t="n">
        <v>14</v>
      </c>
      <c r="Q263" s="1" t="str">
        <f aca="false">IF(P263=1,"-5",IF(OR(P263=2,P263=3),"-4",IF(OR(P263=4,P263=5),"-3",IF(OR(P263=6,P263=7),"-2",IF(OR(P263=8,P263=9),"-1",IF(OR(P263=10,P263=11),"0",IF(OR(P263=12,P263=13),"+1",IF(OR(P263=14,P263=15),"+2",IF(OR(P263=16,P263=17),"+3",IF(OR(P263=18,P263=19),"+4",IF(OR(P263=20,P263=21),"+5",IF(OR(P263=22,P263=23),"+6",IF(OR(P263=24,P263=25),"+7",IF(OR(P263=26,P263=27),"+8",IF(OR(P263=28,P263=29),"+9",IF(P263=30,"+10"," "))))))))))))))))</f>
        <v>+2</v>
      </c>
      <c r="R263" s="3" t="n">
        <v>14</v>
      </c>
      <c r="S263" s="1" t="str">
        <f aca="false">IF(R263=1,"-5",IF(OR(R263=2,R263=3),"-4",IF(OR(R263=4,R263=5),"-3",IF(OR(R263=6,R263=7),"-2",IF(OR(R263=8,R263=9),"-1",IF(OR(R263=10,R263=11),"0",IF(OR(R263=12,R263=13),"+1",IF(OR(R263=14,R263=15),"+2",IF(OR(R263=16,R263=17),"+3",IF(OR(R263=18,R263=19),"+4",IF(OR(R263=20,R263=21),"+5",IF(OR(R263=22,R263=23),"+6",IF(OR(R263=24,R263=25),"+7",IF(OR(R263=26,R263=27),"+8",IF(OR(R263=28,R263=29),"+9",IF(R263=30,"+10"," "))))))))))))))))</f>
        <v>+2</v>
      </c>
      <c r="T263" s="3" t="n">
        <v>15</v>
      </c>
      <c r="U263" s="1" t="str">
        <f aca="false">IF(T263=1,"-5",IF(OR(T263=2,T263=3),"-4",IF(OR(T263=4,T263=5),"-3",IF(OR(T263=6,T263=7),"-2",IF(OR(T263=8,T263=9),"-1",IF(OR(T263=10,T263=11),"0",IF(OR(T263=12,T263=13),"+1",IF(OR(T263=14,T263=15),"+2",IF(OR(T263=16,T263=17),"+3",IF(OR(T263=18,T263=19),"+4",IF(OR(T263=20,T263=21),"+5",IF(OR(T263=22,T263=23),"+6",IF(OR(T263=24,T263=25),"+7",IF(OR(T263=26,T263=27),"+8",IF(OR(T263=28,T263=29),"+9",IF(T263=30,"+10"," "))))))))))))))))</f>
        <v>+2</v>
      </c>
      <c r="V263" s="3" t="s">
        <v>1389</v>
      </c>
      <c r="W263" s="3" t="s">
        <v>1390</v>
      </c>
      <c r="X263" s="11" t="s">
        <v>1391</v>
      </c>
      <c r="Y263" s="11" t="s">
        <v>1392</v>
      </c>
      <c r="Z263" s="11" t="s">
        <v>37</v>
      </c>
      <c r="AA263" s="12" t="s">
        <v>37</v>
      </c>
    </row>
    <row r="264" customFormat="false" ht="16.4" hidden="false" customHeight="false" outlineLevel="0" collapsed="false">
      <c r="A264" s="15" t="s">
        <v>1393</v>
      </c>
      <c r="B264" s="3" t="s">
        <v>1387</v>
      </c>
      <c r="C264" s="3" t="s">
        <v>49</v>
      </c>
      <c r="D264" s="16" t="n">
        <v>3</v>
      </c>
      <c r="E264" s="3" t="n">
        <f aca="false">VLOOKUP(D264,'[1]REF Tables'!$A$2:$B$40,2)</f>
        <v>700</v>
      </c>
      <c r="F264" s="3" t="s">
        <v>30</v>
      </c>
      <c r="G264" s="3" t="n">
        <v>17</v>
      </c>
      <c r="H264" s="3" t="s">
        <v>1394</v>
      </c>
      <c r="I264" s="3" t="s">
        <v>42</v>
      </c>
      <c r="J264" s="3" t="n">
        <v>15</v>
      </c>
      <c r="K264" s="1" t="str">
        <f aca="false">IF(J264=1,"-5",IF(OR(J264=2,J264=3),"-4",IF(OR(J264=4,J264=5),"-3",IF(OR(J264=6,J264=7),"-2",IF(OR(J264=8,J264=9),"-1",IF(OR(J264=10,J264=11),"0",IF(OR(J264=12,J264=13),"+1",IF(OR(J264=14,J264=15),"+2",IF(OR(J264=16,J264=17),"+3",IF(OR(J264=18,J264=19),"+4",IF(OR(J264=20,J264=21),"+5",IF(OR(J264=22,J264=23),"+6",IF(OR(J264=24,J264=25),"+7",IF(OR(J264=26,J264=27),"+8",IF(OR(J264=28,J264=29),"+9",IF(J264=30,"+10"," "))))))))))))))))</f>
        <v>+2</v>
      </c>
      <c r="L264" s="3" t="n">
        <v>14</v>
      </c>
      <c r="M264" s="1" t="str">
        <f aca="false">IF(L264=1,"-5",IF(OR(L264=2,L264=3),"-4",IF(OR(L264=4,L264=5),"-3",IF(OR(L264=6,L264=7),"-2",IF(OR(L264=8,L264=9),"-1",IF(OR(L264=10,L264=11),"0",IF(OR(L264=12,L264=13),"+1",IF(OR(L264=14,L264=15),"+2",IF(OR(L264=16,L264=17),"+3",IF(OR(L264=18,L264=19),"+4",IF(OR(L264=20,L264=21),"+5",IF(OR(L264=22,L264=23),"+6",IF(OR(L264=24,L264=25),"+7",IF(OR(L264=26,L264=27),"+8",IF(OR(L264=28,L264=29),"+9",IF(L264=30,"+10"," "))))))))))))))))</f>
        <v>+2</v>
      </c>
      <c r="N264" s="3" t="n">
        <v>12</v>
      </c>
      <c r="O264" s="1" t="str">
        <f aca="false">IF(N264=1,"-5",IF(OR(N264=2,N264=3),"-4",IF(OR(N264=4,N264=5),"-3",IF(OR(N264=6,N264=7),"-2",IF(OR(N264=8,N264=9),"-1",IF(OR(N264=10,N264=11),"0",IF(OR(N264=12,N264=13),"+1",IF(OR(N264=14,N264=15),"+2",IF(OR(N264=16,N264=17),"+3",IF(OR(N264=18,N264=19),"+4",IF(OR(N264=20,N264=21),"+5",IF(OR(N264=22,N264=23),"+6",IF(OR(N264=24,N264=25),"+7",IF(OR(N264=26,N264=27),"+8",IF(OR(N264=28,N264=29),"+9",IF(N264=30,"+10"," "))))))))))))))))</f>
        <v>+1</v>
      </c>
      <c r="P264" s="3" t="n">
        <v>13</v>
      </c>
      <c r="Q264" s="1" t="str">
        <f aca="false">IF(P264=1,"-5",IF(OR(P264=2,P264=3),"-4",IF(OR(P264=4,P264=5),"-3",IF(OR(P264=6,P264=7),"-2",IF(OR(P264=8,P264=9),"-1",IF(OR(P264=10,P264=11),"0",IF(OR(P264=12,P264=13),"+1",IF(OR(P264=14,P264=15),"+2",IF(OR(P264=16,P264=17),"+3",IF(OR(P264=18,P264=19),"+4",IF(OR(P264=20,P264=21),"+5",IF(OR(P264=22,P264=23),"+6",IF(OR(P264=24,P264=25),"+7",IF(OR(P264=26,P264=27),"+8",IF(OR(P264=28,P264=29),"+9",IF(P264=30,"+10"," "))))))))))))))))</f>
        <v>+1</v>
      </c>
      <c r="R264" s="3" t="n">
        <v>13</v>
      </c>
      <c r="S264" s="1" t="str">
        <f aca="false">IF(R264=1,"-5",IF(OR(R264=2,R264=3),"-4",IF(OR(R264=4,R264=5),"-3",IF(OR(R264=6,R264=7),"-2",IF(OR(R264=8,R264=9),"-1",IF(OR(R264=10,R264=11),"0",IF(OR(R264=12,R264=13),"+1",IF(OR(R264=14,R264=15),"+2",IF(OR(R264=16,R264=17),"+3",IF(OR(R264=18,R264=19),"+4",IF(OR(R264=20,R264=21),"+5",IF(OR(R264=22,R264=23),"+6",IF(OR(R264=24,R264=25),"+7",IF(OR(R264=26,R264=27),"+8",IF(OR(R264=28,R264=29),"+9",IF(R264=30,"+10"," "))))))))))))))))</f>
        <v>+1</v>
      </c>
      <c r="T264" s="3" t="n">
        <v>10</v>
      </c>
      <c r="U264" s="1" t="str">
        <f aca="false">IF(T264=1,"-5",IF(OR(T264=2,T264=3),"-4",IF(OR(T264=4,T264=5),"-3",IF(OR(T264=6,T264=7),"-2",IF(OR(T264=8,T264=9),"-1",IF(OR(T264=10,T264=11),"0",IF(OR(T264=12,T264=13),"+1",IF(OR(T264=14,T264=15),"+2",IF(OR(T264=16,T264=17),"+3",IF(OR(T264=18,T264=19),"+4",IF(OR(T264=20,T264=21),"+5",IF(OR(T264=22,T264=23),"+6",IF(OR(T264=24,T264=25),"+7",IF(OR(T264=26,T264=27),"+8",IF(OR(T264=28,T264=29),"+9",IF(T264=30,"+10"," "))))))))))))))))</f>
        <v>0</v>
      </c>
      <c r="V264" s="3" t="s">
        <v>1395</v>
      </c>
      <c r="W264" s="3" t="s">
        <v>1390</v>
      </c>
      <c r="X264" s="11" t="s">
        <v>1396</v>
      </c>
      <c r="Y264" s="11" t="s">
        <v>1397</v>
      </c>
      <c r="Z264" s="11" t="s">
        <v>37</v>
      </c>
      <c r="AA264" s="12" t="s">
        <v>37</v>
      </c>
    </row>
    <row r="265" customFormat="false" ht="16.4" hidden="false" customHeight="false" outlineLevel="0" collapsed="false">
      <c r="A265" s="15" t="s">
        <v>1398</v>
      </c>
      <c r="B265" s="3" t="s">
        <v>1387</v>
      </c>
      <c r="C265" s="3" t="s">
        <v>106</v>
      </c>
      <c r="D265" s="16" t="n">
        <v>2</v>
      </c>
      <c r="E265" s="3" t="n">
        <f aca="false">VLOOKUP(D265,'[1]REF Tables'!$A$2:$B$40,2)</f>
        <v>450</v>
      </c>
      <c r="F265" s="3" t="s">
        <v>30</v>
      </c>
      <c r="G265" s="3" t="n">
        <v>14</v>
      </c>
      <c r="H265" s="3" t="s">
        <v>1022</v>
      </c>
      <c r="I265" s="3" t="s">
        <v>42</v>
      </c>
      <c r="J265" s="3" t="n">
        <v>12</v>
      </c>
      <c r="K265" s="1" t="str">
        <f aca="false">IF(J265=1,"-5",IF(OR(J265=2,J265=3),"-4",IF(OR(J265=4,J265=5),"-3",IF(OR(J265=6,J265=7),"-2",IF(OR(J265=8,J265=9),"-1",IF(OR(J265=10,J265=11),"0",IF(OR(J265=12,J265=13),"+1",IF(OR(J265=14,J265=15),"+2",IF(OR(J265=16,J265=17),"+3",IF(OR(J265=18,J265=19),"+4",IF(OR(J265=20,J265=21),"+5",IF(OR(J265=22,J265=23),"+6",IF(OR(J265=24,J265=25),"+7",IF(OR(J265=26,J265=27),"+8",IF(OR(J265=28,J265=29),"+9",IF(J265=30,"+10"," "))))))))))))))))</f>
        <v>+1</v>
      </c>
      <c r="L265" s="3" t="n">
        <v>15</v>
      </c>
      <c r="M265" s="1" t="str">
        <f aca="false">IF(L265=1,"-5",IF(OR(L265=2,L265=3),"-4",IF(OR(L265=4,L265=5),"-3",IF(OR(L265=6,L265=7),"-2",IF(OR(L265=8,L265=9),"-1",IF(OR(L265=10,L265=11),"0",IF(OR(L265=12,L265=13),"+1",IF(OR(L265=14,L265=15),"+2",IF(OR(L265=16,L265=17),"+3",IF(OR(L265=18,L265=19),"+4",IF(OR(L265=20,L265=21),"+5",IF(OR(L265=22,L265=23),"+6",IF(OR(L265=24,L265=25),"+7",IF(OR(L265=26,L265=27),"+8",IF(OR(L265=28,L265=29),"+9",IF(L265=30,"+10"," "))))))))))))))))</f>
        <v>+2</v>
      </c>
      <c r="N265" s="3" t="n">
        <v>12</v>
      </c>
      <c r="O265" s="1" t="str">
        <f aca="false">IF(N265=1,"-5",IF(OR(N265=2,N265=3),"-4",IF(OR(N265=4,N265=5),"-3",IF(OR(N265=6,N265=7),"-2",IF(OR(N265=8,N265=9),"-1",IF(OR(N265=10,N265=11),"0",IF(OR(N265=12,N265=13),"+1",IF(OR(N265=14,N265=15),"+2",IF(OR(N265=16,N265=17),"+3",IF(OR(N265=18,N265=19),"+4",IF(OR(N265=20,N265=21),"+5",IF(OR(N265=22,N265=23),"+6",IF(OR(N265=24,N265=25),"+7",IF(OR(N265=26,N265=27),"+8",IF(OR(N265=28,N265=29),"+9",IF(N265=30,"+10"," "))))))))))))))))</f>
        <v>+1</v>
      </c>
      <c r="P265" s="3" t="n">
        <v>13</v>
      </c>
      <c r="Q265" s="1" t="str">
        <f aca="false">IF(P265=1,"-5",IF(OR(P265=2,P265=3),"-4",IF(OR(P265=4,P265=5),"-3",IF(OR(P265=6,P265=7),"-2",IF(OR(P265=8,P265=9),"-1",IF(OR(P265=10,P265=11),"0",IF(OR(P265=12,P265=13),"+1",IF(OR(P265=14,P265=15),"+2",IF(OR(P265=16,P265=17),"+3",IF(OR(P265=18,P265=19),"+4",IF(OR(P265=20,P265=21),"+5",IF(OR(P265=22,P265=23),"+6",IF(OR(P265=24,P265=25),"+7",IF(OR(P265=26,P265=27),"+8",IF(OR(P265=28,P265=29),"+9",IF(P265=30,"+10"," "))))))))))))))))</f>
        <v>+1</v>
      </c>
      <c r="R265" s="3" t="n">
        <v>14</v>
      </c>
      <c r="S265" s="1" t="str">
        <f aca="false">IF(R265=1,"-5",IF(OR(R265=2,R265=3),"-4",IF(OR(R265=4,R265=5),"-3",IF(OR(R265=6,R265=7),"-2",IF(OR(R265=8,R265=9),"-1",IF(OR(R265=10,R265=11),"0",IF(OR(R265=12,R265=13),"+1",IF(OR(R265=14,R265=15),"+2",IF(OR(R265=16,R265=17),"+3",IF(OR(R265=18,R265=19),"+4",IF(OR(R265=20,R265=21),"+5",IF(OR(R265=22,R265=23),"+6",IF(OR(R265=24,R265=25),"+7",IF(OR(R265=26,R265=27),"+8",IF(OR(R265=28,R265=29),"+9",IF(R265=30,"+10"," "))))))))))))))))</f>
        <v>+2</v>
      </c>
      <c r="T265" s="3" t="n">
        <v>10</v>
      </c>
      <c r="U265" s="1" t="str">
        <f aca="false">IF(T265=1,"-5",IF(OR(T265=2,T265=3),"-4",IF(OR(T265=4,T265=5),"-3",IF(OR(T265=6,T265=7),"-2",IF(OR(T265=8,T265=9),"-1",IF(OR(T265=10,T265=11),"0",IF(OR(T265=12,T265=13),"+1",IF(OR(T265=14,T265=15),"+2",IF(OR(T265=16,T265=17),"+3",IF(OR(T265=18,T265=19),"+4",IF(OR(T265=20,T265=21),"+5",IF(OR(T265=22,T265=23),"+6",IF(OR(T265=24,T265=25),"+7",IF(OR(T265=26,T265=27),"+8",IF(OR(T265=28,T265=29),"+9",IF(T265=30,"+10"," "))))))))))))))))</f>
        <v>0</v>
      </c>
      <c r="V265" s="3" t="s">
        <v>1399</v>
      </c>
      <c r="W265" s="3" t="s">
        <v>1390</v>
      </c>
      <c r="X265" s="11" t="s">
        <v>1400</v>
      </c>
      <c r="Y265" s="11" t="s">
        <v>1401</v>
      </c>
      <c r="Z265" s="11" t="s">
        <v>37</v>
      </c>
      <c r="AA265" s="12" t="s">
        <v>37</v>
      </c>
    </row>
    <row r="266" customFormat="false" ht="16.4" hidden="false" customHeight="false" outlineLevel="0" collapsed="false">
      <c r="A266" s="15" t="s">
        <v>1402</v>
      </c>
      <c r="B266" s="3" t="s">
        <v>1387</v>
      </c>
      <c r="C266" s="3" t="s">
        <v>106</v>
      </c>
      <c r="D266" s="16" t="n">
        <v>6</v>
      </c>
      <c r="E266" s="6" t="n">
        <f aca="false">VLOOKUP(D266,'[1]REF Tables'!$A$2:$B$40,2)</f>
        <v>2300</v>
      </c>
      <c r="F266" s="3" t="s">
        <v>30</v>
      </c>
      <c r="G266" s="3" t="n">
        <v>17</v>
      </c>
      <c r="H266" s="3" t="s">
        <v>41</v>
      </c>
      <c r="I266" s="3" t="s">
        <v>42</v>
      </c>
      <c r="J266" s="3" t="n">
        <v>13</v>
      </c>
      <c r="K266" s="1" t="str">
        <f aca="false">IF(J266=1,"-5",IF(OR(J266=2,J266=3),"-4",IF(OR(J266=4,J266=5),"-3",IF(OR(J266=6,J266=7),"-2",IF(OR(J266=8,J266=9),"-1",IF(OR(J266=10,J266=11),"0",IF(OR(J266=12,J266=13),"+1",IF(OR(J266=14,J266=15),"+2",IF(OR(J266=16,J266=17),"+3",IF(OR(J266=18,J266=19),"+4",IF(OR(J266=20,J266=21),"+5",IF(OR(J266=22,J266=23),"+6",IF(OR(J266=24,J266=25),"+7",IF(OR(J266=26,J266=27),"+8",IF(OR(J266=28,J266=29),"+9",IF(J266=30,"+10"," "))))))))))))))))</f>
        <v>+1</v>
      </c>
      <c r="L266" s="3" t="n">
        <v>18</v>
      </c>
      <c r="M266" s="1" t="str">
        <f aca="false">IF(L266=1,"-5",IF(OR(L266=2,L266=3),"-4",IF(OR(L266=4,L266=5),"-3",IF(OR(L266=6,L266=7),"-2",IF(OR(L266=8,L266=9),"-1",IF(OR(L266=10,L266=11),"0",IF(OR(L266=12,L266=13),"+1",IF(OR(L266=14,L266=15),"+2",IF(OR(L266=16,L266=17),"+3",IF(OR(L266=18,L266=19),"+4",IF(OR(L266=20,L266=21),"+5",IF(OR(L266=22,L266=23),"+6",IF(OR(L266=24,L266=25),"+7",IF(OR(L266=26,L266=27),"+8",IF(OR(L266=28,L266=29),"+9",IF(L266=30,"+10"," "))))))))))))))))</f>
        <v>+4</v>
      </c>
      <c r="N266" s="3" t="n">
        <v>15</v>
      </c>
      <c r="O266" s="1" t="str">
        <f aca="false">IF(N266=1,"-5",IF(OR(N266=2,N266=3),"-4",IF(OR(N266=4,N266=5),"-3",IF(OR(N266=6,N266=7),"-2",IF(OR(N266=8,N266=9),"-1",IF(OR(N266=10,N266=11),"0",IF(OR(N266=12,N266=13),"+1",IF(OR(N266=14,N266=15),"+2",IF(OR(N266=16,N266=17),"+3",IF(OR(N266=18,N266=19),"+4",IF(OR(N266=20,N266=21),"+5",IF(OR(N266=22,N266=23),"+6",IF(OR(N266=24,N266=25),"+7",IF(OR(N266=26,N266=27),"+8",IF(OR(N266=28,N266=29),"+9",IF(N266=30,"+10"," "))))))))))))))))</f>
        <v>+2</v>
      </c>
      <c r="P266" s="3" t="n">
        <v>16</v>
      </c>
      <c r="Q266" s="1" t="str">
        <f aca="false">IF(P266=1,"-5",IF(OR(P266=2,P266=3),"-4",IF(OR(P266=4,P266=5),"-3",IF(OR(P266=6,P266=7),"-2",IF(OR(P266=8,P266=9),"-1",IF(OR(P266=10,P266=11),"0",IF(OR(P266=12,P266=13),"+1",IF(OR(P266=14,P266=15),"+2",IF(OR(P266=16,P266=17),"+3",IF(OR(P266=18,P266=19),"+4",IF(OR(P266=20,P266=21),"+5",IF(OR(P266=22,P266=23),"+6",IF(OR(P266=24,P266=25),"+7",IF(OR(P266=26,P266=27),"+8",IF(OR(P266=28,P266=29),"+9",IF(P266=30,"+10"," "))))))))))))))))</f>
        <v>+3</v>
      </c>
      <c r="R266" s="3" t="n">
        <v>17</v>
      </c>
      <c r="S266" s="1" t="str">
        <f aca="false">IF(R266=1,"-5",IF(OR(R266=2,R266=3),"-4",IF(OR(R266=4,R266=5),"-3",IF(OR(R266=6,R266=7),"-2",IF(OR(R266=8,R266=9),"-1",IF(OR(R266=10,R266=11),"0",IF(OR(R266=12,R266=13),"+1",IF(OR(R266=14,R266=15),"+2",IF(OR(R266=16,R266=17),"+3",IF(OR(R266=18,R266=19),"+4",IF(OR(R266=20,R266=21),"+5",IF(OR(R266=22,R266=23),"+6",IF(OR(R266=24,R266=25),"+7",IF(OR(R266=26,R266=27),"+8",IF(OR(R266=28,R266=29),"+9",IF(R266=30,"+10"," "))))))))))))))))</f>
        <v>+3</v>
      </c>
      <c r="T266" s="3" t="n">
        <v>12</v>
      </c>
      <c r="U266" s="1" t="str">
        <f aca="false">IF(T266=1,"-5",IF(OR(T266=2,T266=3),"-4",IF(OR(T266=4,T266=5),"-3",IF(OR(T266=6,T266=7),"-2",IF(OR(T266=8,T266=9),"-1",IF(OR(T266=10,T266=11),"0",IF(OR(T266=12,T266=13),"+1",IF(OR(T266=14,T266=15),"+2",IF(OR(T266=16,T266=17),"+3",IF(OR(T266=18,T266=19),"+4",IF(OR(T266=20,T266=21),"+5",IF(OR(T266=22,T266=23),"+6",IF(OR(T266=24,T266=25),"+7",IF(OR(T266=26,T266=27),"+8",IF(OR(T266=28,T266=29),"+9",IF(T266=30,"+10"," "))))))))))))))))</f>
        <v>+1</v>
      </c>
      <c r="V266" s="3" t="s">
        <v>1403</v>
      </c>
      <c r="W266" s="3" t="s">
        <v>1390</v>
      </c>
      <c r="X266" s="11" t="s">
        <v>1404</v>
      </c>
      <c r="Y266" s="11" t="s">
        <v>1405</v>
      </c>
      <c r="Z266" s="11" t="s">
        <v>37</v>
      </c>
      <c r="AA266" s="12" t="s">
        <v>37</v>
      </c>
    </row>
    <row r="267" customFormat="false" ht="16.4" hidden="false" customHeight="false" outlineLevel="0" collapsed="false">
      <c r="A267" s="15" t="s">
        <v>1406</v>
      </c>
      <c r="B267" s="3" t="s">
        <v>221</v>
      </c>
      <c r="C267" s="3" t="s">
        <v>222</v>
      </c>
      <c r="D267" s="16" t="n">
        <v>9</v>
      </c>
      <c r="E267" s="6" t="n">
        <f aca="false">VLOOKUP(D267,'[1]REF Tables'!$A$2:$B$40,2)</f>
        <v>5000</v>
      </c>
      <c r="F267" s="3" t="s">
        <v>50</v>
      </c>
      <c r="G267" s="3" t="n">
        <v>17</v>
      </c>
      <c r="H267" s="3" t="s">
        <v>1407</v>
      </c>
      <c r="I267" s="3" t="s">
        <v>42</v>
      </c>
      <c r="J267" s="3" t="n">
        <v>20</v>
      </c>
      <c r="K267" s="1" t="str">
        <f aca="false">IF(J267=1,"-5",IF(OR(J267=2,J267=3),"-4",IF(OR(J267=4,J267=5),"-3",IF(OR(J267=6,J267=7),"-2",IF(OR(J267=8,J267=9),"-1",IF(OR(J267=10,J267=11),"0",IF(OR(J267=12,J267=13),"+1",IF(OR(J267=14,J267=15),"+2",IF(OR(J267=16,J267=17),"+3",IF(OR(J267=18,J267=19),"+4",IF(OR(J267=20,J267=21),"+5",IF(OR(J267=22,J267=23),"+6",IF(OR(J267=24,J267=25),"+7",IF(OR(J267=26,J267=27),"+8",IF(OR(J267=28,J267=29),"+9",IF(J267=30,"+10"," "))))))))))))))))</f>
        <v>+5</v>
      </c>
      <c r="L267" s="3" t="n">
        <v>15</v>
      </c>
      <c r="M267" s="1" t="str">
        <f aca="false">IF(L267=1,"-5",IF(OR(L267=2,L267=3),"-4",IF(OR(L267=4,L267=5),"-3",IF(OR(L267=6,L267=7),"-2",IF(OR(L267=8,L267=9),"-1",IF(OR(L267=10,L267=11),"0",IF(OR(L267=12,L267=13),"+1",IF(OR(L267=14,L267=15),"+2",IF(OR(L267=16,L267=17),"+3",IF(OR(L267=18,L267=19),"+4",IF(OR(L267=20,L267=21),"+5",IF(OR(L267=22,L267=23),"+6",IF(OR(L267=24,L267=25),"+7",IF(OR(L267=26,L267=27),"+8",IF(OR(L267=28,L267=29),"+9",IF(L267=30,"+10"," "))))))))))))))))</f>
        <v>+2</v>
      </c>
      <c r="N267" s="3" t="n">
        <v>21</v>
      </c>
      <c r="O267" s="1" t="str">
        <f aca="false">IF(N267=1,"-5",IF(OR(N267=2,N267=3),"-4",IF(OR(N267=4,N267=5),"-3",IF(OR(N267=6,N267=7),"-2",IF(OR(N267=8,N267=9),"-1",IF(OR(N267=10,N267=11),"0",IF(OR(N267=12,N267=13),"+1",IF(OR(N267=14,N267=15),"+2",IF(OR(N267=16,N267=17),"+3",IF(OR(N267=18,N267=19),"+4",IF(OR(N267=20,N267=21),"+5",IF(OR(N267=22,N267=23),"+6",IF(OR(N267=24,N267=25),"+7",IF(OR(N267=26,N267=27),"+8",IF(OR(N267=28,N267=29),"+9",IF(N267=30,"+10"," "))))))))))))))))</f>
        <v>+5</v>
      </c>
      <c r="P267" s="3" t="n">
        <v>19</v>
      </c>
      <c r="Q267" s="1" t="str">
        <f aca="false">IF(P267=1,"-5",IF(OR(P267=2,P267=3),"-4",IF(OR(P267=4,P267=5),"-3",IF(OR(P267=6,P267=7),"-2",IF(OR(P267=8,P267=9),"-1",IF(OR(P267=10,P267=11),"0",IF(OR(P267=12,P267=13),"+1",IF(OR(P267=14,P267=15),"+2",IF(OR(P267=16,P267=17),"+3",IF(OR(P267=18,P267=19),"+4",IF(OR(P267=20,P267=21),"+5",IF(OR(P267=22,P267=23),"+6",IF(OR(P267=24,P267=25),"+7",IF(OR(P267=26,P267=27),"+8",IF(OR(P267=28,P267=29),"+9",IF(P267=30,"+10"," "))))))))))))))))</f>
        <v>+4</v>
      </c>
      <c r="R267" s="3" t="n">
        <v>17</v>
      </c>
      <c r="S267" s="1" t="str">
        <f aca="false">IF(R267=1,"-5",IF(OR(R267=2,R267=3),"-4",IF(OR(R267=4,R267=5),"-3",IF(OR(R267=6,R267=7),"-2",IF(OR(R267=8,R267=9),"-1",IF(OR(R267=10,R267=11),"0",IF(OR(R267=12,R267=13),"+1",IF(OR(R267=14,R267=15),"+2",IF(OR(R267=16,R267=17),"+3",IF(OR(R267=18,R267=19),"+4",IF(OR(R267=20,R267=21),"+5",IF(OR(R267=22,R267=23),"+6",IF(OR(R267=24,R267=25),"+7",IF(OR(R267=26,R267=27),"+8",IF(OR(R267=28,R267=29),"+9",IF(R267=30,"+10"," "))))))))))))))))</f>
        <v>+3</v>
      </c>
      <c r="T267" s="3" t="n">
        <v>16</v>
      </c>
      <c r="U267" s="1" t="str">
        <f aca="false">IF(T267=1,"-5",IF(OR(T267=2,T267=3),"-4",IF(OR(T267=4,T267=5),"-3",IF(OR(T267=6,T267=7),"-2",IF(OR(T267=8,T267=9),"-1",IF(OR(T267=10,T267=11),"0",IF(OR(T267=12,T267=13),"+1",IF(OR(T267=14,T267=15),"+2",IF(OR(T267=16,T267=17),"+3",IF(OR(T267=18,T267=19),"+4",IF(OR(T267=20,T267=21),"+5",IF(OR(T267=22,T267=23),"+6",IF(OR(T267=24,T267=25),"+7",IF(OR(T267=26,T267=27),"+8",IF(OR(T267=28,T267=29),"+9",IF(T267=30,"+10"," "))))))))))))))))</f>
        <v>+3</v>
      </c>
      <c r="V267" s="3" t="s">
        <v>1408</v>
      </c>
      <c r="W267" s="3" t="s">
        <v>1409</v>
      </c>
      <c r="X267" s="11" t="s">
        <v>1410</v>
      </c>
      <c r="Y267" s="11" t="s">
        <v>1411</v>
      </c>
      <c r="Z267" s="11" t="s">
        <v>37</v>
      </c>
      <c r="AA267" s="12" t="s">
        <v>37</v>
      </c>
    </row>
    <row r="268" customFormat="false" ht="16.4" hidden="false" customHeight="false" outlineLevel="0" collapsed="false">
      <c r="A268" s="15" t="s">
        <v>1412</v>
      </c>
      <c r="B268" s="3" t="s">
        <v>39</v>
      </c>
      <c r="C268" s="3" t="s">
        <v>40</v>
      </c>
      <c r="D268" s="16" t="n">
        <v>5</v>
      </c>
      <c r="E268" s="6" t="n">
        <f aca="false">VLOOKUP(D268,'[1]REF Tables'!$A$2:$B$40,2)</f>
        <v>1800</v>
      </c>
      <c r="F268" s="3" t="s">
        <v>30</v>
      </c>
      <c r="G268" s="3" t="n">
        <v>16</v>
      </c>
      <c r="H268" s="3" t="s">
        <v>1413</v>
      </c>
      <c r="I268" s="3" t="s">
        <v>42</v>
      </c>
      <c r="J268" s="3" t="n">
        <v>18</v>
      </c>
      <c r="K268" s="1" t="str">
        <f aca="false">IF(J268=1,"-5",IF(OR(J268=2,J268=3),"-4",IF(OR(J268=4,J268=5),"-3",IF(OR(J268=6,J268=7),"-2",IF(OR(J268=8,J268=9),"-1",IF(OR(J268=10,J268=11),"0",IF(OR(J268=12,J268=13),"+1",IF(OR(J268=14,J268=15),"+2",IF(OR(J268=16,J268=17),"+3",IF(OR(J268=18,J268=19),"+4",IF(OR(J268=20,J268=21),"+5",IF(OR(J268=22,J268=23),"+6",IF(OR(J268=24,J268=25),"+7",IF(OR(J268=26,J268=27),"+8",IF(OR(J268=28,J268=29),"+9",IF(J268=30,"+10"," "))))))))))))))))</f>
        <v>+4</v>
      </c>
      <c r="L268" s="3" t="n">
        <v>15</v>
      </c>
      <c r="M268" s="1" t="str">
        <f aca="false">IF(L268=1,"-5",IF(OR(L268=2,L268=3),"-4",IF(OR(L268=4,L268=5),"-3",IF(OR(L268=6,L268=7),"-2",IF(OR(L268=8,L268=9),"-1",IF(OR(L268=10,L268=11),"0",IF(OR(L268=12,L268=13),"+1",IF(OR(L268=14,L268=15),"+2",IF(OR(L268=16,L268=17),"+3",IF(OR(L268=18,L268=19),"+4",IF(OR(L268=20,L268=21),"+5",IF(OR(L268=22,L268=23),"+6",IF(OR(L268=24,L268=25),"+7",IF(OR(L268=26,L268=27),"+8",IF(OR(L268=28,L268=29),"+9",IF(L268=30,"+10"," "))))))))))))))))</f>
        <v>+2</v>
      </c>
      <c r="N268" s="3" t="n">
        <v>16</v>
      </c>
      <c r="O268" s="1" t="str">
        <f aca="false">IF(N268=1,"-5",IF(OR(N268=2,N268=3),"-4",IF(OR(N268=4,N268=5),"-3",IF(OR(N268=6,N268=7),"-2",IF(OR(N268=8,N268=9),"-1",IF(OR(N268=10,N268=11),"0",IF(OR(N268=12,N268=13),"+1",IF(OR(N268=14,N268=15),"+2",IF(OR(N268=16,N268=17),"+3",IF(OR(N268=18,N268=19),"+4",IF(OR(N268=20,N268=21),"+5",IF(OR(N268=22,N268=23),"+6",IF(OR(N268=24,N268=25),"+7",IF(OR(N268=26,N268=27),"+8",IF(OR(N268=28,N268=29),"+9",IF(N268=30,"+10"," "))))))))))))))))</f>
        <v>+3</v>
      </c>
      <c r="P268" s="3" t="n">
        <v>10</v>
      </c>
      <c r="Q268" s="1" t="str">
        <f aca="false">IF(P268=1,"-5",IF(OR(P268=2,P268=3),"-4",IF(OR(P268=4,P268=5),"-3",IF(OR(P268=6,P268=7),"-2",IF(OR(P268=8,P268=9),"-1",IF(OR(P268=10,P268=11),"0",IF(OR(P268=12,P268=13),"+1",IF(OR(P268=14,P268=15),"+2",IF(OR(P268=16,P268=17),"+3",IF(OR(P268=18,P268=19),"+4",IF(OR(P268=20,P268=21),"+5",IF(OR(P268=22,P268=23),"+6",IF(OR(P268=24,P268=25),"+7",IF(OR(P268=26,P268=27),"+8",IF(OR(P268=28,P268=29),"+9",IF(P268=30,"+10"," "))))))))))))))))</f>
        <v>0</v>
      </c>
      <c r="R268" s="3" t="n">
        <v>12</v>
      </c>
      <c r="S268" s="1" t="str">
        <f aca="false">IF(R268=1,"-5",IF(OR(R268=2,R268=3),"-4",IF(OR(R268=4,R268=5),"-3",IF(OR(R268=6,R268=7),"-2",IF(OR(R268=8,R268=9),"-1",IF(OR(R268=10,R268=11),"0",IF(OR(R268=12,R268=13),"+1",IF(OR(R268=14,R268=15),"+2",IF(OR(R268=16,R268=17),"+3",IF(OR(R268=18,R268=19),"+4",IF(OR(R268=20,R268=21),"+5",IF(OR(R268=22,R268=23),"+6",IF(OR(R268=24,R268=25),"+7",IF(OR(R268=26,R268=27),"+8",IF(OR(R268=28,R268=29),"+9",IF(R268=30,"+10"," "))))))))))))))))</f>
        <v>+1</v>
      </c>
      <c r="T268" s="3" t="n">
        <v>15</v>
      </c>
      <c r="U268" s="1" t="str">
        <f aca="false">IF(T268=1,"-5",IF(OR(T268=2,T268=3),"-4",IF(OR(T268=4,T268=5),"-3",IF(OR(T268=6,T268=7),"-2",IF(OR(T268=8,T268=9),"-1",IF(OR(T268=10,T268=11),"0",IF(OR(T268=12,T268=13),"+1",IF(OR(T268=14,T268=15),"+2",IF(OR(T268=16,T268=17),"+3",IF(OR(T268=18,T268=19),"+4",IF(OR(T268=20,T268=21),"+5",IF(OR(T268=22,T268=23),"+6",IF(OR(T268=24,T268=25),"+7",IF(OR(T268=26,T268=27),"+8",IF(OR(T268=28,T268=29),"+9",IF(T268=30,"+10"," "))))))))))))))))</f>
        <v>+2</v>
      </c>
      <c r="V268" s="3" t="s">
        <v>1414</v>
      </c>
      <c r="W268" s="3" t="s">
        <v>66</v>
      </c>
      <c r="X268" s="11" t="s">
        <v>1415</v>
      </c>
      <c r="Y268" s="11" t="s">
        <v>1416</v>
      </c>
      <c r="Z268" s="11" t="s">
        <v>1417</v>
      </c>
      <c r="AA268" s="12" t="s">
        <v>37</v>
      </c>
    </row>
    <row r="269" customFormat="false" ht="16.4" hidden="false" customHeight="false" outlineLevel="0" collapsed="false">
      <c r="A269" s="15" t="s">
        <v>1418</v>
      </c>
      <c r="B269" s="3" t="s">
        <v>1419</v>
      </c>
      <c r="C269" s="3" t="s">
        <v>222</v>
      </c>
      <c r="D269" s="16" t="n">
        <v>0.5</v>
      </c>
      <c r="E269" s="3" t="n">
        <f aca="false">VLOOKUP(D269,'[1]REF Tables'!$A$2:$B$40,2)</f>
        <v>100</v>
      </c>
      <c r="F269" s="3" t="s">
        <v>30</v>
      </c>
      <c r="G269" s="3" t="n">
        <v>15</v>
      </c>
      <c r="H269" s="3" t="s">
        <v>1087</v>
      </c>
      <c r="I269" s="3" t="s">
        <v>42</v>
      </c>
      <c r="J269" s="3" t="n">
        <v>14</v>
      </c>
      <c r="K269" s="1" t="str">
        <f aca="false">IF(J269=1,"-5",IF(OR(J269=2,J269=3),"-4",IF(OR(J269=4,J269=5),"-3",IF(OR(J269=6,J269=7),"-2",IF(OR(J269=8,J269=9),"-1",IF(OR(J269=10,J269=11),"0",IF(OR(J269=12,J269=13),"+1",IF(OR(J269=14,J269=15),"+2",IF(OR(J269=16,J269=17),"+3",IF(OR(J269=18,J269=19),"+4",IF(OR(J269=20,J269=21),"+5",IF(OR(J269=22,J269=23),"+6",IF(OR(J269=24,J269=25),"+7",IF(OR(J269=26,J269=27),"+8",IF(OR(J269=28,J269=29),"+9",IF(J269=30,"+10"," "))))))))))))))))</f>
        <v>+2</v>
      </c>
      <c r="L269" s="3" t="n">
        <v>12</v>
      </c>
      <c r="M269" s="1" t="str">
        <f aca="false">IF(L269=1,"-5",IF(OR(L269=2,L269=3),"-4",IF(OR(L269=4,L269=5),"-3",IF(OR(L269=6,L269=7),"-2",IF(OR(L269=8,L269=9),"-1",IF(OR(L269=10,L269=11),"0",IF(OR(L269=12,L269=13),"+1",IF(OR(L269=14,L269=15),"+2",IF(OR(L269=16,L269=17),"+3",IF(OR(L269=18,L269=19),"+4",IF(OR(L269=20,L269=21),"+5",IF(OR(L269=22,L269=23),"+6",IF(OR(L269=24,L269=25),"+7",IF(OR(L269=26,L269=27),"+8",IF(OR(L269=28,L269=29),"+9",IF(L269=30,"+10"," "))))))))))))))))</f>
        <v>+1</v>
      </c>
      <c r="N269" s="3" t="n">
        <v>11</v>
      </c>
      <c r="O269" s="1" t="str">
        <f aca="false">IF(N269=1,"-5",IF(OR(N269=2,N269=3),"-4",IF(OR(N269=4,N269=5),"-3",IF(OR(N269=6,N269=7),"-2",IF(OR(N269=8,N269=9),"-1",IF(OR(N269=10,N269=11),"0",IF(OR(N269=12,N269=13),"+1",IF(OR(N269=14,N269=15),"+2",IF(OR(N269=16,N269=17),"+3",IF(OR(N269=18,N269=19),"+4",IF(OR(N269=20,N269=21),"+5",IF(OR(N269=22,N269=23),"+6",IF(OR(N269=24,N269=25),"+7",IF(OR(N269=26,N269=27),"+8",IF(OR(N269=28,N269=29),"+9",IF(N269=30,"+10"," "))))))))))))))))</f>
        <v>0</v>
      </c>
      <c r="P269" s="3" t="n">
        <v>6</v>
      </c>
      <c r="Q269" s="1" t="str">
        <f aca="false">IF(P269=1,"-5",IF(OR(P269=2,P269=3),"-4",IF(OR(P269=4,P269=5),"-3",IF(OR(P269=6,P269=7),"-2",IF(OR(P269=8,P269=9),"-1",IF(OR(P269=10,P269=11),"0",IF(OR(P269=12,P269=13),"+1",IF(OR(P269=14,P269=15),"+2",IF(OR(P269=16,P269=17),"+3",IF(OR(P269=18,P269=19),"+4",IF(OR(P269=20,P269=21),"+5",IF(OR(P269=22,P269=23),"+6",IF(OR(P269=24,P269=25),"+7",IF(OR(P269=26,P269=27),"+8",IF(OR(P269=28,P269=29),"+9",IF(P269=30,"+10"," "))))))))))))))))</f>
        <v>-2</v>
      </c>
      <c r="R269" s="3" t="n">
        <v>10</v>
      </c>
      <c r="S269" s="1" t="str">
        <f aca="false">IF(R269=1,"-5",IF(OR(R269=2,R269=3),"-4",IF(OR(R269=4,R269=5),"-3",IF(OR(R269=6,R269=7),"-2",IF(OR(R269=8,R269=9),"-1",IF(OR(R269=10,R269=11),"0",IF(OR(R269=12,R269=13),"+1",IF(OR(R269=14,R269=15),"+2",IF(OR(R269=16,R269=17),"+3",IF(OR(R269=18,R269=19),"+4",IF(OR(R269=20,R269=21),"+5",IF(OR(R269=22,R269=23),"+6",IF(OR(R269=24,R269=25),"+7",IF(OR(R269=26,R269=27),"+8",IF(OR(R269=28,R269=29),"+9",IF(R269=30,"+10"," "))))))))))))))))</f>
        <v>0</v>
      </c>
      <c r="T269" s="3" t="n">
        <v>7</v>
      </c>
      <c r="U269" s="1" t="str">
        <f aca="false">IF(T269=1,"-5",IF(OR(T269=2,T269=3),"-4",IF(OR(T269=4,T269=5),"-3",IF(OR(T269=6,T269=7),"-2",IF(OR(T269=8,T269=9),"-1",IF(OR(T269=10,T269=11),"0",IF(OR(T269=12,T269=13),"+1",IF(OR(T269=14,T269=15),"+2",IF(OR(T269=16,T269=17),"+3",IF(OR(T269=18,T269=19),"+4",IF(OR(T269=20,T269=21),"+5",IF(OR(T269=22,T269=23),"+6",IF(OR(T269=24,T269=25),"+7",IF(OR(T269=26,T269=27),"+8",IF(OR(T269=28,T269=29),"+9",IF(T269=30,"+10"," "))))))))))))))))</f>
        <v>-2</v>
      </c>
      <c r="V269" s="3" t="s">
        <v>37</v>
      </c>
      <c r="W269" s="3" t="s">
        <v>1420</v>
      </c>
      <c r="X269" s="11" t="s">
        <v>1421</v>
      </c>
      <c r="Y269" s="11" t="s">
        <v>1422</v>
      </c>
      <c r="Z269" s="11" t="s">
        <v>37</v>
      </c>
      <c r="AA269" s="12" t="s">
        <v>37</v>
      </c>
    </row>
    <row r="270" customFormat="false" ht="16.4" hidden="false" customHeight="false" outlineLevel="0" collapsed="false">
      <c r="A270" s="15" t="s">
        <v>1423</v>
      </c>
      <c r="B270" s="3" t="s">
        <v>1419</v>
      </c>
      <c r="C270" s="3" t="s">
        <v>222</v>
      </c>
      <c r="D270" s="16" t="n">
        <v>0.5</v>
      </c>
      <c r="E270" s="3" t="n">
        <f aca="false">VLOOKUP(D270,'[1]REF Tables'!$A$2:$B$40,2)</f>
        <v>100</v>
      </c>
      <c r="F270" s="3" t="s">
        <v>30</v>
      </c>
      <c r="G270" s="3" t="n">
        <v>13</v>
      </c>
      <c r="H270" s="3" t="s">
        <v>503</v>
      </c>
      <c r="I270" s="3" t="s">
        <v>42</v>
      </c>
      <c r="J270" s="3" t="n">
        <v>14</v>
      </c>
      <c r="K270" s="1" t="str">
        <f aca="false">IF(J270=1,"-5",IF(OR(J270=2,J270=3),"-4",IF(OR(J270=4,J270=5),"-3",IF(OR(J270=6,J270=7),"-2",IF(OR(J270=8,J270=9),"-1",IF(OR(J270=10,J270=11),"0",IF(OR(J270=12,J270=13),"+1",IF(OR(J270=14,J270=15),"+2",IF(OR(J270=16,J270=17),"+3",IF(OR(J270=18,J270=19),"+4",IF(OR(J270=20,J270=21),"+5",IF(OR(J270=22,J270=23),"+6",IF(OR(J270=24,J270=25),"+7",IF(OR(J270=26,J270=27),"+8",IF(OR(J270=28,J270=29),"+9",IF(J270=30,"+10"," "))))))))))))))))</f>
        <v>+2</v>
      </c>
      <c r="L270" s="3" t="n">
        <v>14</v>
      </c>
      <c r="M270" s="1" t="str">
        <f aca="false">IF(L270=1,"-5",IF(OR(L270=2,L270=3),"-4",IF(OR(L270=4,L270=5),"-3",IF(OR(L270=6,L270=7),"-2",IF(OR(L270=8,L270=9),"-1",IF(OR(L270=10,L270=11),"0",IF(OR(L270=12,L270=13),"+1",IF(OR(L270=14,L270=15),"+2",IF(OR(L270=16,L270=17),"+3",IF(OR(L270=18,L270=19),"+4",IF(OR(L270=20,L270=21),"+5",IF(OR(L270=22,L270=23),"+6",IF(OR(L270=24,L270=25),"+7",IF(OR(L270=26,L270=27),"+8",IF(OR(L270=28,L270=29),"+9",IF(L270=30,"+10"," "))))))))))))))))</f>
        <v>+2</v>
      </c>
      <c r="N270" s="3" t="n">
        <v>12</v>
      </c>
      <c r="O270" s="1" t="str">
        <f aca="false">IF(N270=1,"-5",IF(OR(N270=2,N270=3),"-4",IF(OR(N270=4,N270=5),"-3",IF(OR(N270=6,N270=7),"-2",IF(OR(N270=8,N270=9),"-1",IF(OR(N270=10,N270=11),"0",IF(OR(N270=12,N270=13),"+1",IF(OR(N270=14,N270=15),"+2",IF(OR(N270=16,N270=17),"+3",IF(OR(N270=18,N270=19),"+4",IF(OR(N270=20,N270=21),"+5",IF(OR(N270=22,N270=23),"+6",IF(OR(N270=24,N270=25),"+7",IF(OR(N270=26,N270=27),"+8",IF(OR(N270=28,N270=29),"+9",IF(N270=30,"+10"," "))))))))))))))))</f>
        <v>+1</v>
      </c>
      <c r="P270" s="3" t="n">
        <v>8</v>
      </c>
      <c r="Q270" s="1" t="str">
        <f aca="false">IF(P270=1,"-5",IF(OR(P270=2,P270=3),"-4",IF(OR(P270=4,P270=5),"-3",IF(OR(P270=6,P270=7),"-2",IF(OR(P270=8,P270=9),"-1",IF(OR(P270=10,P270=11),"0",IF(OR(P270=12,P270=13),"+1",IF(OR(P270=14,P270=15),"+2",IF(OR(P270=16,P270=17),"+3",IF(OR(P270=18,P270=19),"+4",IF(OR(P270=20,P270=21),"+5",IF(OR(P270=22,P270=23),"+6",IF(OR(P270=24,P270=25),"+7",IF(OR(P270=26,P270=27),"+8",IF(OR(P270=28,P270=29),"+9",IF(P270=30,"+10"," "))))))))))))))))</f>
        <v>-1</v>
      </c>
      <c r="R270" s="3" t="n">
        <v>12</v>
      </c>
      <c r="S270" s="1" t="str">
        <f aca="false">IF(R270=1,"-5",IF(OR(R270=2,R270=3),"-4",IF(OR(R270=4,R270=5),"-3",IF(OR(R270=6,R270=7),"-2",IF(OR(R270=8,R270=9),"-1",IF(OR(R270=10,R270=11),"0",IF(OR(R270=12,R270=13),"+1",IF(OR(R270=14,R270=15),"+2",IF(OR(R270=16,R270=17),"+3",IF(OR(R270=18,R270=19),"+4",IF(OR(R270=20,R270=21),"+5",IF(OR(R270=22,R270=23),"+6",IF(OR(R270=24,R270=25),"+7",IF(OR(R270=26,R270=27),"+8",IF(OR(R270=28,R270=29),"+9",IF(R270=30,"+10"," "))))))))))))))))</f>
        <v>+1</v>
      </c>
      <c r="T270" s="3" t="n">
        <v>8</v>
      </c>
      <c r="U270" s="1" t="str">
        <f aca="false">IF(T270=1,"-5",IF(OR(T270=2,T270=3),"-4",IF(OR(T270=4,T270=5),"-3",IF(OR(T270=6,T270=7),"-2",IF(OR(T270=8,T270=9),"-1",IF(OR(T270=10,T270=11),"0",IF(OR(T270=12,T270=13),"+1",IF(OR(T270=14,T270=15),"+2",IF(OR(T270=16,T270=17),"+3",IF(OR(T270=18,T270=19),"+4",IF(OR(T270=20,T270=21),"+5",IF(OR(T270=22,T270=23),"+6",IF(OR(T270=24,T270=25),"+7",IF(OR(T270=26,T270=27),"+8",IF(OR(T270=28,T270=29),"+9",IF(T270=30,"+10"," "))))))))))))))))</f>
        <v>-1</v>
      </c>
      <c r="V270" s="3" t="s">
        <v>1424</v>
      </c>
      <c r="W270" s="3" t="s">
        <v>1420</v>
      </c>
      <c r="X270" s="11" t="s">
        <v>1425</v>
      </c>
      <c r="Y270" s="11" t="s">
        <v>1426</v>
      </c>
      <c r="Z270" s="11" t="s">
        <v>37</v>
      </c>
      <c r="AA270" s="12" t="s">
        <v>37</v>
      </c>
    </row>
    <row r="271" customFormat="false" ht="16.4" hidden="false" customHeight="false" outlineLevel="0" collapsed="false">
      <c r="A271" s="15" t="s">
        <v>1427</v>
      </c>
      <c r="B271" s="3" t="s">
        <v>1428</v>
      </c>
      <c r="C271" s="3" t="s">
        <v>222</v>
      </c>
      <c r="D271" s="16" t="n">
        <v>4</v>
      </c>
      <c r="E271" s="6" t="n">
        <f aca="false">VLOOKUP(D271,'[1]REF Tables'!$A$2:$B$40,2)</f>
        <v>1100</v>
      </c>
      <c r="F271" s="3" t="s">
        <v>30</v>
      </c>
      <c r="G271" s="3" t="n">
        <v>14</v>
      </c>
      <c r="H271" s="3" t="s">
        <v>1429</v>
      </c>
      <c r="I271" s="3" t="s">
        <v>42</v>
      </c>
      <c r="J271" s="3" t="n">
        <v>17</v>
      </c>
      <c r="K271" s="1" t="str">
        <f aca="false">IF(J271=1,"-5",IF(OR(J271=2,J271=3),"-4",IF(OR(J271=4,J271=5),"-3",IF(OR(J271=6,J271=7),"-2",IF(OR(J271=8,J271=9),"-1",IF(OR(J271=10,J271=11),"0",IF(OR(J271=12,J271=13),"+1",IF(OR(J271=14,J271=15),"+2",IF(OR(J271=16,J271=17),"+3",IF(OR(J271=18,J271=19),"+4",IF(OR(J271=20,J271=21),"+5",IF(OR(J271=22,J271=23),"+6",IF(OR(J271=24,J271=25),"+7",IF(OR(J271=26,J271=27),"+8",IF(OR(J271=28,J271=29),"+9",IF(J271=30,"+10"," "))))))))))))))))</f>
        <v>+3</v>
      </c>
      <c r="L271" s="3" t="n">
        <v>15</v>
      </c>
      <c r="M271" s="1" t="str">
        <f aca="false">IF(L271=1,"-5",IF(OR(L271=2,L271=3),"-4",IF(OR(L271=4,L271=5),"-3",IF(OR(L271=6,L271=7),"-2",IF(OR(L271=8,L271=9),"-1",IF(OR(L271=10,L271=11),"0",IF(OR(L271=12,L271=13),"+1",IF(OR(L271=14,L271=15),"+2",IF(OR(L271=16,L271=17),"+3",IF(OR(L271=18,L271=19),"+4",IF(OR(L271=20,L271=21),"+5",IF(OR(L271=22,L271=23),"+6",IF(OR(L271=24,L271=25),"+7",IF(OR(L271=26,L271=27),"+8",IF(OR(L271=28,L271=29),"+9",IF(L271=30,"+10"," "))))))))))))))))</f>
        <v>+2</v>
      </c>
      <c r="N271" s="3" t="n">
        <v>15</v>
      </c>
      <c r="O271" s="1" t="str">
        <f aca="false">IF(N271=1,"-5",IF(OR(N271=2,N271=3),"-4",IF(OR(N271=4,N271=5),"-3",IF(OR(N271=6,N271=7),"-2",IF(OR(N271=8,N271=9),"-1",IF(OR(N271=10,N271=11),"0",IF(OR(N271=12,N271=13),"+1",IF(OR(N271=14,N271=15),"+2",IF(OR(N271=16,N271=17),"+3",IF(OR(N271=18,N271=19),"+4",IF(OR(N271=20,N271=21),"+5",IF(OR(N271=22,N271=23),"+6",IF(OR(N271=24,N271=25),"+7",IF(OR(N271=26,N271=27),"+8",IF(OR(N271=28,N271=29),"+9",IF(N271=30,"+10"," "))))))))))))))))</f>
        <v>+2</v>
      </c>
      <c r="P271" s="3" t="n">
        <v>10</v>
      </c>
      <c r="Q271" s="1" t="str">
        <f aca="false">IF(P271=1,"-5",IF(OR(P271=2,P271=3),"-4",IF(OR(P271=4,P271=5),"-3",IF(OR(P271=6,P271=7),"-2",IF(OR(P271=8,P271=9),"-1",IF(OR(P271=10,P271=11),"0",IF(OR(P271=12,P271=13),"+1",IF(OR(P271=14,P271=15),"+2",IF(OR(P271=16,P271=17),"+3",IF(OR(P271=18,P271=19),"+4",IF(OR(P271=20,P271=21),"+5",IF(OR(P271=22,P271=23),"+6",IF(OR(P271=24,P271=25),"+7",IF(OR(P271=26,P271=27),"+8",IF(OR(P271=28,P271=29),"+9",IF(P271=30,"+10"," "))))))))))))))))</f>
        <v>0</v>
      </c>
      <c r="R271" s="3" t="n">
        <v>11</v>
      </c>
      <c r="S271" s="1" t="str">
        <f aca="false">IF(R271=1,"-5",IF(OR(R271=2,R271=3),"-4",IF(OR(R271=4,R271=5),"-3",IF(OR(R271=6,R271=7),"-2",IF(OR(R271=8,R271=9),"-1",IF(OR(R271=10,R271=11),"0",IF(OR(R271=12,R271=13),"+1",IF(OR(R271=14,R271=15),"+2",IF(OR(R271=16,R271=17),"+3",IF(OR(R271=18,R271=19),"+4",IF(OR(R271=20,R271=21),"+5",IF(OR(R271=22,R271=23),"+6",IF(OR(R271=24,R271=25),"+7",IF(OR(R271=26,R271=27),"+8",IF(OR(R271=28,R271=29),"+9",IF(R271=30,"+10"," "))))))))))))))))</f>
        <v>0</v>
      </c>
      <c r="T271" s="3" t="n">
        <v>13</v>
      </c>
      <c r="U271" s="1" t="str">
        <f aca="false">IF(T271=1,"-5",IF(OR(T271=2,T271=3),"-4",IF(OR(T271=4,T271=5),"-3",IF(OR(T271=6,T271=7),"-2",IF(OR(T271=8,T271=9),"-1",IF(OR(T271=10,T271=11),"0",IF(OR(T271=12,T271=13),"+1",IF(OR(T271=14,T271=15),"+2",IF(OR(T271=16,T271=17),"+3",IF(OR(T271=18,T271=19),"+4",IF(OR(T271=20,T271=21),"+5",IF(OR(T271=22,T271=23),"+6",IF(OR(T271=24,T271=25),"+7",IF(OR(T271=26,T271=27),"+8",IF(OR(T271=28,T271=29),"+9",IF(T271=30,"+10"," "))))))))))))))))</f>
        <v>+1</v>
      </c>
      <c r="V271" s="3" t="s">
        <v>1430</v>
      </c>
      <c r="W271" s="3" t="s">
        <v>1431</v>
      </c>
      <c r="X271" s="11" t="s">
        <v>1421</v>
      </c>
      <c r="Y271" s="11" t="s">
        <v>1432</v>
      </c>
      <c r="Z271" s="11" t="s">
        <v>37</v>
      </c>
      <c r="AA271" s="12" t="s">
        <v>37</v>
      </c>
    </row>
    <row r="272" customFormat="false" ht="16.4" hidden="false" customHeight="false" outlineLevel="0" collapsed="false">
      <c r="A272" s="15" t="s">
        <v>1433</v>
      </c>
      <c r="B272" s="3" t="s">
        <v>77</v>
      </c>
      <c r="C272" s="3" t="s">
        <v>222</v>
      </c>
      <c r="D272" s="16" t="n">
        <v>0.25</v>
      </c>
      <c r="E272" s="3" t="n">
        <f aca="false">VLOOKUP(D272,'[1]REF Tables'!$A$2:$B$40,2)</f>
        <v>50</v>
      </c>
      <c r="F272" s="3" t="s">
        <v>30</v>
      </c>
      <c r="G272" s="3" t="n">
        <v>12</v>
      </c>
      <c r="H272" s="3" t="s">
        <v>152</v>
      </c>
      <c r="I272" s="3" t="s">
        <v>42</v>
      </c>
      <c r="J272" s="3" t="n">
        <v>14</v>
      </c>
      <c r="K272" s="1" t="str">
        <f aca="false">IF(J272=1,"-5",IF(OR(J272=2,J272=3),"-4",IF(OR(J272=4,J272=5),"-3",IF(OR(J272=6,J272=7),"-2",IF(OR(J272=8,J272=9),"-1",IF(OR(J272=10,J272=11),"0",IF(OR(J272=12,J272=13),"+1",IF(OR(J272=14,J272=15),"+2",IF(OR(J272=16,J272=17),"+3",IF(OR(J272=18,J272=19),"+4",IF(OR(J272=20,J272=21),"+5",IF(OR(J272=22,J272=23),"+6",IF(OR(J272=24,J272=25),"+7",IF(OR(J272=26,J272=27),"+8",IF(OR(J272=28,J272=29),"+9",IF(J272=30,"+10"," "))))))))))))))))</f>
        <v>+2</v>
      </c>
      <c r="L272" s="3" t="n">
        <v>8</v>
      </c>
      <c r="M272" s="1" t="str">
        <f aca="false">IF(L272=1,"-5",IF(OR(L272=2,L272=3),"-4",IF(OR(L272=4,L272=5),"-3",IF(OR(L272=6,L272=7),"-2",IF(OR(L272=8,L272=9),"-1",IF(OR(L272=10,L272=11),"0",IF(OR(L272=12,L272=13),"+1",IF(OR(L272=14,L272=15),"+2",IF(OR(L272=16,L272=17),"+3",IF(OR(L272=18,L272=19),"+4",IF(OR(L272=20,L272=21),"+5",IF(OR(L272=22,L272=23),"+6",IF(OR(L272=24,L272=25),"+7",IF(OR(L272=26,L272=27),"+8",IF(OR(L272=28,L272=29),"+9",IF(L272=30,"+10"," "))))))))))))))))</f>
        <v>-1</v>
      </c>
      <c r="N272" s="3" t="n">
        <v>12</v>
      </c>
      <c r="O272" s="1" t="str">
        <f aca="false">IF(N272=1,"-5",IF(OR(N272=2,N272=3),"-4",IF(OR(N272=4,N272=5),"-3",IF(OR(N272=6,N272=7),"-2",IF(OR(N272=8,N272=9),"-1",IF(OR(N272=10,N272=11),"0",IF(OR(N272=12,N272=13),"+1",IF(OR(N272=14,N272=15),"+2",IF(OR(N272=16,N272=17),"+3",IF(OR(N272=18,N272=19),"+4",IF(OR(N272=20,N272=21),"+5",IF(OR(N272=22,N272=23),"+6",IF(OR(N272=24,N272=25),"+7",IF(OR(N272=26,N272=27),"+8",IF(OR(N272=28,N272=29),"+9",IF(N272=30,"+10"," "))))))))))))))))</f>
        <v>+1</v>
      </c>
      <c r="P272" s="3" t="n">
        <v>5</v>
      </c>
      <c r="Q272" s="1" t="str">
        <f aca="false">IF(P272=1,"-5",IF(OR(P272=2,P272=3),"-4",IF(OR(P272=4,P272=5),"-3",IF(OR(P272=6,P272=7),"-2",IF(OR(P272=8,P272=9),"-1",IF(OR(P272=10,P272=11),"0",IF(OR(P272=12,P272=13),"+1",IF(OR(P272=14,P272=15),"+2",IF(OR(P272=16,P272=17),"+3",IF(OR(P272=18,P272=19),"+4",IF(OR(P272=20,P272=21),"+5",IF(OR(P272=22,P272=23),"+6",IF(OR(P272=24,P272=25),"+7",IF(OR(P272=26,P272=27),"+8",IF(OR(P272=28,P272=29),"+9",IF(P272=30,"+10"," "))))))))))))))))</f>
        <v>-3</v>
      </c>
      <c r="R272" s="3" t="n">
        <v>5</v>
      </c>
      <c r="S272" s="1" t="str">
        <f aca="false">IF(R272=1,"-5",IF(OR(R272=2,R272=3),"-4",IF(OR(R272=4,R272=5),"-3",IF(OR(R272=6,R272=7),"-2",IF(OR(R272=8,R272=9),"-1",IF(OR(R272=10,R272=11),"0",IF(OR(R272=12,R272=13),"+1",IF(OR(R272=14,R272=15),"+2",IF(OR(R272=16,R272=17),"+3",IF(OR(R272=18,R272=19),"+4",IF(OR(R272=20,R272=21),"+5",IF(OR(R272=22,R272=23),"+6",IF(OR(R272=24,R272=25),"+7",IF(OR(R272=26,R272=27),"+8",IF(OR(R272=28,R272=29),"+9",IF(R272=30,"+10"," "))))))))))))))))</f>
        <v>-3</v>
      </c>
      <c r="T272" s="3" t="n">
        <v>5</v>
      </c>
      <c r="U272" s="1" t="str">
        <f aca="false">IF(T272=1,"-5",IF(OR(T272=2,T272=3),"-4",IF(OR(T272=4,T272=5),"-3",IF(OR(T272=6,T272=7),"-2",IF(OR(T272=8,T272=9),"-1",IF(OR(T272=10,T272=11),"0",IF(OR(T272=12,T272=13),"+1",IF(OR(T272=14,T272=15),"+2",IF(OR(T272=16,T272=17),"+3",IF(OR(T272=18,T272=19),"+4",IF(OR(T272=20,T272=21),"+5",IF(OR(T272=22,T272=23),"+6",IF(OR(T272=24,T272=25),"+7",IF(OR(T272=26,T272=27),"+8",IF(OR(T272=28,T272=29),"+9",IF(T272=30,"+10"," "))))))))))))))))</f>
        <v>-3</v>
      </c>
      <c r="V272" s="3" t="s">
        <v>37</v>
      </c>
      <c r="W272" s="3" t="s">
        <v>1434</v>
      </c>
      <c r="X272" s="11" t="s">
        <v>1435</v>
      </c>
      <c r="Y272" s="11" t="s">
        <v>1436</v>
      </c>
      <c r="Z272" s="11" t="s">
        <v>1437</v>
      </c>
      <c r="AA272" s="12" t="s">
        <v>37</v>
      </c>
    </row>
    <row r="273" customFormat="false" ht="16.4" hidden="false" customHeight="false" outlineLevel="0" collapsed="false">
      <c r="A273" s="15" t="s">
        <v>1438</v>
      </c>
      <c r="B273" s="3" t="s">
        <v>1419</v>
      </c>
      <c r="C273" s="3" t="s">
        <v>222</v>
      </c>
      <c r="D273" s="16" t="n">
        <v>1</v>
      </c>
      <c r="E273" s="3" t="n">
        <f aca="false">VLOOKUP(D273,'[1]REF Tables'!$A$2:$B$40,2)</f>
        <v>200</v>
      </c>
      <c r="F273" s="3" t="s">
        <v>30</v>
      </c>
      <c r="G273" s="3" t="n">
        <v>14</v>
      </c>
      <c r="H273" s="3" t="s">
        <v>503</v>
      </c>
      <c r="I273" s="3" t="s">
        <v>42</v>
      </c>
      <c r="J273" s="3" t="n">
        <v>12</v>
      </c>
      <c r="K273" s="1" t="str">
        <f aca="false">IF(J273=1,"-5",IF(OR(J273=2,J273=3),"-4",IF(OR(J273=4,J273=5),"-3",IF(OR(J273=6,J273=7),"-2",IF(OR(J273=8,J273=9),"-1",IF(OR(J273=10,J273=11),"0",IF(OR(J273=12,J273=13),"+1",IF(OR(J273=14,J273=15),"+2",IF(OR(J273=16,J273=17),"+3",IF(OR(J273=18,J273=19),"+4",IF(OR(J273=20,J273=21),"+5",IF(OR(J273=22,J273=23),"+6",IF(OR(J273=24,J273=25),"+7",IF(OR(J273=26,J273=27),"+8",IF(OR(J273=28,J273=29),"+9",IF(J273=30,"+10"," "))))))))))))))))</f>
        <v>+1</v>
      </c>
      <c r="L273" s="3" t="n">
        <v>14</v>
      </c>
      <c r="M273" s="1" t="str">
        <f aca="false">IF(L273=1,"-5",IF(OR(L273=2,L273=3),"-4",IF(OR(L273=4,L273=5),"-3",IF(OR(L273=6,L273=7),"-2",IF(OR(L273=8,L273=9),"-1",IF(OR(L273=10,L273=11),"0",IF(OR(L273=12,L273=13),"+1",IF(OR(L273=14,L273=15),"+2",IF(OR(L273=16,L273=17),"+3",IF(OR(L273=18,L273=19),"+4",IF(OR(L273=20,L273=21),"+5",IF(OR(L273=22,L273=23),"+6",IF(OR(L273=24,L273=25),"+7",IF(OR(L273=26,L273=27),"+8",IF(OR(L273=28,L273=29),"+9",IF(L273=30,"+10"," "))))))))))))))))</f>
        <v>+2</v>
      </c>
      <c r="N273" s="3" t="n">
        <v>12</v>
      </c>
      <c r="O273" s="1" t="str">
        <f aca="false">IF(N273=1,"-5",IF(OR(N273=2,N273=3),"-4",IF(OR(N273=4,N273=5),"-3",IF(OR(N273=6,N273=7),"-2",IF(OR(N273=8,N273=9),"-1",IF(OR(N273=10,N273=11),"0",IF(OR(N273=12,N273=13),"+1",IF(OR(N273=14,N273=15),"+2",IF(OR(N273=16,N273=17),"+3",IF(OR(N273=18,N273=19),"+4",IF(OR(N273=20,N273=21),"+5",IF(OR(N273=22,N273=23),"+6",IF(OR(N273=24,N273=25),"+7",IF(OR(N273=26,N273=27),"+8",IF(OR(N273=28,N273=29),"+9",IF(N273=30,"+10"," "))))))))))))))))</f>
        <v>+1</v>
      </c>
      <c r="P273" s="3" t="n">
        <v>8</v>
      </c>
      <c r="Q273" s="1" t="str">
        <f aca="false">IF(P273=1,"-5",IF(OR(P273=2,P273=3),"-4",IF(OR(P273=4,P273=5),"-3",IF(OR(P273=6,P273=7),"-2",IF(OR(P273=8,P273=9),"-1",IF(OR(P273=10,P273=11),"0",IF(OR(P273=12,P273=13),"+1",IF(OR(P273=14,P273=15),"+2",IF(OR(P273=16,P273=17),"+3",IF(OR(P273=18,P273=19),"+4",IF(OR(P273=20,P273=21),"+5",IF(OR(P273=22,P273=23),"+6",IF(OR(P273=24,P273=25),"+7",IF(OR(P273=26,P273=27),"+8",IF(OR(P273=28,P273=29),"+9",IF(P273=30,"+10"," "))))))))))))))))</f>
        <v>-1</v>
      </c>
      <c r="R273" s="3" t="n">
        <v>10</v>
      </c>
      <c r="S273" s="1" t="str">
        <f aca="false">IF(R273=1,"-5",IF(OR(R273=2,R273=3),"-4",IF(OR(R273=4,R273=5),"-3",IF(OR(R273=6,R273=7),"-2",IF(OR(R273=8,R273=9),"-1",IF(OR(R273=10,R273=11),"0",IF(OR(R273=12,R273=13),"+1",IF(OR(R273=14,R273=15),"+2",IF(OR(R273=16,R273=17),"+3",IF(OR(R273=18,R273=19),"+4",IF(OR(R273=20,R273=21),"+5",IF(OR(R273=22,R273=23),"+6",IF(OR(R273=24,R273=25),"+7",IF(OR(R273=26,R273=27),"+8",IF(OR(R273=28,R273=29),"+9",IF(R273=30,"+10"," "))))))))))))))))</f>
        <v>0</v>
      </c>
      <c r="T273" s="3" t="n">
        <v>8</v>
      </c>
      <c r="U273" s="1" t="str">
        <f aca="false">IF(T273=1,"-5",IF(OR(T273=2,T273=3),"-4",IF(OR(T273=4,T273=5),"-3",IF(OR(T273=6,T273=7),"-2",IF(OR(T273=8,T273=9),"-1",IF(OR(T273=10,T273=11),"0",IF(OR(T273=12,T273=13),"+1",IF(OR(T273=14,T273=15),"+2",IF(OR(T273=16,T273=17),"+3",IF(OR(T273=18,T273=19),"+4",IF(OR(T273=20,T273=21),"+5",IF(OR(T273=22,T273=23),"+6",IF(OR(T273=24,T273=25),"+7",IF(OR(T273=26,T273=27),"+8",IF(OR(T273=28,T273=29),"+9",IF(T273=30,"+10"," "))))))))))))))))</f>
        <v>-1</v>
      </c>
      <c r="V273" s="3" t="s">
        <v>1189</v>
      </c>
      <c r="W273" s="3" t="s">
        <v>1420</v>
      </c>
      <c r="X273" s="11" t="s">
        <v>1421</v>
      </c>
      <c r="Y273" s="11" t="s">
        <v>1439</v>
      </c>
      <c r="Z273" s="11" t="s">
        <v>37</v>
      </c>
      <c r="AA273" s="12" t="s">
        <v>37</v>
      </c>
    </row>
    <row r="274" customFormat="false" ht="16.4" hidden="false" customHeight="false" outlineLevel="0" collapsed="false">
      <c r="A274" s="15" t="s">
        <v>1440</v>
      </c>
      <c r="B274" s="3" t="s">
        <v>1419</v>
      </c>
      <c r="C274" s="3" t="s">
        <v>222</v>
      </c>
      <c r="D274" s="16" t="n">
        <v>2</v>
      </c>
      <c r="E274" s="3" t="n">
        <f aca="false">VLOOKUP(D274,'[1]REF Tables'!$A$2:$B$40,2)</f>
        <v>450</v>
      </c>
      <c r="F274" s="3" t="s">
        <v>30</v>
      </c>
      <c r="G274" s="3" t="n">
        <v>15</v>
      </c>
      <c r="H274" s="3" t="s">
        <v>1394</v>
      </c>
      <c r="I274" s="3" t="s">
        <v>42</v>
      </c>
      <c r="J274" s="3" t="n">
        <v>16</v>
      </c>
      <c r="K274" s="1" t="str">
        <f aca="false">IF(J274=1,"-5",IF(OR(J274=2,J274=3),"-4",IF(OR(J274=4,J274=5),"-3",IF(OR(J274=6,J274=7),"-2",IF(OR(J274=8,J274=9),"-1",IF(OR(J274=10,J274=11),"0",IF(OR(J274=12,J274=13),"+1",IF(OR(J274=14,J274=15),"+2",IF(OR(J274=16,J274=17),"+3",IF(OR(J274=18,J274=19),"+4",IF(OR(J274=20,J274=21),"+5",IF(OR(J274=22,J274=23),"+6",IF(OR(J274=24,J274=25),"+7",IF(OR(J274=26,J274=27),"+8",IF(OR(J274=28,J274=29),"+9",IF(J274=30,"+10"," "))))))))))))))))</f>
        <v>+3</v>
      </c>
      <c r="L274" s="3" t="n">
        <v>14</v>
      </c>
      <c r="M274" s="1" t="str">
        <f aca="false">IF(L274=1,"-5",IF(OR(L274=2,L274=3),"-4",IF(OR(L274=4,L274=5),"-3",IF(OR(L274=6,L274=7),"-2",IF(OR(L274=8,L274=9),"-1",IF(OR(L274=10,L274=11),"0",IF(OR(L274=12,L274=13),"+1",IF(OR(L274=14,L274=15),"+2",IF(OR(L274=16,L274=17),"+3",IF(OR(L274=18,L274=19),"+4",IF(OR(L274=20,L274=21),"+5",IF(OR(L274=22,L274=23),"+6",IF(OR(L274=24,L274=25),"+7",IF(OR(L274=26,L274=27),"+8",IF(OR(L274=28,L274=29),"+9",IF(L274=30,"+10"," "))))))))))))))))</f>
        <v>+2</v>
      </c>
      <c r="N274" s="3" t="n">
        <v>13</v>
      </c>
      <c r="O274" s="1" t="str">
        <f aca="false">IF(N274=1,"-5",IF(OR(N274=2,N274=3),"-4",IF(OR(N274=4,N274=5),"-3",IF(OR(N274=6,N274=7),"-2",IF(OR(N274=8,N274=9),"-1",IF(OR(N274=10,N274=11),"0",IF(OR(N274=12,N274=13),"+1",IF(OR(N274=14,N274=15),"+2",IF(OR(N274=16,N274=17),"+3",IF(OR(N274=18,N274=19),"+4",IF(OR(N274=20,N274=21),"+5",IF(OR(N274=22,N274=23),"+6",IF(OR(N274=24,N274=25),"+7",IF(OR(N274=26,N274=27),"+8",IF(OR(N274=28,N274=29),"+9",IF(N274=30,"+10"," "))))))))))))))))</f>
        <v>+1</v>
      </c>
      <c r="P274" s="3" t="n">
        <v>8</v>
      </c>
      <c r="Q274" s="1" t="str">
        <f aca="false">IF(P274=1,"-5",IF(OR(P274=2,P274=3),"-4",IF(OR(P274=4,P274=5),"-3",IF(OR(P274=6,P274=7),"-2",IF(OR(P274=8,P274=9),"-1",IF(OR(P274=10,P274=11),"0",IF(OR(P274=12,P274=13),"+1",IF(OR(P274=14,P274=15),"+2",IF(OR(P274=16,P274=17),"+3",IF(OR(P274=18,P274=19),"+4",IF(OR(P274=20,P274=21),"+5",IF(OR(P274=22,P274=23),"+6",IF(OR(P274=24,P274=25),"+7",IF(OR(P274=26,P274=27),"+8",IF(OR(P274=28,P274=29),"+9",IF(P274=30,"+10"," "))))))))))))))))</f>
        <v>-1</v>
      </c>
      <c r="R274" s="3" t="n">
        <v>11</v>
      </c>
      <c r="S274" s="1" t="str">
        <f aca="false">IF(R274=1,"-5",IF(OR(R274=2,R274=3),"-4",IF(OR(R274=4,R274=5),"-3",IF(OR(R274=6,R274=7),"-2",IF(OR(R274=8,R274=9),"-1",IF(OR(R274=10,R274=11),"0",IF(OR(R274=12,R274=13),"+1",IF(OR(R274=14,R274=15),"+2",IF(OR(R274=16,R274=17),"+3",IF(OR(R274=18,R274=19),"+4",IF(OR(R274=20,R274=21),"+5",IF(OR(R274=22,R274=23),"+6",IF(OR(R274=24,R274=25),"+7",IF(OR(R274=26,R274=27),"+8",IF(OR(R274=28,R274=29),"+9",IF(R274=30,"+10"," "))))))))))))))))</f>
        <v>0</v>
      </c>
      <c r="T274" s="3" t="n">
        <v>9</v>
      </c>
      <c r="U274" s="1" t="str">
        <f aca="false">IF(T274=1,"-5",IF(OR(T274=2,T274=3),"-4",IF(OR(T274=4,T274=5),"-3",IF(OR(T274=6,T274=7),"-2",IF(OR(T274=8,T274=9),"-1",IF(OR(T274=10,T274=11),"0",IF(OR(T274=12,T274=13),"+1",IF(OR(T274=14,T274=15),"+2",IF(OR(T274=16,T274=17),"+3",IF(OR(T274=18,T274=19),"+4",IF(OR(T274=20,T274=21),"+5",IF(OR(T274=22,T274=23),"+6",IF(OR(T274=24,T274=25),"+7",IF(OR(T274=26,T274=27),"+8",IF(OR(T274=28,T274=29),"+9",IF(T274=30,"+10"," "))))))))))))))))</f>
        <v>-1</v>
      </c>
      <c r="V274" s="3" t="s">
        <v>37</v>
      </c>
      <c r="W274" s="3" t="s">
        <v>1420</v>
      </c>
      <c r="X274" s="11" t="s">
        <v>1421</v>
      </c>
      <c r="Y274" s="11" t="s">
        <v>1441</v>
      </c>
      <c r="Z274" s="11" t="s">
        <v>37</v>
      </c>
      <c r="AA274" s="12" t="s">
        <v>37</v>
      </c>
    </row>
    <row r="275" customFormat="false" ht="16.4" hidden="false" customHeight="false" outlineLevel="0" collapsed="false">
      <c r="A275" s="15" t="s">
        <v>1442</v>
      </c>
      <c r="B275" s="3" t="s">
        <v>1443</v>
      </c>
      <c r="C275" s="3" t="s">
        <v>29</v>
      </c>
      <c r="D275" s="16" t="n">
        <v>0.5</v>
      </c>
      <c r="E275" s="3" t="n">
        <f aca="false">VLOOKUP(D275,'[1]REF Tables'!$A$2:$B$40,2)</f>
        <v>100</v>
      </c>
      <c r="F275" s="3" t="s">
        <v>165</v>
      </c>
      <c r="G275" s="3" t="n">
        <v>15</v>
      </c>
      <c r="H275" s="3" t="s">
        <v>1444</v>
      </c>
      <c r="I275" s="3" t="s">
        <v>160</v>
      </c>
      <c r="J275" s="3" t="n">
        <v>15</v>
      </c>
      <c r="K275" s="1" t="str">
        <f aca="false">IF(J275=1,"-5",IF(OR(J275=2,J275=3),"-4",IF(OR(J275=4,J275=5),"-3",IF(OR(J275=6,J275=7),"-2",IF(OR(J275=8,J275=9),"-1",IF(OR(J275=10,J275=11),"0",IF(OR(J275=12,J275=13),"+1",IF(OR(J275=14,J275=15),"+2",IF(OR(J275=16,J275=17),"+3",IF(OR(J275=18,J275=19),"+4",IF(OR(J275=20,J275=21),"+5",IF(OR(J275=22,J275=23),"+6",IF(OR(J275=24,J275=25),"+7",IF(OR(J275=26,J275=27),"+8",IF(OR(J275=28,J275=29),"+9",IF(J275=30,"+10"," "))))))))))))))))</f>
        <v>+2</v>
      </c>
      <c r="L275" s="3" t="n">
        <v>14</v>
      </c>
      <c r="M275" s="1" t="str">
        <f aca="false">IF(L275=1,"-5",IF(OR(L275=2,L275=3),"-4",IF(OR(L275=4,L275=5),"-3",IF(OR(L275=6,L275=7),"-2",IF(OR(L275=8,L275=9),"-1",IF(OR(L275=10,L275=11),"0",IF(OR(L275=12,L275=13),"+1",IF(OR(L275=14,L275=15),"+2",IF(OR(L275=16,L275=17),"+3",IF(OR(L275=18,L275=19),"+4",IF(OR(L275=20,L275=21),"+5",IF(OR(L275=22,L275=23),"+6",IF(OR(L275=24,L275=25),"+7",IF(OR(L275=26,L275=27),"+8",IF(OR(L275=28,L275=29),"+9",IF(L275=30,"+10"," "))))))))))))))))</f>
        <v>+2</v>
      </c>
      <c r="N275" s="3" t="n">
        <v>14</v>
      </c>
      <c r="O275" s="1" t="str">
        <f aca="false">IF(N275=1,"-5",IF(OR(N275=2,N275=3),"-4",IF(OR(N275=4,N275=5),"-3",IF(OR(N275=6,N275=7),"-2",IF(OR(N275=8,N275=9),"-1",IF(OR(N275=10,N275=11),"0",IF(OR(N275=12,N275=13),"+1",IF(OR(N275=14,N275=15),"+2",IF(OR(N275=16,N275=17),"+3",IF(OR(N275=18,N275=19),"+4",IF(OR(N275=20,N275=21),"+5",IF(OR(N275=22,N275=23),"+6",IF(OR(N275=24,N275=25),"+7",IF(OR(N275=26,N275=27),"+8",IF(OR(N275=28,N275=29),"+9",IF(N275=30,"+10"," "))))))))))))))))</f>
        <v>+2</v>
      </c>
      <c r="P275" s="3" t="n">
        <v>12</v>
      </c>
      <c r="Q275" s="1" t="str">
        <f aca="false">IF(P275=1,"-5",IF(OR(P275=2,P275=3),"-4",IF(OR(P275=4,P275=5),"-3",IF(OR(P275=6,P275=7),"-2",IF(OR(P275=8,P275=9),"-1",IF(OR(P275=10,P275=11),"0",IF(OR(P275=12,P275=13),"+1",IF(OR(P275=14,P275=15),"+2",IF(OR(P275=16,P275=17),"+3",IF(OR(P275=18,P275=19),"+4",IF(OR(P275=20,P275=21),"+5",IF(OR(P275=22,P275=23),"+6",IF(OR(P275=24,P275=25),"+7",IF(OR(P275=26,P275=27),"+8",IF(OR(P275=28,P275=29),"+9",IF(P275=30,"+10"," "))))))))))))))))</f>
        <v>+1</v>
      </c>
      <c r="R275" s="3" t="n">
        <v>10</v>
      </c>
      <c r="S275" s="1" t="str">
        <f aca="false">IF(R275=1,"-5",IF(OR(R275=2,R275=3),"-4",IF(OR(R275=4,R275=5),"-3",IF(OR(R275=6,R275=7),"-2",IF(OR(R275=8,R275=9),"-1",IF(OR(R275=10,R275=11),"0",IF(OR(R275=12,R275=13),"+1",IF(OR(R275=14,R275=15),"+2",IF(OR(R275=16,R275=17),"+3",IF(OR(R275=18,R275=19),"+4",IF(OR(R275=20,R275=21),"+5",IF(OR(R275=22,R275=23),"+6",IF(OR(R275=24,R275=25),"+7",IF(OR(R275=26,R275=27),"+8",IF(OR(R275=28,R275=29),"+9",IF(R275=30,"+10"," "))))))))))))))))</f>
        <v>0</v>
      </c>
      <c r="T275" s="3" t="n">
        <v>9</v>
      </c>
      <c r="U275" s="1" t="str">
        <f aca="false">IF(T275=1,"-5",IF(OR(T275=2,T275=3),"-4",IF(OR(T275=4,T275=5),"-3",IF(OR(T275=6,T275=7),"-2",IF(OR(T275=8,T275=9),"-1",IF(OR(T275=10,T275=11),"0",IF(OR(T275=12,T275=13),"+1",IF(OR(T275=14,T275=15),"+2",IF(OR(T275=16,T275=17),"+3",IF(OR(T275=18,T275=19),"+4",IF(OR(T275=20,T275=21),"+5",IF(OR(T275=22,T275=23),"+6",IF(OR(T275=24,T275=25),"+7",IF(OR(T275=26,T275=27),"+8",IF(OR(T275=28,T275=29),"+9",IF(T275=30,"+10"," "))))))))))))))))</f>
        <v>-1</v>
      </c>
      <c r="V275" s="3" t="s">
        <v>1445</v>
      </c>
      <c r="W275" s="3" t="s">
        <v>1446</v>
      </c>
      <c r="X275" s="11" t="s">
        <v>1447</v>
      </c>
      <c r="Y275" s="11" t="s">
        <v>1448</v>
      </c>
      <c r="Z275" s="11" t="s">
        <v>37</v>
      </c>
      <c r="AA275" s="12" t="s">
        <v>37</v>
      </c>
    </row>
    <row r="276" customFormat="false" ht="16.4" hidden="false" customHeight="false" outlineLevel="0" collapsed="false">
      <c r="A276" s="14" t="s">
        <v>1449</v>
      </c>
      <c r="B276" s="1" t="s">
        <v>1450</v>
      </c>
      <c r="C276" s="1" t="s">
        <v>85</v>
      </c>
      <c r="D276" s="5" t="n">
        <v>0.25</v>
      </c>
      <c r="E276" s="3" t="n">
        <f aca="false">VLOOKUP(D276,'[1]REF Tables'!$A$2:$B$40,2)</f>
        <v>50</v>
      </c>
      <c r="F276" s="1" t="s">
        <v>165</v>
      </c>
      <c r="G276" s="1" t="n">
        <v>15</v>
      </c>
      <c r="H276" s="1" t="s">
        <v>1252</v>
      </c>
      <c r="I276" s="3" t="s">
        <v>42</v>
      </c>
      <c r="J276" s="1" t="n">
        <v>8</v>
      </c>
      <c r="K276" s="1" t="str">
        <f aca="false">IF(J276=1,"-5",IF(OR(J276=2,J276=3),"-4",IF(OR(J276=4,J276=5),"-3",IF(OR(J276=6,J276=7),"-2",IF(OR(J276=8,J276=9),"-1",IF(OR(J276=10,J276=11),"0",IF(OR(J276=12,J276=13),"+1",IF(OR(J276=14,J276=15),"+2",IF(OR(J276=16,J276=17),"+3",IF(OR(J276=18,J276=19),"+4",IF(OR(J276=20,J276=21),"+5",IF(OR(J276=22,J276=23),"+6",IF(OR(J276=24,J276=25),"+7",IF(OR(J276=26,J276=27),"+8",IF(OR(J276=28,J276=29),"+9",IF(J276=30,"+10"," "))))))))))))))))</f>
        <v>-1</v>
      </c>
      <c r="L276" s="1" t="n">
        <v>14</v>
      </c>
      <c r="M276" s="1" t="str">
        <f aca="false">IF(L276=1,"-5",IF(OR(L276=2,L276=3),"-4",IF(OR(L276=4,L276=5),"-3",IF(OR(L276=6,L276=7),"-2",IF(OR(L276=8,L276=9),"-1",IF(OR(L276=10,L276=11),"0",IF(OR(L276=12,L276=13),"+1",IF(OR(L276=14,L276=15),"+2",IF(OR(L276=16,L276=17),"+3",IF(OR(L276=18,L276=19),"+4",IF(OR(L276=20,L276=21),"+5",IF(OR(L276=22,L276=23),"+6",IF(OR(L276=24,L276=25),"+7",IF(OR(L276=26,L276=27),"+8",IF(OR(L276=28,L276=29),"+9",IF(L276=30,"+10"," "))))))))))))))))</f>
        <v>+2</v>
      </c>
      <c r="N276" s="1" t="n">
        <v>10</v>
      </c>
      <c r="O276" s="1" t="str">
        <f aca="false">IF(N276=1,"-5",IF(OR(N276=2,N276=3),"-4",IF(OR(N276=4,N276=5),"-3",IF(OR(N276=6,N276=7),"-2",IF(OR(N276=8,N276=9),"-1",IF(OR(N276=10,N276=11),"0",IF(OR(N276=12,N276=13),"+1",IF(OR(N276=14,N276=15),"+2",IF(OR(N276=16,N276=17),"+3",IF(OR(N276=18,N276=19),"+4",IF(OR(N276=20,N276=21),"+5",IF(OR(N276=22,N276=23),"+6",IF(OR(N276=24,N276=25),"+7",IF(OR(N276=26,N276=27),"+8",IF(OR(N276=28,N276=29),"+9",IF(N276=30,"+10"," "))))))))))))))))</f>
        <v>0</v>
      </c>
      <c r="P276" s="1" t="n">
        <v>10</v>
      </c>
      <c r="Q276" s="1" t="str">
        <f aca="false">IF(P276=1,"-5",IF(OR(P276=2,P276=3),"-4",IF(OR(P276=4,P276=5),"-3",IF(OR(P276=6,P276=7),"-2",IF(OR(P276=8,P276=9),"-1",IF(OR(P276=10,P276=11),"0",IF(OR(P276=12,P276=13),"+1",IF(OR(P276=14,P276=15),"+2",IF(OR(P276=16,P276=17),"+3",IF(OR(P276=18,P276=19),"+4",IF(OR(P276=20,P276=21),"+5",IF(OR(P276=22,P276=23),"+6",IF(OR(P276=24,P276=25),"+7",IF(OR(P276=26,P276=27),"+8",IF(OR(P276=28,P276=29),"+9",IF(P276=30,"+10"," "))))))))))))))))</f>
        <v>0</v>
      </c>
      <c r="R276" s="1" t="n">
        <v>8</v>
      </c>
      <c r="S276" s="1" t="str">
        <f aca="false">IF(R276=1,"-5",IF(OR(R276=2,R276=3),"-4",IF(OR(R276=4,R276=5),"-3",IF(OR(R276=6,R276=7),"-2",IF(OR(R276=8,R276=9),"-1",IF(OR(R276=10,R276=11),"0",IF(OR(R276=12,R276=13),"+1",IF(OR(R276=14,R276=15),"+2",IF(OR(R276=16,R276=17),"+3",IF(OR(R276=18,R276=19),"+4",IF(OR(R276=20,R276=21),"+5",IF(OR(R276=22,R276=23),"+6",IF(OR(R276=24,R276=25),"+7",IF(OR(R276=26,R276=27),"+8",IF(OR(R276=28,R276=29),"+9",IF(R276=30,"+10"," "))))))))))))))))</f>
        <v>-1</v>
      </c>
      <c r="T276" s="1" t="n">
        <v>8</v>
      </c>
      <c r="U276" s="1" t="str">
        <f aca="false">IF(T276=1,"-5",IF(OR(T276=2,T276=3),"-4",IF(OR(T276=4,T276=5),"-3",IF(OR(T276=6,T276=7),"-2",IF(OR(T276=8,T276=9),"-1",IF(OR(T276=10,T276=11),"0",IF(OR(T276=12,T276=13),"+1",IF(OR(T276=14,T276=15),"+2",IF(OR(T276=16,T276=17),"+3",IF(OR(T276=18,T276=19),"+4",IF(OR(T276=20,T276=21),"+5",IF(OR(T276=22,T276=23),"+6",IF(OR(T276=24,T276=25),"+7",IF(OR(T276=26,T276=27),"+8",IF(OR(T276=28,T276=29),"+9",IF(T276=30,"+10"," "))))))))))))))))</f>
        <v>-1</v>
      </c>
      <c r="V276" s="1" t="s">
        <v>142</v>
      </c>
      <c r="W276" s="1" t="s">
        <v>1451</v>
      </c>
      <c r="X276" s="2" t="s">
        <v>1452</v>
      </c>
      <c r="Y276" s="2" t="s">
        <v>1453</v>
      </c>
      <c r="Z276" s="2" t="s">
        <v>37</v>
      </c>
      <c r="AA276" s="1" t="s">
        <v>37</v>
      </c>
    </row>
    <row r="277" customFormat="false" ht="16.4" hidden="false" customHeight="false" outlineLevel="0" collapsed="false">
      <c r="A277" s="15" t="s">
        <v>1454</v>
      </c>
      <c r="B277" s="3" t="s">
        <v>1450</v>
      </c>
      <c r="C277" s="3" t="s">
        <v>85</v>
      </c>
      <c r="D277" s="16" t="n">
        <v>1</v>
      </c>
      <c r="E277" s="3" t="n">
        <f aca="false">VLOOKUP(D277,'[1]REF Tables'!$A$2:$B$40,2)</f>
        <v>200</v>
      </c>
      <c r="F277" s="3" t="s">
        <v>165</v>
      </c>
      <c r="G277" s="3" t="n">
        <v>17</v>
      </c>
      <c r="H277" s="3" t="s">
        <v>1455</v>
      </c>
      <c r="I277" s="3" t="s">
        <v>42</v>
      </c>
      <c r="J277" s="3" t="n">
        <v>10</v>
      </c>
      <c r="K277" s="1" t="str">
        <f aca="false">IF(J277=1,"-5",IF(OR(J277=2,J277=3),"-4",IF(OR(J277=4,J277=5),"-3",IF(OR(J277=6,J277=7),"-2",IF(OR(J277=8,J277=9),"-1",IF(OR(J277=10,J277=11),"0",IF(OR(J277=12,J277=13),"+1",IF(OR(J277=14,J277=15),"+2",IF(OR(J277=16,J277=17),"+3",IF(OR(J277=18,J277=19),"+4",IF(OR(J277=20,J277=21),"+5",IF(OR(J277=22,J277=23),"+6",IF(OR(J277=24,J277=25),"+7",IF(OR(J277=26,J277=27),"+8",IF(OR(J277=28,J277=29),"+9",IF(J277=30,"+10"," "))))))))))))))))</f>
        <v>0</v>
      </c>
      <c r="L277" s="3" t="n">
        <v>14</v>
      </c>
      <c r="M277" s="1" t="str">
        <f aca="false">IF(L277=1,"-5",IF(OR(L277=2,L277=3),"-4",IF(OR(L277=4,L277=5),"-3",IF(OR(L277=6,L277=7),"-2",IF(OR(L277=8,L277=9),"-1",IF(OR(L277=10,L277=11),"0",IF(OR(L277=12,L277=13),"+1",IF(OR(L277=14,L277=15),"+2",IF(OR(L277=16,L277=17),"+3",IF(OR(L277=18,L277=19),"+4",IF(OR(L277=20,L277=21),"+5",IF(OR(L277=22,L277=23),"+6",IF(OR(L277=24,L277=25),"+7",IF(OR(L277=26,L277=27),"+8",IF(OR(L277=28,L277=29),"+9",IF(L277=30,"+10"," "))))))))))))))))</f>
        <v>+2</v>
      </c>
      <c r="N277" s="3" t="n">
        <v>10</v>
      </c>
      <c r="O277" s="1" t="str">
        <f aca="false">IF(N277=1,"-5",IF(OR(N277=2,N277=3),"-4",IF(OR(N277=4,N277=5),"-3",IF(OR(N277=6,N277=7),"-2",IF(OR(N277=8,N277=9),"-1",IF(OR(N277=10,N277=11),"0",IF(OR(N277=12,N277=13),"+1",IF(OR(N277=14,N277=15),"+2",IF(OR(N277=16,N277=17),"+3",IF(OR(N277=18,N277=19),"+4",IF(OR(N277=20,N277=21),"+5",IF(OR(N277=22,N277=23),"+6",IF(OR(N277=24,N277=25),"+7",IF(OR(N277=26,N277=27),"+8",IF(OR(N277=28,N277=29),"+9",IF(N277=30,"+10"," "))))))))))))))))</f>
        <v>0</v>
      </c>
      <c r="P277" s="3" t="n">
        <v>10</v>
      </c>
      <c r="Q277" s="1" t="str">
        <f aca="false">IF(P277=1,"-5",IF(OR(P277=2,P277=3),"-4",IF(OR(P277=4,P277=5),"-3",IF(OR(P277=6,P277=7),"-2",IF(OR(P277=8,P277=9),"-1",IF(OR(P277=10,P277=11),"0",IF(OR(P277=12,P277=13),"+1",IF(OR(P277=14,P277=15),"+2",IF(OR(P277=16,P277=17),"+3",IF(OR(P277=18,P277=19),"+4",IF(OR(P277=20,P277=21),"+5",IF(OR(P277=22,P277=23),"+6",IF(OR(P277=24,P277=25),"+7",IF(OR(P277=26,P277=27),"+8",IF(OR(P277=28,P277=29),"+9",IF(P277=30,"+10"," "))))))))))))))))</f>
        <v>0</v>
      </c>
      <c r="R277" s="3" t="n">
        <v>8</v>
      </c>
      <c r="S277" s="1" t="str">
        <f aca="false">IF(R277=1,"-5",IF(OR(R277=2,R277=3),"-4",IF(OR(R277=4,R277=5),"-3",IF(OR(R277=6,R277=7),"-2",IF(OR(R277=8,R277=9),"-1",IF(OR(R277=10,R277=11),"0",IF(OR(R277=12,R277=13),"+1",IF(OR(R277=14,R277=15),"+2",IF(OR(R277=16,R277=17),"+3",IF(OR(R277=18,R277=19),"+4",IF(OR(R277=20,R277=21),"+5",IF(OR(R277=22,R277=23),"+6",IF(OR(R277=24,R277=25),"+7",IF(OR(R277=26,R277=27),"+8",IF(OR(R277=28,R277=29),"+9",IF(R277=30,"+10"," "))))))))))))))))</f>
        <v>-1</v>
      </c>
      <c r="T277" s="3" t="n">
        <v>10</v>
      </c>
      <c r="U277" s="1" t="str">
        <f aca="false">IF(T277=1,"-5",IF(OR(T277=2,T277=3),"-4",IF(OR(T277=4,T277=5),"-3",IF(OR(T277=6,T277=7),"-2",IF(OR(T277=8,T277=9),"-1",IF(OR(T277=10,T277=11),"0",IF(OR(T277=12,T277=13),"+1",IF(OR(T277=14,T277=15),"+2",IF(OR(T277=16,T277=17),"+3",IF(OR(T277=18,T277=19),"+4",IF(OR(T277=20,T277=21),"+5",IF(OR(T277=22,T277=23),"+6",IF(OR(T277=24,T277=25),"+7",IF(OR(T277=26,T277=27),"+8",IF(OR(T277=28,T277=29),"+9",IF(T277=30,"+10"," "))))))))))))))))</f>
        <v>0</v>
      </c>
      <c r="V277" s="3" t="s">
        <v>142</v>
      </c>
      <c r="W277" s="3" t="s">
        <v>1451</v>
      </c>
      <c r="X277" s="3" t="s">
        <v>1456</v>
      </c>
      <c r="Y277" s="11" t="s">
        <v>1457</v>
      </c>
      <c r="Z277" s="11" t="s">
        <v>1458</v>
      </c>
      <c r="AA277" s="12" t="s">
        <v>37</v>
      </c>
    </row>
    <row r="278" customFormat="false" ht="16.4" hidden="false" customHeight="false" outlineLevel="0" collapsed="false">
      <c r="A278" s="14" t="s">
        <v>1459</v>
      </c>
      <c r="B278" s="1" t="s">
        <v>1450</v>
      </c>
      <c r="C278" s="1" t="s">
        <v>222</v>
      </c>
      <c r="D278" s="5" t="n">
        <v>1</v>
      </c>
      <c r="E278" s="3" t="n">
        <f aca="false">VLOOKUP(D278,'[1]REF Tables'!$A$2:$B$40,2)</f>
        <v>200</v>
      </c>
      <c r="F278" s="1" t="s">
        <v>30</v>
      </c>
      <c r="G278" s="1" t="n">
        <v>16</v>
      </c>
      <c r="H278" s="1" t="s">
        <v>1082</v>
      </c>
      <c r="I278" s="3" t="s">
        <v>1460</v>
      </c>
      <c r="J278" s="1" t="n">
        <v>15</v>
      </c>
      <c r="K278" s="1" t="str">
        <f aca="false">IF(J278=1,"-5",IF(OR(J278=2,J278=3),"-4",IF(OR(J278=4,J278=5),"-3",IF(OR(J278=6,J278=7),"-2",IF(OR(J278=8,J278=9),"-1",IF(OR(J278=10,J278=11),"0",IF(OR(J278=12,J278=13),"+1",IF(OR(J278=14,J278=15),"+2",IF(OR(J278=16,J278=17),"+3",IF(OR(J278=18,J278=19),"+4",IF(OR(J278=20,J278=21),"+5",IF(OR(J278=22,J278=23),"+6",IF(OR(J278=24,J278=25),"+7",IF(OR(J278=26,J278=27),"+8",IF(OR(J278=28,J278=29),"+9",IF(J278=30,"+10"," "))))))))))))))))</f>
        <v>+2</v>
      </c>
      <c r="L278" s="1" t="n">
        <v>14</v>
      </c>
      <c r="M278" s="1" t="str">
        <f aca="false">IF(L278=1,"-5",IF(OR(L278=2,L278=3),"-4",IF(OR(L278=4,L278=5),"-3",IF(OR(L278=6,L278=7),"-2",IF(OR(L278=8,L278=9),"-1",IF(OR(L278=10,L278=11),"0",IF(OR(L278=12,L278=13),"+1",IF(OR(L278=14,L278=15),"+2",IF(OR(L278=16,L278=17),"+3",IF(OR(L278=18,L278=19),"+4",IF(OR(L278=20,L278=21),"+5",IF(OR(L278=22,L278=23),"+6",IF(OR(L278=24,L278=25),"+7",IF(OR(L278=26,L278=27),"+8",IF(OR(L278=28,L278=29),"+9",IF(L278=30,"+10"," "))))))))))))))))</f>
        <v>+2</v>
      </c>
      <c r="N278" s="1" t="n">
        <v>13</v>
      </c>
      <c r="O278" s="1" t="str">
        <f aca="false">IF(N278=1,"-5",IF(OR(N278=2,N278=3),"-4",IF(OR(N278=4,N278=5),"-3",IF(OR(N278=6,N278=7),"-2",IF(OR(N278=8,N278=9),"-1",IF(OR(N278=10,N278=11),"0",IF(OR(N278=12,N278=13),"+1",IF(OR(N278=14,N278=15),"+2",IF(OR(N278=16,N278=17),"+3",IF(OR(N278=18,N278=19),"+4",IF(OR(N278=20,N278=21),"+5",IF(OR(N278=22,N278=23),"+6",IF(OR(N278=24,N278=25),"+7",IF(OR(N278=26,N278=27),"+8",IF(OR(N278=28,N278=29),"+9",IF(N278=30,"+10"," "))))))))))))))))</f>
        <v>+1</v>
      </c>
      <c r="P278" s="1" t="n">
        <v>8</v>
      </c>
      <c r="Q278" s="1" t="str">
        <f aca="false">IF(P278=1,"-5",IF(OR(P278=2,P278=3),"-4",IF(OR(P278=4,P278=5),"-3",IF(OR(P278=6,P278=7),"-2",IF(OR(P278=8,P278=9),"-1",IF(OR(P278=10,P278=11),"0",IF(OR(P278=12,P278=13),"+1",IF(OR(P278=14,P278=15),"+2",IF(OR(P278=16,P278=17),"+3",IF(OR(P278=18,P278=19),"+4",IF(OR(P278=20,P278=21),"+5",IF(OR(P278=22,P278=23),"+6",IF(OR(P278=24,P278=25),"+7",IF(OR(P278=26,P278=27),"+8",IF(OR(P278=28,P278=29),"+9",IF(P278=30,"+10"," "))))))))))))))))</f>
        <v>-1</v>
      </c>
      <c r="R278" s="1" t="n">
        <v>11</v>
      </c>
      <c r="S278" s="1" t="str">
        <f aca="false">IF(R278=1,"-5",IF(OR(R278=2,R278=3),"-4",IF(OR(R278=4,R278=5),"-3",IF(OR(R278=6,R278=7),"-2",IF(OR(R278=8,R278=9),"-1",IF(OR(R278=10,R278=11),"0",IF(OR(R278=12,R278=13),"+1",IF(OR(R278=14,R278=15),"+2",IF(OR(R278=16,R278=17),"+3",IF(OR(R278=18,R278=19),"+4",IF(OR(R278=20,R278=21),"+5",IF(OR(R278=22,R278=23),"+6",IF(OR(R278=24,R278=25),"+7",IF(OR(R278=26,R278=27),"+8",IF(OR(R278=28,R278=29),"+9",IF(R278=30,"+10"," "))))))))))))))))</f>
        <v>0</v>
      </c>
      <c r="T278" s="1" t="n">
        <v>9</v>
      </c>
      <c r="U278" s="1" t="str">
        <f aca="false">IF(T278=1,"-5",IF(OR(T278=2,T278=3),"-4",IF(OR(T278=4,T278=5),"-3",IF(OR(T278=6,T278=7),"-2",IF(OR(T278=8,T278=9),"-1",IF(OR(T278=10,T278=11),"0",IF(OR(T278=12,T278=13),"+1",IF(OR(T278=14,T278=15),"+2",IF(OR(T278=16,T278=17),"+3",IF(OR(T278=18,T278=19),"+4",IF(OR(T278=20,T278=21),"+5",IF(OR(T278=22,T278=23),"+6",IF(OR(T278=24,T278=25),"+7",IF(OR(T278=26,T278=27),"+8",IF(OR(T278=28,T278=29),"+9",IF(T278=30,"+10"," "))))))))))))))))</f>
        <v>-1</v>
      </c>
      <c r="V278" s="1" t="s">
        <v>1461</v>
      </c>
      <c r="W278" s="1" t="s">
        <v>1451</v>
      </c>
      <c r="X278" s="2" t="s">
        <v>1462</v>
      </c>
      <c r="Y278" s="2" t="s">
        <v>1463</v>
      </c>
      <c r="Z278" s="2" t="s">
        <v>37</v>
      </c>
      <c r="AA278" s="1" t="s">
        <v>37</v>
      </c>
    </row>
    <row r="279" customFormat="false" ht="16.4" hidden="false" customHeight="false" outlineLevel="0" collapsed="false">
      <c r="A279" s="15" t="s">
        <v>1464</v>
      </c>
      <c r="B279" s="3" t="s">
        <v>1450</v>
      </c>
      <c r="C279" s="3" t="s">
        <v>222</v>
      </c>
      <c r="D279" s="16" t="n">
        <v>3</v>
      </c>
      <c r="E279" s="3" t="n">
        <f aca="false">VLOOKUP(D279,'[1]REF Tables'!$A$2:$B$40,2)</f>
        <v>700</v>
      </c>
      <c r="F279" s="3" t="s">
        <v>30</v>
      </c>
      <c r="G279" s="3" t="n">
        <v>17</v>
      </c>
      <c r="H279" s="3" t="s">
        <v>263</v>
      </c>
      <c r="I279" s="3" t="s">
        <v>42</v>
      </c>
      <c r="J279" s="3" t="n">
        <v>17</v>
      </c>
      <c r="K279" s="1" t="str">
        <f aca="false">IF(J279=1,"-5",IF(OR(J279=2,J279=3),"-4",IF(OR(J279=4,J279=5),"-3",IF(OR(J279=6,J279=7),"-2",IF(OR(J279=8,J279=9),"-1",IF(OR(J279=10,J279=11),"0",IF(OR(J279=12,J279=13),"+1",IF(OR(J279=14,J279=15),"+2",IF(OR(J279=16,J279=17),"+3",IF(OR(J279=18,J279=19),"+4",IF(OR(J279=20,J279=21),"+5",IF(OR(J279=22,J279=23),"+6",IF(OR(J279=24,J279=25),"+7",IF(OR(J279=26,J279=27),"+8",IF(OR(J279=28,J279=29),"+9",IF(J279=30,"+10"," "))))))))))))))))</f>
        <v>+3</v>
      </c>
      <c r="L279" s="3" t="n">
        <v>14</v>
      </c>
      <c r="M279" s="1" t="str">
        <f aca="false">IF(L279=1,"-5",IF(OR(L279=2,L279=3),"-4",IF(OR(L279=4,L279=5),"-3",IF(OR(L279=6,L279=7),"-2",IF(OR(L279=8,L279=9),"-1",IF(OR(L279=10,L279=11),"0",IF(OR(L279=12,L279=13),"+1",IF(OR(L279=14,L279=15),"+2",IF(OR(L279=16,L279=17),"+3",IF(OR(L279=18,L279=19),"+4",IF(OR(L279=20,L279=21),"+5",IF(OR(L279=22,L279=23),"+6",IF(OR(L279=24,L279=25),"+7",IF(OR(L279=26,L279=27),"+8",IF(OR(L279=28,L279=29),"+9",IF(L279=30,"+10"," "))))))))))))))))</f>
        <v>+2</v>
      </c>
      <c r="N279" s="3" t="n">
        <v>14</v>
      </c>
      <c r="O279" s="1" t="str">
        <f aca="false">IF(N279=1,"-5",IF(OR(N279=2,N279=3),"-4",IF(OR(N279=4,N279=5),"-3",IF(OR(N279=6,N279=7),"-2",IF(OR(N279=8,N279=9),"-1",IF(OR(N279=10,N279=11),"0",IF(OR(N279=12,N279=13),"+1",IF(OR(N279=14,N279=15),"+2",IF(OR(N279=16,N279=17),"+3",IF(OR(N279=18,N279=19),"+4",IF(OR(N279=20,N279=21),"+5",IF(OR(N279=22,N279=23),"+6",IF(OR(N279=24,N279=25),"+7",IF(OR(N279=26,N279=27),"+8",IF(OR(N279=28,N279=29),"+9",IF(N279=30,"+10"," "))))))))))))))))</f>
        <v>+2</v>
      </c>
      <c r="P279" s="3" t="n">
        <v>11</v>
      </c>
      <c r="Q279" s="1" t="str">
        <f aca="false">IF(P279=1,"-5",IF(OR(P279=2,P279=3),"-4",IF(OR(P279=4,P279=5),"-3",IF(OR(P279=6,P279=7),"-2",IF(OR(P279=8,P279=9),"-1",IF(OR(P279=10,P279=11),"0",IF(OR(P279=12,P279=13),"+1",IF(OR(P279=14,P279=15),"+2",IF(OR(P279=16,P279=17),"+3",IF(OR(P279=18,P279=19),"+4",IF(OR(P279=20,P279=21),"+5",IF(OR(P279=22,P279=23),"+6",IF(OR(P279=24,P279=25),"+7",IF(OR(P279=26,P279=27),"+8",IF(OR(P279=28,P279=29),"+9",IF(P279=30,"+10"," "))))))))))))))))</f>
        <v>0</v>
      </c>
      <c r="R279" s="3" t="n">
        <v>12</v>
      </c>
      <c r="S279" s="1" t="str">
        <f aca="false">IF(R279=1,"-5",IF(OR(R279=2,R279=3),"-4",IF(OR(R279=4,R279=5),"-3",IF(OR(R279=6,R279=7),"-2",IF(OR(R279=8,R279=9),"-1",IF(OR(R279=10,R279=11),"0",IF(OR(R279=12,R279=13),"+1",IF(OR(R279=14,R279=15),"+2",IF(OR(R279=16,R279=17),"+3",IF(OR(R279=18,R279=19),"+4",IF(OR(R279=20,R279=21),"+5",IF(OR(R279=22,R279=23),"+6",IF(OR(R279=24,R279=25),"+7",IF(OR(R279=26,R279=27),"+8",IF(OR(R279=28,R279=29),"+9",IF(R279=30,"+10"," "))))))))))))))))</f>
        <v>+1</v>
      </c>
      <c r="T279" s="3" t="n">
        <v>11</v>
      </c>
      <c r="U279" s="1" t="str">
        <f aca="false">IF(T279=1,"-5",IF(OR(T279=2,T279=3),"-4",IF(OR(T279=4,T279=5),"-3",IF(OR(T279=6,T279=7),"-2",IF(OR(T279=8,T279=9),"-1",IF(OR(T279=10,T279=11),"0",IF(OR(T279=12,T279=13),"+1",IF(OR(T279=14,T279=15),"+2",IF(OR(T279=16,T279=17),"+3",IF(OR(T279=18,T279=19),"+4",IF(OR(T279=20,T279=21),"+5",IF(OR(T279=22,T279=23),"+6",IF(OR(T279=24,T279=25),"+7",IF(OR(T279=26,T279=27),"+8",IF(OR(T279=28,T279=29),"+9",IF(T279=30,"+10"," "))))))))))))))))</f>
        <v>0</v>
      </c>
      <c r="V279" s="3" t="s">
        <v>1465</v>
      </c>
      <c r="W279" s="3" t="s">
        <v>1451</v>
      </c>
      <c r="X279" s="11" t="s">
        <v>1466</v>
      </c>
      <c r="Y279" s="11" t="s">
        <v>1467</v>
      </c>
      <c r="Z279" s="11" t="s">
        <v>37</v>
      </c>
      <c r="AA279" s="12" t="s">
        <v>37</v>
      </c>
    </row>
    <row r="280" customFormat="false" ht="16.4" hidden="false" customHeight="false" outlineLevel="0" collapsed="false">
      <c r="A280" s="15" t="s">
        <v>1468</v>
      </c>
      <c r="B280" s="3" t="s">
        <v>197</v>
      </c>
      <c r="C280" s="3" t="s">
        <v>230</v>
      </c>
      <c r="D280" s="16" t="n">
        <v>5</v>
      </c>
      <c r="E280" s="6" t="n">
        <f aca="false">VLOOKUP(D280,'[1]REF Tables'!$A$2:$B$40,2)</f>
        <v>1800</v>
      </c>
      <c r="F280" s="3" t="s">
        <v>30</v>
      </c>
      <c r="G280" s="3" t="n">
        <v>9</v>
      </c>
      <c r="H280" s="3" t="s">
        <v>1469</v>
      </c>
      <c r="I280" s="3" t="s">
        <v>42</v>
      </c>
      <c r="J280" s="3" t="n">
        <v>19</v>
      </c>
      <c r="K280" s="1" t="str">
        <f aca="false">IF(J280=1,"-5",IF(OR(J280=2,J280=3),"-4",IF(OR(J280=4,J280=5),"-3",IF(OR(J280=6,J280=7),"-2",IF(OR(J280=8,J280=9),"-1",IF(OR(J280=10,J280=11),"0",IF(OR(J280=12,J280=13),"+1",IF(OR(J280=14,J280=15),"+2",IF(OR(J280=16,J280=17),"+3",IF(OR(J280=18,J280=19),"+4",IF(OR(J280=20,J280=21),"+5",IF(OR(J280=22,J280=23),"+6",IF(OR(J280=24,J280=25),"+7",IF(OR(J280=26,J280=27),"+8",IF(OR(J280=28,J280=29),"+9",IF(J280=30,"+10"," "))))))))))))))))</f>
        <v>+4</v>
      </c>
      <c r="L280" s="3" t="n">
        <v>9</v>
      </c>
      <c r="M280" s="1" t="str">
        <f aca="false">IF(L280=1,"-5",IF(OR(L280=2,L280=3),"-4",IF(OR(L280=4,L280=5),"-3",IF(OR(L280=6,L280=7),"-2",IF(OR(L280=8,L280=9),"-1",IF(OR(L280=10,L280=11),"0",IF(OR(L280=12,L280=13),"+1",IF(OR(L280=14,L280=15),"+2",IF(OR(L280=16,L280=17),"+3",IF(OR(L280=18,L280=19),"+4",IF(OR(L280=20,L280=21),"+5",IF(OR(L280=22,L280=23),"+6",IF(OR(L280=24,L280=25),"+7",IF(OR(L280=26,L280=27),"+8",IF(OR(L280=28,L280=29),"+9",IF(L280=30,"+10"," "))))))))))))))))</f>
        <v>-1</v>
      </c>
      <c r="N280" s="3" t="n">
        <v>18</v>
      </c>
      <c r="O280" s="1" t="str">
        <f aca="false">IF(N280=1,"-5",IF(OR(N280=2,N280=3),"-4",IF(OR(N280=4,N280=5),"-3",IF(OR(N280=6,N280=7),"-2",IF(OR(N280=8,N280=9),"-1",IF(OR(N280=10,N280=11),"0",IF(OR(N280=12,N280=13),"+1",IF(OR(N280=14,N280=15),"+2",IF(OR(N280=16,N280=17),"+3",IF(OR(N280=18,N280=19),"+4",IF(OR(N280=20,N280=21),"+5",IF(OR(N280=22,N280=23),"+6",IF(OR(N280=24,N280=25),"+7",IF(OR(N280=26,N280=27),"+8",IF(OR(N280=28,N280=29),"+9",IF(N280=30,"+10"," "))))))))))))))))</f>
        <v>+4</v>
      </c>
      <c r="P280" s="3" t="n">
        <v>6</v>
      </c>
      <c r="Q280" s="1" t="str">
        <f aca="false">IF(P280=1,"-5",IF(OR(P280=2,P280=3),"-4",IF(OR(P280=4,P280=5),"-3",IF(OR(P280=6,P280=7),"-2",IF(OR(P280=8,P280=9),"-1",IF(OR(P280=10,P280=11),"0",IF(OR(P280=12,P280=13),"+1",IF(OR(P280=14,P280=15),"+2",IF(OR(P280=16,P280=17),"+3",IF(OR(P280=18,P280=19),"+4",IF(OR(P280=20,P280=21),"+5",IF(OR(P280=22,P280=23),"+6",IF(OR(P280=24,P280=25),"+7",IF(OR(P280=26,P280=27),"+8",IF(OR(P280=28,P280=29),"+9",IF(P280=30,"+10"," "))))))))))))))))</f>
        <v>-2</v>
      </c>
      <c r="R280" s="3" t="n">
        <v>10</v>
      </c>
      <c r="S280" s="1" t="str">
        <f aca="false">IF(R280=1,"-5",IF(OR(R280=2,R280=3),"-4",IF(OR(R280=4,R280=5),"-3",IF(OR(R280=6,R280=7),"-2",IF(OR(R280=8,R280=9),"-1",IF(OR(R280=10,R280=11),"0",IF(OR(R280=12,R280=13),"+1",IF(OR(R280=14,R280=15),"+2",IF(OR(R280=16,R280=17),"+3",IF(OR(R280=18,R280=19),"+4",IF(OR(R280=20,R280=21),"+5",IF(OR(R280=22,R280=23),"+6",IF(OR(R280=24,R280=25),"+7",IF(OR(R280=26,R280=27),"+8",IF(OR(R280=28,R280=29),"+9",IF(R280=30,"+10"," "))))))))))))))))</f>
        <v>0</v>
      </c>
      <c r="T280" s="3" t="n">
        <v>5</v>
      </c>
      <c r="U280" s="1" t="str">
        <f aca="false">IF(T280=1,"-5",IF(OR(T280=2,T280=3),"-4",IF(OR(T280=4,T280=5),"-3",IF(OR(T280=6,T280=7),"-2",IF(OR(T280=8,T280=9),"-1",IF(OR(T280=10,T280=11),"0",IF(OR(T280=12,T280=13),"+1",IF(OR(T280=14,T280=15),"+2",IF(OR(T280=16,T280=17),"+3",IF(OR(T280=18,T280=19),"+4",IF(OR(T280=20,T280=21),"+5",IF(OR(T280=22,T280=23),"+6",IF(OR(T280=24,T280=25),"+7",IF(OR(T280=26,T280=27),"+8",IF(OR(T280=28,T280=29),"+9",IF(T280=30,"+10"," "))))))))))))))))</f>
        <v>-3</v>
      </c>
      <c r="V280" s="3" t="s">
        <v>37</v>
      </c>
      <c r="W280" s="3" t="s">
        <v>1197</v>
      </c>
      <c r="X280" s="11" t="s">
        <v>1470</v>
      </c>
      <c r="Y280" s="11" t="s">
        <v>1471</v>
      </c>
      <c r="Z280" s="11" t="s">
        <v>37</v>
      </c>
      <c r="AA280" s="12" t="s">
        <v>37</v>
      </c>
    </row>
    <row r="281" customFormat="false" ht="16.4" hidden="false" customHeight="false" outlineLevel="0" collapsed="false">
      <c r="A281" s="15" t="s">
        <v>1472</v>
      </c>
      <c r="B281" s="3" t="s">
        <v>197</v>
      </c>
      <c r="C281" s="3" t="s">
        <v>37</v>
      </c>
      <c r="D281" s="16" t="n">
        <v>16</v>
      </c>
      <c r="E281" s="6" t="n">
        <f aca="false">VLOOKUP(D281,'[1]REF Tables'!$A$2:$B$40,2)</f>
        <v>15000</v>
      </c>
      <c r="F281" s="3" t="s">
        <v>50</v>
      </c>
      <c r="G281" s="3" t="n">
        <v>20</v>
      </c>
      <c r="H281" s="3" t="s">
        <v>408</v>
      </c>
      <c r="I281" s="3" t="s">
        <v>42</v>
      </c>
      <c r="J281" s="3" t="n">
        <v>24</v>
      </c>
      <c r="K281" s="1" t="str">
        <f aca="false">IF(J281=1,"-5",IF(OR(J281=2,J281=3),"-4",IF(OR(J281=4,J281=5),"-3",IF(OR(J281=6,J281=7),"-2",IF(OR(J281=8,J281=9),"-1",IF(OR(J281=10,J281=11),"0",IF(OR(J281=12,J281=13),"+1",IF(OR(J281=14,J281=15),"+2",IF(OR(J281=16,J281=17),"+3",IF(OR(J281=18,J281=19),"+4",IF(OR(J281=20,J281=21),"+5",IF(OR(J281=22,J281=23),"+6",IF(OR(J281=24,J281=25),"+7",IF(OR(J281=26,J281=27),"+8",IF(OR(J281=28,J281=29),"+9",IF(J281=30,"+10"," "))))))))))))))))</f>
        <v>+7</v>
      </c>
      <c r="L281" s="3" t="n">
        <v>9</v>
      </c>
      <c r="M281" s="1" t="str">
        <f aca="false">IF(L281=1,"-5",IF(OR(L281=2,L281=3),"-4",IF(OR(L281=4,L281=5),"-3",IF(OR(L281=6,L281=7),"-2",IF(OR(L281=8,L281=9),"-1",IF(OR(L281=10,L281=11),"0",IF(OR(L281=12,L281=13),"+1",IF(OR(L281=14,L281=15),"+2",IF(OR(L281=16,L281=17),"+3",IF(OR(L281=18,L281=19),"+4",IF(OR(L281=20,L281=21),"+5",IF(OR(L281=22,L281=23),"+6",IF(OR(L281=24,L281=25),"+7",IF(OR(L281=26,L281=27),"+8",IF(OR(L281=28,L281=29),"+9",IF(L281=30,"+10"," "))))))))))))))))</f>
        <v>-1</v>
      </c>
      <c r="N281" s="3" t="n">
        <v>20</v>
      </c>
      <c r="O281" s="1" t="str">
        <f aca="false">IF(N281=1,"-5",IF(OR(N281=2,N281=3),"-4",IF(OR(N281=4,N281=5),"-3",IF(OR(N281=6,N281=7),"-2",IF(OR(N281=8,N281=9),"-1",IF(OR(N281=10,N281=11),"0",IF(OR(N281=12,N281=13),"+1",IF(OR(N281=14,N281=15),"+2",IF(OR(N281=16,N281=17),"+3",IF(OR(N281=18,N281=19),"+4",IF(OR(N281=20,N281=21),"+5",IF(OR(N281=22,N281=23),"+6",IF(OR(N281=24,N281=25),"+7",IF(OR(N281=26,N281=27),"+8",IF(OR(N281=28,N281=29),"+9",IF(N281=30,"+10"," "))))))))))))))))</f>
        <v>+5</v>
      </c>
      <c r="P281" s="3" t="n">
        <v>3</v>
      </c>
      <c r="Q281" s="1" t="str">
        <f aca="false">IF(P281=1,"-5",IF(OR(P281=2,P281=3),"-4",IF(OR(P281=4,P281=5),"-3",IF(OR(P281=6,P281=7),"-2",IF(OR(P281=8,P281=9),"-1",IF(OR(P281=10,P281=11),"0",IF(OR(P281=12,P281=13),"+1",IF(OR(P281=14,P281=15),"+2",IF(OR(P281=16,P281=17),"+3",IF(OR(P281=18,P281=19),"+4",IF(OR(P281=20,P281=21),"+5",IF(OR(P281=22,P281=23),"+6",IF(OR(P281=24,P281=25),"+7",IF(OR(P281=26,P281=27),"+8",IF(OR(P281=28,P281=29),"+9",IF(P281=30,"+10"," "))))))))))))))))</f>
        <v>-4</v>
      </c>
      <c r="R281" s="3" t="n">
        <v>11</v>
      </c>
      <c r="S281" s="1" t="str">
        <f aca="false">IF(R281=1,"-5",IF(OR(R281=2,R281=3),"-4",IF(OR(R281=4,R281=5),"-3",IF(OR(R281=6,R281=7),"-2",IF(OR(R281=8,R281=9),"-1",IF(OR(R281=10,R281=11),"0",IF(OR(R281=12,R281=13),"+1",IF(OR(R281=14,R281=15),"+2",IF(OR(R281=16,R281=17),"+3",IF(OR(R281=18,R281=19),"+4",IF(OR(R281=20,R281=21),"+5",IF(OR(R281=22,R281=23),"+6",IF(OR(R281=24,R281=25),"+7",IF(OR(R281=26,R281=27),"+8",IF(OR(R281=28,R281=29),"+9",IF(R281=30,"+10"," "))))))))))))))))</f>
        <v>0</v>
      </c>
      <c r="T281" s="3" t="n">
        <v>1</v>
      </c>
      <c r="U281" s="1" t="str">
        <f aca="false">IF(T281=1,"-5",IF(OR(T281=2,T281=3),"-4",IF(OR(T281=4,T281=5),"-3",IF(OR(T281=6,T281=7),"-2",IF(OR(T281=8,T281=9),"-1",IF(OR(T281=10,T281=11),"0",IF(OR(T281=12,T281=13),"+1",IF(OR(T281=14,T281=15),"+2",IF(OR(T281=16,T281=17),"+3",IF(OR(T281=18,T281=19),"+4",IF(OR(T281=20,T281=21),"+5",IF(OR(T281=22,T281=23),"+6",IF(OR(T281=24,T281=25),"+7",IF(OR(T281=26,T281=27),"+8",IF(OR(T281=28,T281=29),"+9",IF(T281=30,"+10"," "))))))))))))))))</f>
        <v>-5</v>
      </c>
      <c r="V281" s="3" t="s">
        <v>37</v>
      </c>
      <c r="W281" s="3" t="s">
        <v>1197</v>
      </c>
      <c r="X281" s="11" t="s">
        <v>1473</v>
      </c>
      <c r="Y281" s="11" t="s">
        <v>1474</v>
      </c>
      <c r="Z281" s="11" t="s">
        <v>37</v>
      </c>
      <c r="AA281" s="12" t="s">
        <v>37</v>
      </c>
    </row>
    <row r="282" customFormat="false" ht="16.4" hidden="false" customHeight="false" outlineLevel="0" collapsed="false">
      <c r="A282" s="15" t="s">
        <v>1475</v>
      </c>
      <c r="B282" s="3" t="s">
        <v>197</v>
      </c>
      <c r="C282" s="3" t="s">
        <v>37</v>
      </c>
      <c r="D282" s="16" t="n">
        <v>10</v>
      </c>
      <c r="E282" s="6" t="n">
        <f aca="false">VLOOKUP(D282,'[1]REF Tables'!$A$2:$B$40,2)</f>
        <v>5900</v>
      </c>
      <c r="F282" s="3" t="s">
        <v>50</v>
      </c>
      <c r="G282" s="3" t="n">
        <v>10</v>
      </c>
      <c r="H282" s="3" t="s">
        <v>689</v>
      </c>
      <c r="I282" s="3" t="s">
        <v>42</v>
      </c>
      <c r="J282" s="3" t="n">
        <v>22</v>
      </c>
      <c r="K282" s="1" t="str">
        <f aca="false">IF(J282=1,"-5",IF(OR(J282=2,J282=3),"-4",IF(OR(J282=4,J282=5),"-3",IF(OR(J282=6,J282=7),"-2",IF(OR(J282=8,J282=9),"-1",IF(OR(J282=10,J282=11),"0",IF(OR(J282=12,J282=13),"+1",IF(OR(J282=14,J282=15),"+2",IF(OR(J282=16,J282=17),"+3",IF(OR(J282=18,J282=19),"+4",IF(OR(J282=20,J282=21),"+5",IF(OR(J282=22,J282=23),"+6",IF(OR(J282=24,J282=25),"+7",IF(OR(J282=26,J282=27),"+8",IF(OR(J282=28,J282=29),"+9",IF(J282=30,"+10"," "))))))))))))))))</f>
        <v>+6</v>
      </c>
      <c r="L282" s="3" t="n">
        <v>9</v>
      </c>
      <c r="M282" s="1" t="str">
        <f aca="false">IF(L282=1,"-5",IF(OR(L282=2,L282=3),"-4",IF(OR(L282=4,L282=5),"-3",IF(OR(L282=6,L282=7),"-2",IF(OR(L282=8,L282=9),"-1",IF(OR(L282=10,L282=11),"0",IF(OR(L282=12,L282=13),"+1",IF(OR(L282=14,L282=15),"+2",IF(OR(L282=16,L282=17),"+3",IF(OR(L282=18,L282=19),"+4",IF(OR(L282=20,L282=21),"+5",IF(OR(L282=22,L282=23),"+6",IF(OR(L282=24,L282=25),"+7",IF(OR(L282=26,L282=27),"+8",IF(OR(L282=28,L282=29),"+9",IF(L282=30,"+10"," "))))))))))))))))</f>
        <v>-1</v>
      </c>
      <c r="N282" s="3" t="n">
        <v>20</v>
      </c>
      <c r="O282" s="1" t="str">
        <f aca="false">IF(N282=1,"-5",IF(OR(N282=2,N282=3),"-4",IF(OR(N282=4,N282=5),"-3",IF(OR(N282=6,N282=7),"-2",IF(OR(N282=8,N282=9),"-1",IF(OR(N282=10,N282=11),"0",IF(OR(N282=12,N282=13),"+1",IF(OR(N282=14,N282=15),"+2",IF(OR(N282=16,N282=17),"+3",IF(OR(N282=18,N282=19),"+4",IF(OR(N282=20,N282=21),"+5",IF(OR(N282=22,N282=23),"+6",IF(OR(N282=24,N282=25),"+7",IF(OR(N282=26,N282=27),"+8",IF(OR(N282=28,N282=29),"+9",IF(N282=30,"+10"," "))))))))))))))))</f>
        <v>+5</v>
      </c>
      <c r="P282" s="3" t="n">
        <v>3</v>
      </c>
      <c r="Q282" s="1" t="str">
        <f aca="false">IF(P282=1,"-5",IF(OR(P282=2,P282=3),"-4",IF(OR(P282=4,P282=5),"-3",IF(OR(P282=6,P282=7),"-2",IF(OR(P282=8,P282=9),"-1",IF(OR(P282=10,P282=11),"0",IF(OR(P282=12,P282=13),"+1",IF(OR(P282=14,P282=15),"+2",IF(OR(P282=16,P282=17),"+3",IF(OR(P282=18,P282=19),"+4",IF(OR(P282=20,P282=21),"+5",IF(OR(P282=22,P282=23),"+6",IF(OR(P282=24,P282=25),"+7",IF(OR(P282=26,P282=27),"+8",IF(OR(P282=28,P282=29),"+9",IF(P282=30,"+10"," "))))))))))))))))</f>
        <v>-4</v>
      </c>
      <c r="R282" s="3" t="n">
        <v>11</v>
      </c>
      <c r="S282" s="1" t="str">
        <f aca="false">IF(R282=1,"-5",IF(OR(R282=2,R282=3),"-4",IF(OR(R282=4,R282=5),"-3",IF(OR(R282=6,R282=7),"-2",IF(OR(R282=8,R282=9),"-1",IF(OR(R282=10,R282=11),"0",IF(OR(R282=12,R282=13),"+1",IF(OR(R282=14,R282=15),"+2",IF(OR(R282=16,R282=17),"+3",IF(OR(R282=18,R282=19),"+4",IF(OR(R282=20,R282=21),"+5",IF(OR(R282=22,R282=23),"+6",IF(OR(R282=24,R282=25),"+7",IF(OR(R282=26,R282=27),"+8",IF(OR(R282=28,R282=29),"+9",IF(R282=30,"+10"," "))))))))))))))))</f>
        <v>0</v>
      </c>
      <c r="T282" s="3" t="n">
        <v>1</v>
      </c>
      <c r="U282" s="1" t="str">
        <f aca="false">IF(T282=1,"-5",IF(OR(T282=2,T282=3),"-4",IF(OR(T282=4,T282=5),"-3",IF(OR(T282=6,T282=7),"-2",IF(OR(T282=8,T282=9),"-1",IF(OR(T282=10,T282=11),"0",IF(OR(T282=12,T282=13),"+1",IF(OR(T282=14,T282=15),"+2",IF(OR(T282=16,T282=17),"+3",IF(OR(T282=18,T282=19),"+4",IF(OR(T282=20,T282=21),"+5",IF(OR(T282=22,T282=23),"+6",IF(OR(T282=24,T282=25),"+7",IF(OR(T282=26,T282=27),"+8",IF(OR(T282=28,T282=29),"+9",IF(T282=30,"+10"," "))))))))))))))))</f>
        <v>-5</v>
      </c>
      <c r="V282" s="3" t="s">
        <v>37</v>
      </c>
      <c r="W282" s="3" t="s">
        <v>1197</v>
      </c>
      <c r="X282" s="11" t="s">
        <v>1476</v>
      </c>
      <c r="Y282" s="11" t="s">
        <v>1477</v>
      </c>
      <c r="Z282" s="11" t="s">
        <v>37</v>
      </c>
      <c r="AA282" s="12" t="s">
        <v>37</v>
      </c>
    </row>
    <row r="283" customFormat="false" ht="16.4" hidden="false" customHeight="false" outlineLevel="0" collapsed="false">
      <c r="A283" s="15" t="s">
        <v>1478</v>
      </c>
      <c r="B283" s="3" t="s">
        <v>197</v>
      </c>
      <c r="C283" s="3" t="s">
        <v>37</v>
      </c>
      <c r="D283" s="16" t="n">
        <v>9</v>
      </c>
      <c r="E283" s="6" t="n">
        <f aca="false">VLOOKUP(D283,'[1]REF Tables'!$A$2:$B$40,2)</f>
        <v>5000</v>
      </c>
      <c r="F283" s="3" t="s">
        <v>50</v>
      </c>
      <c r="G283" s="3" t="n">
        <v>14</v>
      </c>
      <c r="H283" s="3" t="s">
        <v>796</v>
      </c>
      <c r="I283" s="3" t="s">
        <v>160</v>
      </c>
      <c r="J283" s="3" t="n">
        <v>20</v>
      </c>
      <c r="K283" s="1" t="str">
        <f aca="false">IF(J283=1,"-5",IF(OR(J283=2,J283=3),"-4",IF(OR(J283=4,J283=5),"-3",IF(OR(J283=6,J283=7),"-2",IF(OR(J283=8,J283=9),"-1",IF(OR(J283=10,J283=11),"0",IF(OR(J283=12,J283=13),"+1",IF(OR(J283=14,J283=15),"+2",IF(OR(J283=16,J283=17),"+3",IF(OR(J283=18,J283=19),"+4",IF(OR(J283=20,J283=21),"+5",IF(OR(J283=22,J283=23),"+6",IF(OR(J283=24,J283=25),"+7",IF(OR(J283=26,J283=27),"+8",IF(OR(J283=28,J283=29),"+9",IF(J283=30,"+10"," "))))))))))))))))</f>
        <v>+5</v>
      </c>
      <c r="L283" s="3" t="n">
        <v>9</v>
      </c>
      <c r="M283" s="1" t="str">
        <f aca="false">IF(L283=1,"-5",IF(OR(L283=2,L283=3),"-4",IF(OR(L283=4,L283=5),"-3",IF(OR(L283=6,L283=7),"-2",IF(OR(L283=8,L283=9),"-1",IF(OR(L283=10,L283=11),"0",IF(OR(L283=12,L283=13),"+1",IF(OR(L283=14,L283=15),"+2",IF(OR(L283=16,L283=17),"+3",IF(OR(L283=18,L283=19),"+4",IF(OR(L283=20,L283=21),"+5",IF(OR(L283=22,L283=23),"+6",IF(OR(L283=24,L283=25),"+7",IF(OR(L283=26,L283=27),"+8",IF(OR(L283=28,L283=29),"+9",IF(L283=30,"+10"," "))))))))))))))))</f>
        <v>-1</v>
      </c>
      <c r="N283" s="3" t="n">
        <v>18</v>
      </c>
      <c r="O283" s="1" t="str">
        <f aca="false">IF(N283=1,"-5",IF(OR(N283=2,N283=3),"-4",IF(OR(N283=4,N283=5),"-3",IF(OR(N283=6,N283=7),"-2",IF(OR(N283=8,N283=9),"-1",IF(OR(N283=10,N283=11),"0",IF(OR(N283=12,N283=13),"+1",IF(OR(N283=14,N283=15),"+2",IF(OR(N283=16,N283=17),"+3",IF(OR(N283=18,N283=19),"+4",IF(OR(N283=20,N283=21),"+5",IF(OR(N283=22,N283=23),"+6",IF(OR(N283=24,N283=25),"+7",IF(OR(N283=26,N283=27),"+8",IF(OR(N283=28,N283=29),"+9",IF(N283=30,"+10"," "))))))))))))))))</f>
        <v>+4</v>
      </c>
      <c r="P283" s="3" t="n">
        <v>3</v>
      </c>
      <c r="Q283" s="1" t="str">
        <f aca="false">IF(P283=1,"-5",IF(OR(P283=2,P283=3),"-4",IF(OR(P283=4,P283=5),"-3",IF(OR(P283=6,P283=7),"-2",IF(OR(P283=8,P283=9),"-1",IF(OR(P283=10,P283=11),"0",IF(OR(P283=12,P283=13),"+1",IF(OR(P283=14,P283=15),"+2",IF(OR(P283=16,P283=17),"+3",IF(OR(P283=18,P283=19),"+4",IF(OR(P283=20,P283=21),"+5",IF(OR(P283=22,P283=23),"+6",IF(OR(P283=24,P283=25),"+7",IF(OR(P283=26,P283=27),"+8",IF(OR(P283=28,P283=29),"+9",IF(P283=30,"+10"," "))))))))))))))))</f>
        <v>-4</v>
      </c>
      <c r="R283" s="3" t="n">
        <v>8</v>
      </c>
      <c r="S283" s="1" t="str">
        <f aca="false">IF(R283=1,"-5",IF(OR(R283=2,R283=3),"-4",IF(OR(R283=4,R283=5),"-3",IF(OR(R283=6,R283=7),"-2",IF(OR(R283=8,R283=9),"-1",IF(OR(R283=10,R283=11),"0",IF(OR(R283=12,R283=13),"+1",IF(OR(R283=14,R283=15),"+2",IF(OR(R283=16,R283=17),"+3",IF(OR(R283=18,R283=19),"+4",IF(OR(R283=20,R283=21),"+5",IF(OR(R283=22,R283=23),"+6",IF(OR(R283=24,R283=25),"+7",IF(OR(R283=26,R283=27),"+8",IF(OR(R283=28,R283=29),"+9",IF(R283=30,"+10"," "))))))))))))))))</f>
        <v>-1</v>
      </c>
      <c r="T283" s="3" t="n">
        <v>1</v>
      </c>
      <c r="U283" s="1" t="str">
        <f aca="false">IF(T283=1,"-5",IF(OR(T283=2,T283=3),"-4",IF(OR(T283=4,T283=5),"-3",IF(OR(T283=6,T283=7),"-2",IF(OR(T283=8,T283=9),"-1",IF(OR(T283=10,T283=11),"0",IF(OR(T283=12,T283=13),"+1",IF(OR(T283=14,T283=15),"+2",IF(OR(T283=16,T283=17),"+3",IF(OR(T283=18,T283=19),"+4",IF(OR(T283=20,T283=21),"+5",IF(OR(T283=22,T283=23),"+6",IF(OR(T283=24,T283=25),"+7",IF(OR(T283=26,T283=27),"+8",IF(OR(T283=28,T283=29),"+9",IF(T283=30,"+10"," "))))))))))))))))</f>
        <v>-5</v>
      </c>
      <c r="V283" s="3" t="s">
        <v>37</v>
      </c>
      <c r="W283" s="3" t="s">
        <v>1197</v>
      </c>
      <c r="X283" s="11" t="s">
        <v>1479</v>
      </c>
      <c r="Y283" s="11" t="s">
        <v>1480</v>
      </c>
      <c r="Z283" s="11" t="s">
        <v>37</v>
      </c>
      <c r="AA283" s="12" t="s">
        <v>37</v>
      </c>
    </row>
    <row r="284" customFormat="false" ht="16.4" hidden="false" customHeight="false" outlineLevel="0" collapsed="false">
      <c r="A284" s="15" t="s">
        <v>1481</v>
      </c>
      <c r="B284" s="3" t="s">
        <v>105</v>
      </c>
      <c r="C284" s="3" t="s">
        <v>37</v>
      </c>
      <c r="D284" s="16" t="n">
        <v>5</v>
      </c>
      <c r="E284" s="6" t="n">
        <f aca="false">VLOOKUP(D284,'[1]REF Tables'!$A$2:$B$40,2)</f>
        <v>1800</v>
      </c>
      <c r="F284" s="3" t="s">
        <v>50</v>
      </c>
      <c r="G284" s="3" t="n">
        <v>19</v>
      </c>
      <c r="H284" s="3" t="s">
        <v>508</v>
      </c>
      <c r="I284" s="3" t="s">
        <v>224</v>
      </c>
      <c r="J284" s="3" t="n">
        <v>20</v>
      </c>
      <c r="K284" s="1" t="str">
        <f aca="false">IF(J284=1,"-5",IF(OR(J284=2,J284=3),"-4",IF(OR(J284=4,J284=5),"-3",IF(OR(J284=6,J284=7),"-2",IF(OR(J284=8,J284=9),"-1",IF(OR(J284=10,J284=11),"0",IF(OR(J284=12,J284=13),"+1",IF(OR(J284=14,J284=15),"+2",IF(OR(J284=16,J284=17),"+3",IF(OR(J284=18,J284=19),"+4",IF(OR(J284=20,J284=21),"+5",IF(OR(J284=22,J284=23),"+6",IF(OR(J284=24,J284=25),"+7",IF(OR(J284=26,J284=27),"+8",IF(OR(J284=28,J284=29),"+9",IF(J284=30,"+10"," "))))))))))))))))</f>
        <v>+5</v>
      </c>
      <c r="L284" s="3" t="n">
        <v>11</v>
      </c>
      <c r="M284" s="1" t="str">
        <f aca="false">IF(L284=1,"-5",IF(OR(L284=2,L284=3),"-4",IF(OR(L284=4,L284=5),"-3",IF(OR(L284=6,L284=7),"-2",IF(OR(L284=8,L284=9),"-1",IF(OR(L284=10,L284=11),"0",IF(OR(L284=12,L284=13),"+1",IF(OR(L284=14,L284=15),"+2",IF(OR(L284=16,L284=17),"+3",IF(OR(L284=18,L284=19),"+4",IF(OR(L284=20,L284=21),"+5",IF(OR(L284=22,L284=23),"+6",IF(OR(L284=24,L284=25),"+7",IF(OR(L284=26,L284=27),"+8",IF(OR(L284=28,L284=29),"+9",IF(L284=30,"+10"," "))))))))))))))))</f>
        <v>0</v>
      </c>
      <c r="N284" s="3" t="n">
        <v>18</v>
      </c>
      <c r="O284" s="1" t="str">
        <f aca="false">IF(N284=1,"-5",IF(OR(N284=2,N284=3),"-4",IF(OR(N284=4,N284=5),"-3",IF(OR(N284=6,N284=7),"-2",IF(OR(N284=8,N284=9),"-1",IF(OR(N284=10,N284=11),"0",IF(OR(N284=12,N284=13),"+1",IF(OR(N284=14,N284=15),"+2",IF(OR(N284=16,N284=17),"+3",IF(OR(N284=18,N284=19),"+4",IF(OR(N284=20,N284=21),"+5",IF(OR(N284=22,N284=23),"+6",IF(OR(N284=24,N284=25),"+7",IF(OR(N284=26,N284=27),"+8",IF(OR(N284=28,N284=29),"+9",IF(N284=30,"+10"," "))))))))))))))))</f>
        <v>+4</v>
      </c>
      <c r="P284" s="3" t="n">
        <v>2</v>
      </c>
      <c r="Q284" s="1" t="str">
        <f aca="false">IF(P284=1,"-5",IF(OR(P284=2,P284=3),"-4",IF(OR(P284=4,P284=5),"-3",IF(OR(P284=6,P284=7),"-2",IF(OR(P284=8,P284=9),"-1",IF(OR(P284=10,P284=11),"0",IF(OR(P284=12,P284=13),"+1",IF(OR(P284=14,P284=15),"+2",IF(OR(P284=16,P284=17),"+3",IF(OR(P284=18,P284=19),"+4",IF(OR(P284=20,P284=21),"+5",IF(OR(P284=22,P284=23),"+6",IF(OR(P284=24,P284=25),"+7",IF(OR(P284=26,P284=27),"+8",IF(OR(P284=28,P284=29),"+9",IF(P284=30,"+10"," "))))))))))))))))</f>
        <v>-4</v>
      </c>
      <c r="R284" s="3" t="n">
        <v>12</v>
      </c>
      <c r="S284" s="1" t="str">
        <f aca="false">IF(R284=1,"-5",IF(OR(R284=2,R284=3),"-4",IF(OR(R284=4,R284=5),"-3",IF(OR(R284=6,R284=7),"-2",IF(OR(R284=8,R284=9),"-1",IF(OR(R284=10,R284=11),"0",IF(OR(R284=12,R284=13),"+1",IF(OR(R284=14,R284=15),"+2",IF(OR(R284=16,R284=17),"+3",IF(OR(R284=18,R284=19),"+4",IF(OR(R284=20,R284=21),"+5",IF(OR(R284=22,R284=23),"+6",IF(OR(R284=24,R284=25),"+7",IF(OR(R284=26,R284=27),"+8",IF(OR(R284=28,R284=29),"+9",IF(R284=30,"+10"," "))))))))))))))))</f>
        <v>+1</v>
      </c>
      <c r="T284" s="3" t="n">
        <v>7</v>
      </c>
      <c r="U284" s="1" t="str">
        <f aca="false">IF(T284=1,"-5",IF(OR(T284=2,T284=3),"-4",IF(OR(T284=4,T284=5),"-3",IF(OR(T284=6,T284=7),"-2",IF(OR(T284=8,T284=9),"-1",IF(OR(T284=10,T284=11),"0",IF(OR(T284=12,T284=13),"+1",IF(OR(T284=14,T284=15),"+2",IF(OR(T284=16,T284=17),"+3",IF(OR(T284=18,T284=19),"+4",IF(OR(T284=20,T284=21),"+5",IF(OR(T284=22,T284=23),"+6",IF(OR(T284=24,T284=25),"+7",IF(OR(T284=26,T284=27),"+8",IF(OR(T284=28,T284=29),"+9",IF(T284=30,"+10"," "))))))))))))))))</f>
        <v>-2</v>
      </c>
      <c r="V284" s="3" t="s">
        <v>37</v>
      </c>
      <c r="W284" s="3" t="s">
        <v>37</v>
      </c>
      <c r="X284" s="11" t="s">
        <v>1482</v>
      </c>
      <c r="Y284" s="11" t="s">
        <v>1483</v>
      </c>
      <c r="Z284" s="11" t="s">
        <v>37</v>
      </c>
      <c r="AA284" s="12" t="s">
        <v>37</v>
      </c>
    </row>
    <row r="285" customFormat="false" ht="16.4" hidden="false" customHeight="false" outlineLevel="0" collapsed="false">
      <c r="A285" s="15" t="s">
        <v>1484</v>
      </c>
      <c r="B285" s="3" t="s">
        <v>221</v>
      </c>
      <c r="C285" s="3" t="s">
        <v>222</v>
      </c>
      <c r="D285" s="16" t="n">
        <v>17</v>
      </c>
      <c r="E285" s="6" t="n">
        <f aca="false">VLOOKUP(D285,'[1]REF Tables'!$A$2:$B$40,2)</f>
        <v>18000</v>
      </c>
      <c r="F285" s="3" t="s">
        <v>121</v>
      </c>
      <c r="G285" s="3" t="n">
        <v>19</v>
      </c>
      <c r="H285" s="3" t="s">
        <v>1485</v>
      </c>
      <c r="I285" s="3" t="s">
        <v>224</v>
      </c>
      <c r="J285" s="3" t="n">
        <v>25</v>
      </c>
      <c r="K285" s="1" t="str">
        <f aca="false">IF(J285=1,"-5",IF(OR(J285=2,J285=3),"-4",IF(OR(J285=4,J285=5),"-3",IF(OR(J285=6,J285=7),"-2",IF(OR(J285=8,J285=9),"-1",IF(OR(J285=10,J285=11),"0",IF(OR(J285=12,J285=13),"+1",IF(OR(J285=14,J285=15),"+2",IF(OR(J285=16,J285=17),"+3",IF(OR(J285=18,J285=19),"+4",IF(OR(J285=20,J285=21),"+5",IF(OR(J285=22,J285=23),"+6",IF(OR(J285=24,J285=25),"+7",IF(OR(J285=26,J285=27),"+8",IF(OR(J285=28,J285=29),"+9",IF(J285=30,"+10"," "))))))))))))))))</f>
        <v>+7</v>
      </c>
      <c r="L285" s="3" t="n">
        <v>11</v>
      </c>
      <c r="M285" s="1" t="str">
        <f aca="false">IF(L285=1,"-5",IF(OR(L285=2,L285=3),"-4",IF(OR(L285=4,L285=5),"-3",IF(OR(L285=6,L285=7),"-2",IF(OR(L285=8,L285=9),"-1",IF(OR(L285=10,L285=11),"0",IF(OR(L285=12,L285=13),"+1",IF(OR(L285=14,L285=15),"+2",IF(OR(L285=16,L285=17),"+3",IF(OR(L285=18,L285=19),"+4",IF(OR(L285=20,L285=21),"+5",IF(OR(L285=22,L285=23),"+6",IF(OR(L285=24,L285=25),"+7",IF(OR(L285=26,L285=27),"+8",IF(OR(L285=28,L285=29),"+9",IF(L285=30,"+10"," "))))))))))))))))</f>
        <v>0</v>
      </c>
      <c r="N285" s="3" t="n">
        <v>25</v>
      </c>
      <c r="O285" s="1" t="str">
        <f aca="false">IF(N285=1,"-5",IF(OR(N285=2,N285=3),"-4",IF(OR(N285=4,N285=5),"-3",IF(OR(N285=6,N285=7),"-2",IF(OR(N285=8,N285=9),"-1",IF(OR(N285=10,N285=11),"0",IF(OR(N285=12,N285=13),"+1",IF(OR(N285=14,N285=15),"+2",IF(OR(N285=16,N285=17),"+3",IF(OR(N285=18,N285=19),"+4",IF(OR(N285=20,N285=21),"+5",IF(OR(N285=22,N285=23),"+6",IF(OR(N285=24,N285=25),"+7",IF(OR(N285=26,N285=27),"+8",IF(OR(N285=28,N285=29),"+9",IF(N285=30,"+10"," "))))))))))))))))</f>
        <v>+7</v>
      </c>
      <c r="P285" s="3" t="n">
        <v>6</v>
      </c>
      <c r="Q285" s="1" t="str">
        <f aca="false">IF(P285=1,"-5",IF(OR(P285=2,P285=3),"-4",IF(OR(P285=4,P285=5),"-3",IF(OR(P285=6,P285=7),"-2",IF(OR(P285=8,P285=9),"-1",IF(OR(P285=10,P285=11),"0",IF(OR(P285=12,P285=13),"+1",IF(OR(P285=14,P285=15),"+2",IF(OR(P285=16,P285=17),"+3",IF(OR(P285=18,P285=19),"+4",IF(OR(P285=20,P285=21),"+5",IF(OR(P285=22,P285=23),"+6",IF(OR(P285=24,P285=25),"+7",IF(OR(P285=26,P285=27),"+8",IF(OR(P285=28,P285=29),"+9",IF(P285=30,"+10"," "))))))))))))))))</f>
        <v>-2</v>
      </c>
      <c r="R285" s="3" t="n">
        <v>13</v>
      </c>
      <c r="S285" s="1" t="str">
        <f aca="false">IF(R285=1,"-5",IF(OR(R285=2,R285=3),"-4",IF(OR(R285=4,R285=5),"-3",IF(OR(R285=6,R285=7),"-2",IF(OR(R285=8,R285=9),"-1",IF(OR(R285=10,R285=11),"0",IF(OR(R285=12,R285=13),"+1",IF(OR(R285=14,R285=15),"+2",IF(OR(R285=16,R285=17),"+3",IF(OR(R285=18,R285=19),"+4",IF(OR(R285=20,R285=21),"+5",IF(OR(R285=22,R285=23),"+6",IF(OR(R285=24,R285=25),"+7",IF(OR(R285=26,R285=27),"+8",IF(OR(R285=28,R285=29),"+9",IF(R285=30,"+10"," "))))))))))))))))</f>
        <v>+1</v>
      </c>
      <c r="T285" s="3" t="n">
        <v>14</v>
      </c>
      <c r="U285" s="1" t="str">
        <f aca="false">IF(T285=1,"-5",IF(OR(T285=2,T285=3),"-4",IF(OR(T285=4,T285=5),"-3",IF(OR(T285=6,T285=7),"-2",IF(OR(T285=8,T285=9),"-1",IF(OR(T285=10,T285=11),"0",IF(OR(T285=12,T285=13),"+1",IF(OR(T285=14,T285=15),"+2",IF(OR(T285=16,T285=17),"+3",IF(OR(T285=18,T285=19),"+4",IF(OR(T285=20,T285=21),"+5",IF(OR(T285=22,T285=23),"+6",IF(OR(T285=24,T285=25),"+7",IF(OR(T285=26,T285=27),"+8",IF(OR(T285=28,T285=29),"+9",IF(T285=30,"+10"," "))))))))))))))))</f>
        <v>+2</v>
      </c>
      <c r="V285" s="3" t="s">
        <v>1486</v>
      </c>
      <c r="W285" s="3" t="s">
        <v>226</v>
      </c>
      <c r="X285" s="11" t="s">
        <v>1487</v>
      </c>
      <c r="Y285" s="11" t="s">
        <v>1488</v>
      </c>
      <c r="Z285" s="11" t="s">
        <v>37</v>
      </c>
      <c r="AA285" s="12" t="s">
        <v>37</v>
      </c>
    </row>
    <row r="286" customFormat="false" ht="16.4" hidden="false" customHeight="false" outlineLevel="0" collapsed="false">
      <c r="A286" s="15" t="s">
        <v>1489</v>
      </c>
      <c r="B286" s="3" t="s">
        <v>1490</v>
      </c>
      <c r="C286" s="3" t="s">
        <v>222</v>
      </c>
      <c r="D286" s="16" t="n">
        <v>6</v>
      </c>
      <c r="E286" s="6" t="n">
        <f aca="false">VLOOKUP(D286,'[1]REF Tables'!$A$2:$B$40,2)</f>
        <v>2300</v>
      </c>
      <c r="F286" s="3" t="s">
        <v>121</v>
      </c>
      <c r="G286" s="3" t="n">
        <v>17</v>
      </c>
      <c r="H286" s="3" t="s">
        <v>1324</v>
      </c>
      <c r="I286" s="3" t="s">
        <v>210</v>
      </c>
      <c r="J286" s="3" t="n">
        <v>21</v>
      </c>
      <c r="K286" s="1" t="str">
        <f aca="false">IF(J286=1,"-5",IF(OR(J286=2,J286=3),"-4",IF(OR(J286=4,J286=5),"-3",IF(OR(J286=6,J286=7),"-2",IF(OR(J286=8,J286=9),"-1",IF(OR(J286=10,J286=11),"0",IF(OR(J286=12,J286=13),"+1",IF(OR(J286=14,J286=15),"+2",IF(OR(J286=16,J286=17),"+3",IF(OR(J286=18,J286=19),"+4",IF(OR(J286=20,J286=21),"+5",IF(OR(J286=22,J286=23),"+6",IF(OR(J286=24,J286=25),"+7",IF(OR(J286=26,J286=27),"+8",IF(OR(J286=28,J286=29),"+9",IF(J286=30,"+10"," "))))))))))))))))</f>
        <v>+5</v>
      </c>
      <c r="L286" s="3" t="n">
        <v>10</v>
      </c>
      <c r="M286" s="1" t="str">
        <f aca="false">IF(L286=1,"-5",IF(OR(L286=2,L286=3),"-4",IF(OR(L286=4,L286=5),"-3",IF(OR(L286=6,L286=7),"-2",IF(OR(L286=8,L286=9),"-1",IF(OR(L286=10,L286=11),"0",IF(OR(L286=12,L286=13),"+1",IF(OR(L286=14,L286=15),"+2",IF(OR(L286=16,L286=17),"+3",IF(OR(L286=18,L286=19),"+4",IF(OR(L286=20,L286=21),"+5",IF(OR(L286=22,L286=23),"+6",IF(OR(L286=24,L286=25),"+7",IF(OR(L286=26,L286=27),"+8",IF(OR(L286=28,L286=29),"+9",IF(L286=30,"+10"," "))))))))))))))))</f>
        <v>0</v>
      </c>
      <c r="N286" s="3" t="n">
        <v>18</v>
      </c>
      <c r="O286" s="1" t="str">
        <f aca="false">IF(N286=1,"-5",IF(OR(N286=2,N286=3),"-4",IF(OR(N286=4,N286=5),"-3",IF(OR(N286=6,N286=7),"-2",IF(OR(N286=8,N286=9),"-1",IF(OR(N286=10,N286=11),"0",IF(OR(N286=12,N286=13),"+1",IF(OR(N286=14,N286=15),"+2",IF(OR(N286=16,N286=17),"+3",IF(OR(N286=18,N286=19),"+4",IF(OR(N286=20,N286=21),"+5",IF(OR(N286=22,N286=23),"+6",IF(OR(N286=24,N286=25),"+7",IF(OR(N286=26,N286=27),"+8",IF(OR(N286=28,N286=29),"+9",IF(N286=30,"+10"," "))))))))))))))))</f>
        <v>+4</v>
      </c>
      <c r="P286" s="3" t="n">
        <v>5</v>
      </c>
      <c r="Q286" s="1" t="str">
        <f aca="false">IF(P286=1,"-5",IF(OR(P286=2,P286=3),"-4",IF(OR(P286=4,P286=5),"-3",IF(OR(P286=6,P286=7),"-2",IF(OR(P286=8,P286=9),"-1",IF(OR(P286=10,P286=11),"0",IF(OR(P286=12,P286=13),"+1",IF(OR(P286=14,P286=15),"+2",IF(OR(P286=16,P286=17),"+3",IF(OR(P286=18,P286=19),"+4",IF(OR(P286=20,P286=21),"+5",IF(OR(P286=22,P286=23),"+6",IF(OR(P286=24,P286=25),"+7",IF(OR(P286=26,P286=27),"+8",IF(OR(P286=28,P286=29),"+9",IF(P286=30,"+10"," "))))))))))))))))</f>
        <v>-3</v>
      </c>
      <c r="R286" s="3" t="n">
        <v>7</v>
      </c>
      <c r="S286" s="1" t="str">
        <f aca="false">IF(R286=1,"-5",IF(OR(R286=2,R286=3),"-4",IF(OR(R286=4,R286=5),"-3",IF(OR(R286=6,R286=7),"-2",IF(OR(R286=8,R286=9),"-1",IF(OR(R286=10,R286=11),"0",IF(OR(R286=12,R286=13),"+1",IF(OR(R286=14,R286=15),"+2",IF(OR(R286=16,R286=17),"+3",IF(OR(R286=18,R286=19),"+4",IF(OR(R286=20,R286=21),"+5",IF(OR(R286=22,R286=23),"+6",IF(OR(R286=24,R286=25),"+7",IF(OR(R286=26,R286=27),"+8",IF(OR(R286=28,R286=29),"+9",IF(R286=30,"+10"," "))))))))))))))))</f>
        <v>-2</v>
      </c>
      <c r="T286" s="3" t="n">
        <v>5</v>
      </c>
      <c r="U286" s="1" t="str">
        <f aca="false">IF(T286=1,"-5",IF(OR(T286=2,T286=3),"-4",IF(OR(T286=4,T286=5),"-3",IF(OR(T286=6,T286=7),"-2",IF(OR(T286=8,T286=9),"-1",IF(OR(T286=10,T286=11),"0",IF(OR(T286=12,T286=13),"+1",IF(OR(T286=14,T286=15),"+2",IF(OR(T286=16,T286=17),"+3",IF(OR(T286=18,T286=19),"+4",IF(OR(T286=20,T286=21),"+5",IF(OR(T286=22,T286=23),"+6",IF(OR(T286=24,T286=25),"+7",IF(OR(T286=26,T286=27),"+8",IF(OR(T286=28,T286=29),"+9",IF(T286=30,"+10"," "))))))))))))))))</f>
        <v>-3</v>
      </c>
      <c r="V286" s="3" t="s">
        <v>1491</v>
      </c>
      <c r="W286" s="3" t="s">
        <v>616</v>
      </c>
      <c r="X286" s="11" t="s">
        <v>1492</v>
      </c>
      <c r="Y286" s="11" t="s">
        <v>1493</v>
      </c>
      <c r="Z286" s="11" t="s">
        <v>37</v>
      </c>
      <c r="AA286" s="12" t="s">
        <v>37</v>
      </c>
    </row>
    <row r="287" customFormat="false" ht="16.4" hidden="false" customHeight="false" outlineLevel="0" collapsed="false">
      <c r="A287" s="14" t="s">
        <v>1494</v>
      </c>
      <c r="B287" s="1" t="s">
        <v>77</v>
      </c>
      <c r="C287" s="1" t="s">
        <v>222</v>
      </c>
      <c r="D287" s="5" t="n">
        <v>1</v>
      </c>
      <c r="E287" s="3" t="n">
        <f aca="false">VLOOKUP(D287,'[1]REF Tables'!$A$2:$B$40,2)</f>
        <v>200</v>
      </c>
      <c r="F287" s="1" t="s">
        <v>30</v>
      </c>
      <c r="G287" s="1" t="n">
        <v>12</v>
      </c>
      <c r="H287" s="1" t="s">
        <v>1087</v>
      </c>
      <c r="I287" s="3" t="s">
        <v>42</v>
      </c>
      <c r="J287" s="1" t="n">
        <v>13</v>
      </c>
      <c r="K287" s="1" t="str">
        <f aca="false">IF(J287=1,"-5",IF(OR(J287=2,J287=3),"-4",IF(OR(J287=4,J287=5),"-3",IF(OR(J287=6,J287=7),"-2",IF(OR(J287=8,J287=9),"-1",IF(OR(J287=10,J287=11),"0",IF(OR(J287=12,J287=13),"+1",IF(OR(J287=14,J287=15),"+2",IF(OR(J287=16,J287=17),"+3",IF(OR(J287=18,J287=19),"+4",IF(OR(J287=20,J287=21),"+5",IF(OR(J287=22,J287=23),"+6",IF(OR(J287=24,J287=25),"+7",IF(OR(J287=26,J287=27),"+8",IF(OR(J287=28,J287=29),"+9",IF(J287=30,"+10"," "))))))))))))))))</f>
        <v>+1</v>
      </c>
      <c r="L287" s="1" t="n">
        <v>15</v>
      </c>
      <c r="M287" s="1" t="str">
        <f aca="false">IF(L287=1,"-5",IF(OR(L287=2,L287=3),"-4",IF(OR(L287=4,L287=5),"-3",IF(OR(L287=6,L287=7),"-2",IF(OR(L287=8,L287=9),"-1",IF(OR(L287=10,L287=11),"0",IF(OR(L287=12,L287=13),"+1",IF(OR(L287=14,L287=15),"+2",IF(OR(L287=16,L287=17),"+3",IF(OR(L287=18,L287=19),"+4",IF(OR(L287=20,L287=21),"+5",IF(OR(L287=22,L287=23),"+6",IF(OR(L287=24,L287=25),"+7",IF(OR(L287=26,L287=27),"+8",IF(OR(L287=28,L287=29),"+9",IF(L287=30,"+10"," "))))))))))))))))</f>
        <v>+2</v>
      </c>
      <c r="N287" s="1" t="n">
        <v>10</v>
      </c>
      <c r="O287" s="1" t="str">
        <f aca="false">IF(N287=1,"-5",IF(OR(N287=2,N287=3),"-4",IF(OR(N287=4,N287=5),"-3",IF(OR(N287=6,N287=7),"-2",IF(OR(N287=8,N287=9),"-1",IF(OR(N287=10,N287=11),"0",IF(OR(N287=12,N287=13),"+1",IF(OR(N287=14,N287=15),"+2",IF(OR(N287=16,N287=17),"+3",IF(OR(N287=18,N287=19),"+4",IF(OR(N287=20,N287=21),"+5",IF(OR(N287=22,N287=23),"+6",IF(OR(N287=24,N287=25),"+7",IF(OR(N287=26,N287=27),"+8",IF(OR(N287=28,N287=29),"+9",IF(N287=30,"+10"," "))))))))))))))))</f>
        <v>0</v>
      </c>
      <c r="P287" s="1" t="n">
        <v>7</v>
      </c>
      <c r="Q287" s="1" t="str">
        <f aca="false">IF(P287=1,"-5",IF(OR(P287=2,P287=3),"-4",IF(OR(P287=4,P287=5),"-3",IF(OR(P287=6,P287=7),"-2",IF(OR(P287=8,P287=9),"-1",IF(OR(P287=10,P287=11),"0",IF(OR(P287=12,P287=13),"+1",IF(OR(P287=14,P287=15),"+2",IF(OR(P287=16,P287=17),"+3",IF(OR(P287=18,P287=19),"+4",IF(OR(P287=20,P287=21),"+5",IF(OR(P287=22,P287=23),"+6",IF(OR(P287=24,P287=25),"+7",IF(OR(P287=26,P287=27),"+8",IF(OR(P287=28,P287=29),"+9",IF(P287=30,"+10"," "))))))))))))))))</f>
        <v>-2</v>
      </c>
      <c r="R287" s="1" t="n">
        <v>10</v>
      </c>
      <c r="S287" s="1" t="str">
        <f aca="false">IF(R287=1,"-5",IF(OR(R287=2,R287=3),"-4",IF(OR(R287=4,R287=5),"-3",IF(OR(R287=6,R287=7),"-2",IF(OR(R287=8,R287=9),"-1",IF(OR(R287=10,R287=11),"0",IF(OR(R287=12,R287=13),"+1",IF(OR(R287=14,R287=15),"+2",IF(OR(R287=16,R287=17),"+3",IF(OR(R287=18,R287=19),"+4",IF(OR(R287=20,R287=21),"+5",IF(OR(R287=22,R287=23),"+6",IF(OR(R287=24,R287=25),"+7",IF(OR(R287=26,R287=27),"+8",IF(OR(R287=28,R287=29),"+9",IF(R287=30,"+10"," "))))))))))))))))</f>
        <v>0</v>
      </c>
      <c r="T287" s="1" t="n">
        <v>6</v>
      </c>
      <c r="U287" s="1" t="str">
        <f aca="false">IF(T287=1,"-5",IF(OR(T287=2,T287=3),"-4",IF(OR(T287=4,T287=5),"-3",IF(OR(T287=6,T287=7),"-2",IF(OR(T287=8,T287=9),"-1",IF(OR(T287=10,T287=11),"0",IF(OR(T287=12,T287=13),"+1",IF(OR(T287=14,T287=15),"+2",IF(OR(T287=16,T287=17),"+3",IF(OR(T287=18,T287=19),"+4",IF(OR(T287=20,T287=21),"+5",IF(OR(T287=22,T287=23),"+6",IF(OR(T287=24,T287=25),"+7",IF(OR(T287=26,T287=27),"+8",IF(OR(T287=28,T287=29),"+9",IF(T287=30,"+10"," "))))))))))))))))</f>
        <v>-2</v>
      </c>
      <c r="V287" s="1" t="s">
        <v>37</v>
      </c>
      <c r="W287" s="1" t="s">
        <v>271</v>
      </c>
      <c r="X287" s="2" t="s">
        <v>1495</v>
      </c>
      <c r="Y287" s="2" t="s">
        <v>1496</v>
      </c>
      <c r="Z287" s="2" t="s">
        <v>37</v>
      </c>
      <c r="AA287" s="1" t="s">
        <v>37</v>
      </c>
    </row>
    <row r="288" customFormat="false" ht="16.4" hidden="false" customHeight="false" outlineLevel="0" collapsed="false">
      <c r="A288" s="15" t="s">
        <v>1497</v>
      </c>
      <c r="B288" s="3" t="s">
        <v>59</v>
      </c>
      <c r="C288" s="3" t="s">
        <v>37</v>
      </c>
      <c r="D288" s="16" t="n">
        <v>0.5</v>
      </c>
      <c r="E288" s="3" t="n">
        <f aca="false">VLOOKUP(D288,'[1]REF Tables'!$A$2:$B$40,2)</f>
        <v>100</v>
      </c>
      <c r="F288" s="3" t="s">
        <v>30</v>
      </c>
      <c r="G288" s="3" t="n">
        <v>12</v>
      </c>
      <c r="H288" s="3" t="s">
        <v>1498</v>
      </c>
      <c r="I288" s="3" t="s">
        <v>131</v>
      </c>
      <c r="J288" s="3" t="n">
        <v>16</v>
      </c>
      <c r="K288" s="1" t="str">
        <f aca="false">IF(J288=1,"-5",IF(OR(J288=2,J288=3),"-4",IF(OR(J288=4,J288=5),"-3",IF(OR(J288=6,J288=7),"-2",IF(OR(J288=8,J288=9),"-1",IF(OR(J288=10,J288=11),"0",IF(OR(J288=12,J288=13),"+1",IF(OR(J288=14,J288=15),"+2",IF(OR(J288=16,J288=17),"+3",IF(OR(J288=18,J288=19),"+4",IF(OR(J288=20,J288=21),"+5",IF(OR(J288=22,J288=23),"+6",IF(OR(J288=24,J288=25),"+7",IF(OR(J288=26,J288=27),"+8",IF(OR(J288=28,J288=29),"+9",IF(J288=30,"+10"," "))))))))))))))))</f>
        <v>+3</v>
      </c>
      <c r="L288" s="3" t="n">
        <v>14</v>
      </c>
      <c r="M288" s="1" t="str">
        <f aca="false">IF(L288=1,"-5",IF(OR(L288=2,L288=3),"-4",IF(OR(L288=4,L288=5),"-3",IF(OR(L288=6,L288=7),"-2",IF(OR(L288=8,L288=9),"-1",IF(OR(L288=10,L288=11),"0",IF(OR(L288=12,L288=13),"+1",IF(OR(L288=14,L288=15),"+2",IF(OR(L288=16,L288=17),"+3",IF(OR(L288=18,L288=19),"+4",IF(OR(L288=20,L288=21),"+5",IF(OR(L288=22,L288=23),"+6",IF(OR(L288=24,L288=25),"+7",IF(OR(L288=26,L288=27),"+8",IF(OR(L288=28,L288=29),"+9",IF(L288=30,"+10"," "))))))))))))))))</f>
        <v>+2</v>
      </c>
      <c r="N288" s="3" t="n">
        <v>14</v>
      </c>
      <c r="O288" s="1" t="str">
        <f aca="false">IF(N288=1,"-5",IF(OR(N288=2,N288=3),"-4",IF(OR(N288=4,N288=5),"-3",IF(OR(N288=6,N288=7),"-2",IF(OR(N288=8,N288=9),"-1",IF(OR(N288=10,N288=11),"0",IF(OR(N288=12,N288=13),"+1",IF(OR(N288=14,N288=15),"+2",IF(OR(N288=16,N288=17),"+3",IF(OR(N288=18,N288=19),"+4",IF(OR(N288=20,N288=21),"+5",IF(OR(N288=22,N288=23),"+6",IF(OR(N288=24,N288=25),"+7",IF(OR(N288=26,N288=27),"+8",IF(OR(N288=28,N288=29),"+9",IF(N288=30,"+10"," "))))))))))))))))</f>
        <v>+2</v>
      </c>
      <c r="P288" s="3" t="n">
        <v>6</v>
      </c>
      <c r="Q288" s="1" t="str">
        <f aca="false">IF(P288=1,"-5",IF(OR(P288=2,P288=3),"-4",IF(OR(P288=4,P288=5),"-3",IF(OR(P288=6,P288=7),"-2",IF(OR(P288=8,P288=9),"-1",IF(OR(P288=10,P288=11),"0",IF(OR(P288=12,P288=13),"+1",IF(OR(P288=14,P288=15),"+2",IF(OR(P288=16,P288=17),"+3",IF(OR(P288=18,P288=19),"+4",IF(OR(P288=20,P288=21),"+5",IF(OR(P288=22,P288=23),"+6",IF(OR(P288=24,P288=25),"+7",IF(OR(P288=26,P288=27),"+8",IF(OR(P288=28,P288=29),"+9",IF(P288=30,"+10"," "))))))))))))))))</f>
        <v>-2</v>
      </c>
      <c r="R288" s="3" t="n">
        <v>12</v>
      </c>
      <c r="S288" s="1" t="str">
        <f aca="false">IF(R288=1,"-5",IF(OR(R288=2,R288=3),"-4",IF(OR(R288=4,R288=5),"-3",IF(OR(R288=6,R288=7),"-2",IF(OR(R288=8,R288=9),"-1",IF(OR(R288=10,R288=11),"0",IF(OR(R288=12,R288=13),"+1",IF(OR(R288=14,R288=15),"+2",IF(OR(R288=16,R288=17),"+3",IF(OR(R288=18,R288=19),"+4",IF(OR(R288=20,R288=21),"+5",IF(OR(R288=22,R288=23),"+6",IF(OR(R288=24,R288=25),"+7",IF(OR(R288=26,R288=27),"+8",IF(OR(R288=28,R288=29),"+9",IF(R288=30,"+10"," "))))))))))))))))</f>
        <v>+1</v>
      </c>
      <c r="T288" s="3" t="n">
        <v>7</v>
      </c>
      <c r="U288" s="1" t="str">
        <f aca="false">IF(T288=1,"-5",IF(OR(T288=2,T288=3),"-4",IF(OR(T288=4,T288=5),"-3",IF(OR(T288=6,T288=7),"-2",IF(OR(T288=8,T288=9),"-1",IF(OR(T288=10,T288=11),"0",IF(OR(T288=12,T288=13),"+1",IF(OR(T288=14,T288=15),"+2",IF(OR(T288=16,T288=17),"+3",IF(OR(T288=18,T288=19),"+4",IF(OR(T288=20,T288=21),"+5",IF(OR(T288=22,T288=23),"+6",IF(OR(T288=24,T288=25),"+7",IF(OR(T288=26,T288=27),"+8",IF(OR(T288=28,T288=29),"+9",IF(T288=30,"+10"," "))))))))))))))))</f>
        <v>-2</v>
      </c>
      <c r="V288" s="3" t="s">
        <v>1499</v>
      </c>
      <c r="W288" s="3" t="s">
        <v>37</v>
      </c>
      <c r="X288" s="11" t="s">
        <v>1218</v>
      </c>
      <c r="Y288" s="11" t="s">
        <v>1500</v>
      </c>
      <c r="Z288" s="11" t="s">
        <v>37</v>
      </c>
      <c r="AA288" s="12" t="s">
        <v>37</v>
      </c>
      <c r="AB288" s="1"/>
      <c r="AC288" s="1"/>
      <c r="AD288" s="1"/>
      <c r="AE288" s="1"/>
      <c r="AF288" s="1"/>
    </row>
    <row r="289" customFormat="false" ht="16.4" hidden="false" customHeight="false" outlineLevel="0" collapsed="false">
      <c r="A289" s="7" t="s">
        <v>1501</v>
      </c>
      <c r="B289" s="1" t="s">
        <v>1502</v>
      </c>
      <c r="C289" s="1" t="s">
        <v>222</v>
      </c>
      <c r="D289" s="8" t="n">
        <v>24</v>
      </c>
      <c r="E289" s="9" t="n">
        <f aca="false">VLOOKUP(D289,'[1]REF Tables'!$A$2:$B$40,2)</f>
        <v>62000</v>
      </c>
      <c r="F289" s="1" t="s">
        <v>50</v>
      </c>
      <c r="G289" s="10" t="n">
        <v>20</v>
      </c>
      <c r="H289" s="1" t="s">
        <v>1503</v>
      </c>
      <c r="I289" s="1" t="s">
        <v>224</v>
      </c>
      <c r="J289" s="10" t="n">
        <v>22</v>
      </c>
      <c r="K289" s="1" t="str">
        <f aca="false">IF(J289=1,"-5",IF(OR(J289=2,J289=3),"-4",IF(OR(J289=4,J289=5),"-3",IF(OR(J289=6,J289=7),"-2",IF(OR(J289=8,J289=9),"-1",IF(OR(J289=10,J289=11),"0",IF(OR(J289=12,J289=13),"+1",IF(OR(J289=14,J289=15),"+2",IF(OR(J289=16,J289=17),"+3",IF(OR(J289=18,J289=19),"+4",IF(OR(J289=20,J289=21),"+5",IF(OR(J289=22,J289=23),"+6",IF(OR(J289=24,J289=25),"+7",IF(OR(J289=26,J289=27),"+8",IF(OR(J289=28,J289=29),"+9",IF(J289=30,"+10"," "))))))))))))))))</f>
        <v>+6</v>
      </c>
      <c r="L289" s="10" t="n">
        <v>15</v>
      </c>
      <c r="M289" s="1" t="str">
        <f aca="false">IF(L289=1,"-5",IF(OR(L289=2,L289=3),"-4",IF(OR(L289=4,L289=5),"-3",IF(OR(L289=6,L289=7),"-2",IF(OR(L289=8,L289=9),"-1",IF(OR(L289=10,L289=11),"0",IF(OR(L289=12,L289=13),"+1",IF(OR(L289=14,L289=15),"+2",IF(OR(L289=16,L289=17),"+3",IF(OR(L289=18,L289=19),"+4",IF(OR(L289=20,L289=21),"+5",IF(OR(L289=22,L289=23),"+6",IF(OR(L289=24,L289=25),"+7",IF(OR(L289=26,L289=27),"+8",IF(OR(L289=28,L289=29),"+9",IF(L289=30,"+10"," "))))))))))))))))</f>
        <v>+2</v>
      </c>
      <c r="N289" s="10" t="n">
        <v>21</v>
      </c>
      <c r="O289" s="1" t="str">
        <f aca="false">IF(N289=1,"-5",IF(OR(N289=2,N289=3),"-4",IF(OR(N289=4,N289=5),"-3",IF(OR(N289=6,N289=7),"-2",IF(OR(N289=8,N289=9),"-1",IF(OR(N289=10,N289=11),"0",IF(OR(N289=12,N289=13),"+1",IF(OR(N289=14,N289=15),"+2",IF(OR(N289=16,N289=17),"+3",IF(OR(N289=18,N289=19),"+4",IF(OR(N289=20,N289=21),"+5",IF(OR(N289=22,N289=23),"+6",IF(OR(N289=24,N289=25),"+7",IF(OR(N289=26,N289=27),"+8",IF(OR(N289=28,N289=29),"+9",IF(N289=30,"+10"," "))))))))))))))))</f>
        <v>+5</v>
      </c>
      <c r="P289" s="10" t="n">
        <v>23</v>
      </c>
      <c r="Q289" s="1" t="str">
        <f aca="false">IF(P289=1,"-5",IF(OR(P289=2,P289=3),"-4",IF(OR(P289=4,P289=5),"-3",IF(OR(P289=6,P289=7),"-2",IF(OR(P289=8,P289=9),"-1",IF(OR(P289=10,P289=11),"0",IF(OR(P289=12,P289=13),"+1",IF(OR(P289=14,P289=15),"+2",IF(OR(P289=16,P289=17),"+3",IF(OR(P289=18,P289=19),"+4",IF(OR(P289=20,P289=21),"+5",IF(OR(P289=22,P289=23),"+6",IF(OR(P289=24,P289=25),"+7",IF(OR(P289=26,P289=27),"+8",IF(OR(P289=28,P289=29),"+9",IF(P289=30,"+10"," "))))))))))))))))</f>
        <v>+6</v>
      </c>
      <c r="R289" s="10" t="n">
        <v>21</v>
      </c>
      <c r="S289" s="1" t="str">
        <f aca="false">IF(R289=1,"-5",IF(OR(R289=2,R289=3),"-4",IF(OR(R289=4,R289=5),"-3",IF(OR(R289=6,R289=7),"-2",IF(OR(R289=8,R289=9),"-1",IF(OR(R289=10,R289=11),"0",IF(OR(R289=12,R289=13),"+1",IF(OR(R289=14,R289=15),"+2",IF(OR(R289=16,R289=17),"+3",IF(OR(R289=18,R289=19),"+4",IF(OR(R289=20,R289=21),"+5",IF(OR(R289=22,R289=23),"+6",IF(OR(R289=24,R289=25),"+7",IF(OR(R289=26,R289=27),"+8",IF(OR(R289=28,R289=29),"+9",IF(R289=30,"+10"," "))))))))))))))))</f>
        <v>+5</v>
      </c>
      <c r="T289" s="10" t="n">
        <v>26</v>
      </c>
      <c r="U289" s="1" t="str">
        <f aca="false">IF(T289=1,"-5",IF(OR(T289=2,T289=3),"-4",IF(OR(T289=4,T289=5),"-3",IF(OR(T289=6,T289=7),"-2",IF(OR(T289=8,T289=9),"-1",IF(OR(T289=10,T289=11),"0",IF(OR(T289=12,T289=13),"+1",IF(OR(T289=14,T289=15),"+2",IF(OR(T289=16,T289=17),"+3",IF(OR(T289=18,T289=19),"+4",IF(OR(T289=20,T289=21),"+5",IF(OR(T289=22,T289=23),"+6",IF(OR(T289=24,T289=25),"+7",IF(OR(T289=26,T289=27),"+8",IF(OR(T289=28,T289=29),"+9",IF(T289=30,"+10"," "))))))))))))))))</f>
        <v>+8</v>
      </c>
      <c r="V289" s="1" t="s">
        <v>1504</v>
      </c>
      <c r="W289" s="1" t="s">
        <v>174</v>
      </c>
      <c r="X289" s="11" t="s">
        <v>1505</v>
      </c>
      <c r="Y289" s="11" t="s">
        <v>1506</v>
      </c>
      <c r="Z289" s="11" t="s">
        <v>37</v>
      </c>
      <c r="AA289" s="12" t="s">
        <v>1507</v>
      </c>
    </row>
    <row r="290" customFormat="false" ht="16.4" hidden="false" customHeight="false" outlineLevel="0" collapsed="false">
      <c r="A290" s="15" t="s">
        <v>1508</v>
      </c>
      <c r="B290" s="3" t="s">
        <v>48</v>
      </c>
      <c r="C290" s="3" t="s">
        <v>85</v>
      </c>
      <c r="D290" s="16" t="n">
        <v>3</v>
      </c>
      <c r="E290" s="3" t="n">
        <f aca="false">VLOOKUP(D290,'[1]REF Tables'!$A$2:$B$40,2)</f>
        <v>700</v>
      </c>
      <c r="F290" s="3" t="s">
        <v>30</v>
      </c>
      <c r="G290" s="3" t="n">
        <v>12</v>
      </c>
      <c r="H290" s="3" t="s">
        <v>1509</v>
      </c>
      <c r="I290" s="3" t="s">
        <v>1510</v>
      </c>
      <c r="J290" s="3" t="n">
        <v>15</v>
      </c>
      <c r="K290" s="1" t="str">
        <f aca="false">IF(J290=1,"-5",IF(OR(J290=2,J290=3),"-4",IF(OR(J290=4,J290=5),"-3",IF(OR(J290=6,J290=7),"-2",IF(OR(J290=8,J290=9),"-1",IF(OR(J290=10,J290=11),"0",IF(OR(J290=12,J290=13),"+1",IF(OR(J290=14,J290=15),"+2",IF(OR(J290=16,J290=17),"+3",IF(OR(J290=18,J290=19),"+4",IF(OR(J290=20,J290=21),"+5",IF(OR(J290=22,J290=23),"+6",IF(OR(J290=24,J290=25),"+7",IF(OR(J290=26,J290=27),"+8",IF(OR(J290=28,J290=29),"+9",IF(J290=30,"+10"," "))))))))))))))))</f>
        <v>+2</v>
      </c>
      <c r="L290" s="3" t="n">
        <v>14</v>
      </c>
      <c r="M290" s="1" t="str">
        <f aca="false">IF(L290=1,"-5",IF(OR(L290=2,L290=3),"-4",IF(OR(L290=4,L290=5),"-3",IF(OR(L290=6,L290=7),"-2",IF(OR(L290=8,L290=9),"-1",IF(OR(L290=10,L290=11),"0",IF(OR(L290=12,L290=13),"+1",IF(OR(L290=14,L290=15),"+2",IF(OR(L290=16,L290=17),"+3",IF(OR(L290=18,L290=19),"+4",IF(OR(L290=20,L290=21),"+5",IF(OR(L290=22,L290=23),"+6",IF(OR(L290=24,L290=25),"+7",IF(OR(L290=26,L290=27),"+8",IF(OR(L290=28,L290=29),"+9",IF(L290=30,"+10"," "))))))))))))))))</f>
        <v>+2</v>
      </c>
      <c r="N290" s="3" t="n">
        <v>13</v>
      </c>
      <c r="O290" s="1" t="str">
        <f aca="false">IF(N290=1,"-5",IF(OR(N290=2,N290=3),"-4",IF(OR(N290=4,N290=5),"-3",IF(OR(N290=6,N290=7),"-2",IF(OR(N290=8,N290=9),"-1",IF(OR(N290=10,N290=11),"0",IF(OR(N290=12,N290=13),"+1",IF(OR(N290=14,N290=15),"+2",IF(OR(N290=16,N290=17),"+3",IF(OR(N290=18,N290=19),"+4",IF(OR(N290=20,N290=21),"+5",IF(OR(N290=22,N290=23),"+6",IF(OR(N290=24,N290=25),"+7",IF(OR(N290=26,N290=27),"+8",IF(OR(N290=28,N290=29),"+9",IF(N290=30,"+10"," "))))))))))))))))</f>
        <v>+1</v>
      </c>
      <c r="P290" s="3" t="n">
        <v>12</v>
      </c>
      <c r="Q290" s="1" t="str">
        <f aca="false">IF(P290=1,"-5",IF(OR(P290=2,P290=3),"-4",IF(OR(P290=4,P290=5),"-3",IF(OR(P290=6,P290=7),"-2",IF(OR(P290=8,P290=9),"-1",IF(OR(P290=10,P290=11),"0",IF(OR(P290=12,P290=13),"+1",IF(OR(P290=14,P290=15),"+2",IF(OR(P290=16,P290=17),"+3",IF(OR(P290=18,P290=19),"+4",IF(OR(P290=20,P290=21),"+5",IF(OR(P290=22,P290=23),"+6",IF(OR(P290=24,P290=25),"+7",IF(OR(P290=26,P290=27),"+8",IF(OR(P290=28,P290=29),"+9",IF(P290=30,"+10"," "))))))))))))))))</f>
        <v>+1</v>
      </c>
      <c r="R290" s="3" t="n">
        <v>11</v>
      </c>
      <c r="S290" s="1" t="str">
        <f aca="false">IF(R290=1,"-5",IF(OR(R290=2,R290=3),"-4",IF(OR(R290=4,R290=5),"-3",IF(OR(R290=6,R290=7),"-2",IF(OR(R290=8,R290=9),"-1",IF(OR(R290=10,R290=11),"0",IF(OR(R290=12,R290=13),"+1",IF(OR(R290=14,R290=15),"+2",IF(OR(R290=16,R290=17),"+3",IF(OR(R290=18,R290=19),"+4",IF(OR(R290=20,R290=21),"+5",IF(OR(R290=22,R290=23),"+6",IF(OR(R290=24,R290=25),"+7",IF(OR(R290=26,R290=27),"+8",IF(OR(R290=28,R290=29),"+9",IF(R290=30,"+10"," "))))))))))))))))</f>
        <v>0</v>
      </c>
      <c r="T290" s="3" t="n">
        <v>9</v>
      </c>
      <c r="U290" s="1" t="str">
        <f aca="false">IF(T290=1,"-5",IF(OR(T290=2,T290=3),"-4",IF(OR(T290=4,T290=5),"-3",IF(OR(T290=6,T290=7),"-2",IF(OR(T290=8,T290=9),"-1",IF(OR(T290=10,T290=11),"0",IF(OR(T290=12,T290=13),"+1",IF(OR(T290=14,T290=15),"+2",IF(OR(T290=16,T290=17),"+3",IF(OR(T290=18,T290=19),"+4",IF(OR(T290=20,T290=21),"+5",IF(OR(T290=22,T290=23),"+6",IF(OR(T290=24,T290=25),"+7",IF(OR(T290=26,T290=27),"+8",IF(OR(T290=28,T290=29),"+9",IF(T290=30,"+10"," "))))))))))))))))</f>
        <v>-1</v>
      </c>
      <c r="V290" s="3" t="s">
        <v>1511</v>
      </c>
      <c r="W290" s="3" t="s">
        <v>1512</v>
      </c>
      <c r="X290" s="11" t="s">
        <v>1513</v>
      </c>
      <c r="Y290" s="11" t="s">
        <v>1514</v>
      </c>
      <c r="Z290" s="11" t="s">
        <v>37</v>
      </c>
      <c r="AA290" s="12" t="s">
        <v>37</v>
      </c>
    </row>
    <row r="291" customFormat="false" ht="16.4" hidden="false" customHeight="false" outlineLevel="0" collapsed="false">
      <c r="A291" s="15" t="s">
        <v>1515</v>
      </c>
      <c r="B291" s="3" t="s">
        <v>59</v>
      </c>
      <c r="C291" s="3" t="s">
        <v>37</v>
      </c>
      <c r="D291" s="16" t="n">
        <v>0</v>
      </c>
      <c r="E291" s="3" t="n">
        <v>0</v>
      </c>
      <c r="F291" s="3" t="s">
        <v>315</v>
      </c>
      <c r="G291" s="3" t="n">
        <v>11</v>
      </c>
      <c r="H291" s="3" t="s">
        <v>316</v>
      </c>
      <c r="I291" s="3" t="s">
        <v>555</v>
      </c>
      <c r="J291" s="3" t="n">
        <v>1</v>
      </c>
      <c r="K291" s="1" t="str">
        <f aca="false">IF(J291=1,"-5",IF(OR(J291=2,J291=3),"-4",IF(OR(J291=4,J291=5),"-3",IF(OR(J291=6,J291=7),"-2",IF(OR(J291=8,J291=9),"-1",IF(OR(J291=10,J291=11),"0",IF(OR(J291=12,J291=13),"+1",IF(OR(J291=14,J291=15),"+2",IF(OR(J291=16,J291=17),"+3",IF(OR(J291=18,J291=19),"+4",IF(OR(J291=20,J291=21),"+5",IF(OR(J291=22,J291=23),"+6",IF(OR(J291=24,J291=25),"+7",IF(OR(J291=26,J291=27),"+8",IF(OR(J291=28,J291=29),"+9",IF(J291=30,"+10"," "))))))))))))))))</f>
        <v>-5</v>
      </c>
      <c r="L291" s="3" t="n">
        <v>13</v>
      </c>
      <c r="M291" s="1" t="str">
        <f aca="false">IF(L291=1,"-5",IF(OR(L291=2,L291=3),"-4",IF(OR(L291=4,L291=5),"-3",IF(OR(L291=6,L291=7),"-2",IF(OR(L291=8,L291=9),"-1",IF(OR(L291=10,L291=11),"0",IF(OR(L291=12,L291=13),"+1",IF(OR(L291=14,L291=15),"+2",IF(OR(L291=16,L291=17),"+3",IF(OR(L291=18,L291=19),"+4",IF(OR(L291=20,L291=21),"+5",IF(OR(L291=22,L291=23),"+6",IF(OR(L291=24,L291=25),"+7",IF(OR(L291=26,L291=27),"+8",IF(OR(L291=28,L291=29),"+9",IF(L291=30,"+10"," "))))))))))))))))</f>
        <v>+1</v>
      </c>
      <c r="N291" s="3" t="n">
        <v>8</v>
      </c>
      <c r="O291" s="1" t="str">
        <f aca="false">IF(N291=1,"-5",IF(OR(N291=2,N291=3),"-4",IF(OR(N291=4,N291=5),"-3",IF(OR(N291=6,N291=7),"-2",IF(OR(N291=8,N291=9),"-1",IF(OR(N291=10,N291=11),"0",IF(OR(N291=12,N291=13),"+1",IF(OR(N291=14,N291=15),"+2",IF(OR(N291=16,N291=17),"+3",IF(OR(N291=18,N291=19),"+4",IF(OR(N291=20,N291=21),"+5",IF(OR(N291=22,N291=23),"+6",IF(OR(N291=24,N291=25),"+7",IF(OR(N291=26,N291=27),"+8",IF(OR(N291=28,N291=29),"+9",IF(N291=30,"+10"," "))))))))))))))))</f>
        <v>-1</v>
      </c>
      <c r="P291" s="3" t="n">
        <v>1</v>
      </c>
      <c r="Q291" s="1" t="str">
        <f aca="false">IF(P291=1,"-5",IF(OR(P291=2,P291=3),"-4",IF(OR(P291=4,P291=5),"-3",IF(OR(P291=6,P291=7),"-2",IF(OR(P291=8,P291=9),"-1",IF(OR(P291=10,P291=11),"0",IF(OR(P291=12,P291=13),"+1",IF(OR(P291=14,P291=15),"+2",IF(OR(P291=16,P291=17),"+3",IF(OR(P291=18,P291=19),"+4",IF(OR(P291=20,P291=21),"+5",IF(OR(P291=22,P291=23),"+6",IF(OR(P291=24,P291=25),"+7",IF(OR(P291=26,P291=27),"+8",IF(OR(P291=28,P291=29),"+9",IF(P291=30,"+10"," "))))))))))))))))</f>
        <v>-5</v>
      </c>
      <c r="R291" s="3" t="n">
        <v>8</v>
      </c>
      <c r="S291" s="1" t="str">
        <f aca="false">IF(R291=1,"-5",IF(OR(R291=2,R291=3),"-4",IF(OR(R291=4,R291=5),"-3",IF(OR(R291=6,R291=7),"-2",IF(OR(R291=8,R291=9),"-1",IF(OR(R291=10,R291=11),"0",IF(OR(R291=12,R291=13),"+1",IF(OR(R291=14,R291=15),"+2",IF(OR(R291=16,R291=17),"+3",IF(OR(R291=18,R291=19),"+4",IF(OR(R291=20,R291=21),"+5",IF(OR(R291=22,R291=23),"+6",IF(OR(R291=24,R291=25),"+7",IF(OR(R291=26,R291=27),"+8",IF(OR(R291=28,R291=29),"+9",IF(R291=30,"+10"," "))))))))))))))))</f>
        <v>-1</v>
      </c>
      <c r="T291" s="3" t="n">
        <v>3</v>
      </c>
      <c r="U291" s="1" t="str">
        <f aca="false">IF(T291=1,"-5",IF(OR(T291=2,T291=3),"-4",IF(OR(T291=4,T291=5),"-3",IF(OR(T291=6,T291=7),"-2",IF(OR(T291=8,T291=9),"-1",IF(OR(T291=10,T291=11),"0",IF(OR(T291=12,T291=13),"+1",IF(OR(T291=14,T291=15),"+2",IF(OR(T291=16,T291=17),"+3",IF(OR(T291=18,T291=19),"+4",IF(OR(T291=20,T291=21),"+5",IF(OR(T291=22,T291=23),"+6",IF(OR(T291=24,T291=25),"+7",IF(OR(T291=26,T291=27),"+8",IF(OR(T291=28,T291=29),"+9",IF(T291=30,"+10"," "))))))))))))))))</f>
        <v>-4</v>
      </c>
      <c r="V291" s="3" t="s">
        <v>1516</v>
      </c>
      <c r="W291" s="3" t="s">
        <v>37</v>
      </c>
      <c r="X291" s="11" t="s">
        <v>1517</v>
      </c>
      <c r="Y291" s="11" t="s">
        <v>37</v>
      </c>
      <c r="Z291" s="11" t="s">
        <v>37</v>
      </c>
      <c r="AA291" s="12" t="s">
        <v>37</v>
      </c>
    </row>
    <row r="292" customFormat="false" ht="16.4" hidden="false" customHeight="false" outlineLevel="0" collapsed="false">
      <c r="A292" s="15" t="s">
        <v>1518</v>
      </c>
      <c r="B292" s="3" t="s">
        <v>59</v>
      </c>
      <c r="C292" s="3" t="s">
        <v>37</v>
      </c>
      <c r="D292" s="16" t="n">
        <v>0.25</v>
      </c>
      <c r="E292" s="3" t="n">
        <f aca="false">VLOOKUP(D292,'[1]REF Tables'!$A$2:$B$40,2)</f>
        <v>50</v>
      </c>
      <c r="F292" s="3" t="s">
        <v>30</v>
      </c>
      <c r="G292" s="3" t="n">
        <v>11</v>
      </c>
      <c r="H292" s="3" t="s">
        <v>1308</v>
      </c>
      <c r="I292" s="3" t="s">
        <v>534</v>
      </c>
      <c r="J292" s="3" t="n">
        <v>12</v>
      </c>
      <c r="K292" s="1" t="str">
        <f aca="false">IF(J292=1,"-5",IF(OR(J292=2,J292=3),"-4",IF(OR(J292=4,J292=5),"-3",IF(OR(J292=6,J292=7),"-2",IF(OR(J292=8,J292=9),"-1",IF(OR(J292=10,J292=11),"0",IF(OR(J292=12,J292=13),"+1",IF(OR(J292=14,J292=15),"+2",IF(OR(J292=16,J292=17),"+3",IF(OR(J292=18,J292=19),"+4",IF(OR(J292=20,J292=21),"+5",IF(OR(J292=22,J292=23),"+6",IF(OR(J292=24,J292=25),"+7",IF(OR(J292=26,J292=27),"+8",IF(OR(J292=28,J292=29),"+9",IF(J292=30,"+10"," "))))))))))))))))</f>
        <v>+1</v>
      </c>
      <c r="L292" s="3" t="n">
        <v>13</v>
      </c>
      <c r="M292" s="1" t="str">
        <f aca="false">IF(L292=1,"-5",IF(OR(L292=2,L292=3),"-4",IF(OR(L292=4,L292=5),"-3",IF(OR(L292=6,L292=7),"-2",IF(OR(L292=8,L292=9),"-1",IF(OR(L292=10,L292=11),"0",IF(OR(L292=12,L292=13),"+1",IF(OR(L292=14,L292=15),"+2",IF(OR(L292=16,L292=17),"+3",IF(OR(L292=18,L292=19),"+4",IF(OR(L292=20,L292=21),"+5",IF(OR(L292=22,L292=23),"+6",IF(OR(L292=24,L292=25),"+7",IF(OR(L292=26,L292=27),"+8",IF(OR(L292=28,L292=29),"+9",IF(L292=30,"+10"," "))))))))))))))))</f>
        <v>+1</v>
      </c>
      <c r="N292" s="3" t="n">
        <v>11</v>
      </c>
      <c r="O292" s="1" t="str">
        <f aca="false">IF(N292=1,"-5",IF(OR(N292=2,N292=3),"-4",IF(OR(N292=4,N292=5),"-3",IF(OR(N292=6,N292=7),"-2",IF(OR(N292=8,N292=9),"-1",IF(OR(N292=10,N292=11),"0",IF(OR(N292=12,N292=13),"+1",IF(OR(N292=14,N292=15),"+2",IF(OR(N292=16,N292=17),"+3",IF(OR(N292=18,N292=19),"+4",IF(OR(N292=20,N292=21),"+5",IF(OR(N292=22,N292=23),"+6",IF(OR(N292=24,N292=25),"+7",IF(OR(N292=26,N292=27),"+8",IF(OR(N292=28,N292=29),"+9",IF(N292=30,"+10"," "))))))))))))))))</f>
        <v>0</v>
      </c>
      <c r="P292" s="3" t="n">
        <v>2</v>
      </c>
      <c r="Q292" s="1" t="str">
        <f aca="false">IF(P292=1,"-5",IF(OR(P292=2,P292=3),"-4",IF(OR(P292=4,P292=5),"-3",IF(OR(P292=6,P292=7),"-2",IF(OR(P292=8,P292=9),"-1",IF(OR(P292=10,P292=11),"0",IF(OR(P292=12,P292=13),"+1",IF(OR(P292=14,P292=15),"+2",IF(OR(P292=16,P292=17),"+3",IF(OR(P292=18,P292=19),"+4",IF(OR(P292=20,P292=21),"+5",IF(OR(P292=22,P292=23),"+6",IF(OR(P292=24,P292=25),"+7",IF(OR(P292=26,P292=27),"+8",IF(OR(P292=28,P292=29),"+9",IF(P292=30,"+10"," "))))))))))))))))</f>
        <v>-4</v>
      </c>
      <c r="R292" s="3" t="n">
        <v>10</v>
      </c>
      <c r="S292" s="1" t="str">
        <f aca="false">IF(R292=1,"-5",IF(OR(R292=2,R292=3),"-4",IF(OR(R292=4,R292=5),"-3",IF(OR(R292=6,R292=7),"-2",IF(OR(R292=8,R292=9),"-1",IF(OR(R292=10,R292=11),"0",IF(OR(R292=12,R292=13),"+1",IF(OR(R292=14,R292=15),"+2",IF(OR(R292=16,R292=17),"+3",IF(OR(R292=18,R292=19),"+4",IF(OR(R292=20,R292=21),"+5",IF(OR(R292=22,R292=23),"+6",IF(OR(R292=24,R292=25),"+7",IF(OR(R292=26,R292=27),"+8",IF(OR(R292=28,R292=29),"+9",IF(R292=30,"+10"," "))))))))))))))))</f>
        <v>0</v>
      </c>
      <c r="T292" s="3" t="n">
        <v>3</v>
      </c>
      <c r="U292" s="1" t="str">
        <f aca="false">IF(T292=1,"-5",IF(OR(T292=2,T292=3),"-4",IF(OR(T292=4,T292=5),"-3",IF(OR(T292=6,T292=7),"-2",IF(OR(T292=8,T292=9),"-1",IF(OR(T292=10,T292=11),"0",IF(OR(T292=12,T292=13),"+1",IF(OR(T292=14,T292=15),"+2",IF(OR(T292=16,T292=17),"+3",IF(OR(T292=18,T292=19),"+4",IF(OR(T292=20,T292=21),"+5",IF(OR(T292=22,T292=23),"+6",IF(OR(T292=24,T292=25),"+7",IF(OR(T292=26,T292=27),"+8",IF(OR(T292=28,T292=29),"+9",IF(T292=30,"+10"," "))))))))))))))))</f>
        <v>-4</v>
      </c>
      <c r="V292" s="3" t="s">
        <v>1519</v>
      </c>
      <c r="W292" s="3" t="s">
        <v>37</v>
      </c>
      <c r="X292" s="11" t="s">
        <v>1520</v>
      </c>
      <c r="Y292" s="11" t="s">
        <v>1521</v>
      </c>
      <c r="Z292" s="11" t="s">
        <v>37</v>
      </c>
      <c r="AA292" s="12" t="s">
        <v>37</v>
      </c>
    </row>
    <row r="293" customFormat="false" ht="16.4" hidden="false" customHeight="false" outlineLevel="0" collapsed="false">
      <c r="A293" s="14" t="s">
        <v>1522</v>
      </c>
      <c r="B293" s="1" t="s">
        <v>1523</v>
      </c>
      <c r="C293" s="1" t="s">
        <v>230</v>
      </c>
      <c r="D293" s="5" t="n">
        <v>2</v>
      </c>
      <c r="E293" s="3" t="n">
        <f aca="false">VLOOKUP(D293,'[1]REF Tables'!$A$2:$B$40,2)</f>
        <v>450</v>
      </c>
      <c r="F293" s="1" t="s">
        <v>30</v>
      </c>
      <c r="G293" s="1" t="n">
        <v>14</v>
      </c>
      <c r="H293" s="1" t="s">
        <v>1206</v>
      </c>
      <c r="I293" s="3" t="s">
        <v>147</v>
      </c>
      <c r="J293" s="1" t="n">
        <v>14</v>
      </c>
      <c r="K293" s="1" t="str">
        <f aca="false">IF(J293=1,"-5",IF(OR(J293=2,J293=3),"-4",IF(OR(J293=4,J293=5),"-3",IF(OR(J293=6,J293=7),"-2",IF(OR(J293=8,J293=9),"-1",IF(OR(J293=10,J293=11),"0",IF(OR(J293=12,J293=13),"+1",IF(OR(J293=14,J293=15),"+2",IF(OR(J293=16,J293=17),"+3",IF(OR(J293=18,J293=19),"+4",IF(OR(J293=20,J293=21),"+5",IF(OR(J293=22,J293=23),"+6",IF(OR(J293=24,J293=25),"+7",IF(OR(J293=26,J293=27),"+8",IF(OR(J293=28,J293=29),"+9",IF(J293=30,"+10"," "))))))))))))))))</f>
        <v>+2</v>
      </c>
      <c r="L293" s="1" t="n">
        <v>14</v>
      </c>
      <c r="M293" s="1" t="str">
        <f aca="false">IF(L293=1,"-5",IF(OR(L293=2,L293=3),"-4",IF(OR(L293=4,L293=5),"-3",IF(OR(L293=6,L293=7),"-2",IF(OR(L293=8,L293=9),"-1",IF(OR(L293=10,L293=11),"0",IF(OR(L293=12,L293=13),"+1",IF(OR(L293=14,L293=15),"+2",IF(OR(L293=16,L293=17),"+3",IF(OR(L293=18,L293=19),"+4",IF(OR(L293=20,L293=21),"+5",IF(OR(L293=22,L293=23),"+6",IF(OR(L293=24,L293=25),"+7",IF(OR(L293=26,L293=27),"+8",IF(OR(L293=28,L293=29),"+9",IF(L293=30,"+10"," "))))))))))))))))</f>
        <v>+2</v>
      </c>
      <c r="N293" s="1" t="n">
        <v>11</v>
      </c>
      <c r="O293" s="1" t="str">
        <f aca="false">IF(N293=1,"-5",IF(OR(N293=2,N293=3),"-4",IF(OR(N293=4,N293=5),"-3",IF(OR(N293=6,N293=7),"-2",IF(OR(N293=8,N293=9),"-1",IF(OR(N293=10,N293=11),"0",IF(OR(N293=12,N293=13),"+1",IF(OR(N293=14,N293=15),"+2",IF(OR(N293=16,N293=17),"+3",IF(OR(N293=18,N293=19),"+4",IF(OR(N293=20,N293=21),"+5",IF(OR(N293=22,N293=23),"+6",IF(OR(N293=24,N293=25),"+7",IF(OR(N293=26,N293=27),"+8",IF(OR(N293=28,N293=29),"+9",IF(N293=30,"+10"," "))))))))))))))))</f>
        <v>0</v>
      </c>
      <c r="P293" s="1" t="n">
        <v>3</v>
      </c>
      <c r="Q293" s="1" t="str">
        <f aca="false">IF(P293=1,"-5",IF(OR(P293=2,P293=3),"-4",IF(OR(P293=4,P293=5),"-3",IF(OR(P293=6,P293=7),"-2",IF(OR(P293=8,P293=9),"-1",IF(OR(P293=10,P293=11),"0",IF(OR(P293=12,P293=13),"+1",IF(OR(P293=14,P293=15),"+2",IF(OR(P293=16,P293=17),"+3",IF(OR(P293=18,P293=19),"+4",IF(OR(P293=20,P293=21),"+5",IF(OR(P293=22,P293=23),"+6",IF(OR(P293=24,P293=25),"+7",IF(OR(P293=26,P293=27),"+8",IF(OR(P293=28,P293=29),"+9",IF(P293=30,"+10"," "))))))))))))))))</f>
        <v>-4</v>
      </c>
      <c r="R293" s="1" t="n">
        <v>14</v>
      </c>
      <c r="S293" s="1" t="str">
        <f aca="false">IF(R293=1,"-5",IF(OR(R293=2,R293=3),"-4",IF(OR(R293=4,R293=5),"-3",IF(OR(R293=6,R293=7),"-2",IF(OR(R293=8,R293=9),"-1",IF(OR(R293=10,R293=11),"0",IF(OR(R293=12,R293=13),"+1",IF(OR(R293=14,R293=15),"+2",IF(OR(R293=16,R293=17),"+3",IF(OR(R293=18,R293=19),"+4",IF(OR(R293=20,R293=21),"+5",IF(OR(R293=22,R293=23),"+6",IF(OR(R293=24,R293=25),"+7",IF(OR(R293=26,R293=27),"+8",IF(OR(R293=28,R293=29),"+9",IF(R293=30,"+10"," "))))))))))))))))</f>
        <v>+2</v>
      </c>
      <c r="T293" s="1" t="n">
        <v>5</v>
      </c>
      <c r="U293" s="1" t="str">
        <f aca="false">IF(T293=1,"-5",IF(OR(T293=2,T293=3),"-4",IF(OR(T293=4,T293=5),"-3",IF(OR(T293=6,T293=7),"-2",IF(OR(T293=8,T293=9),"-1",IF(OR(T293=10,T293=11),"0",IF(OR(T293=12,T293=13),"+1",IF(OR(T293=14,T293=15),"+2",IF(OR(T293=16,T293=17),"+3",IF(OR(T293=18,T293=19),"+4",IF(OR(T293=20,T293=21),"+5",IF(OR(T293=22,T293=23),"+6",IF(OR(T293=24,T293=25),"+7",IF(OR(T293=26,T293=27),"+8",IF(OR(T293=28,T293=29),"+9",IF(T293=30,"+10"," "))))))))))))))))</f>
        <v>-3</v>
      </c>
      <c r="V293" s="1" t="s">
        <v>37</v>
      </c>
      <c r="W293" s="1" t="s">
        <v>37</v>
      </c>
      <c r="X293" s="2" t="s">
        <v>1524</v>
      </c>
      <c r="Y293" s="2" t="s">
        <v>1525</v>
      </c>
      <c r="Z293" s="2" t="s">
        <v>37</v>
      </c>
      <c r="AA293" s="1" t="s">
        <v>37</v>
      </c>
    </row>
    <row r="294" customFormat="false" ht="16.4" hidden="false" customHeight="false" outlineLevel="0" collapsed="false">
      <c r="A294" s="15" t="s">
        <v>1526</v>
      </c>
      <c r="B294" s="3" t="s">
        <v>105</v>
      </c>
      <c r="C294" s="3" t="s">
        <v>230</v>
      </c>
      <c r="D294" s="16" t="n">
        <v>7</v>
      </c>
      <c r="E294" s="6" t="n">
        <f aca="false">VLOOKUP(D294,'[1]REF Tables'!$A$2:$B$40,2)</f>
        <v>2900</v>
      </c>
      <c r="F294" s="3" t="s">
        <v>50</v>
      </c>
      <c r="G294" s="3" t="n">
        <v>18</v>
      </c>
      <c r="H294" s="3" t="s">
        <v>1527</v>
      </c>
      <c r="I294" s="3" t="s">
        <v>131</v>
      </c>
      <c r="J294" s="3" t="n">
        <v>18</v>
      </c>
      <c r="K294" s="1" t="str">
        <f aca="false">IF(J294=1,"-5",IF(OR(J294=2,J294=3),"-4",IF(OR(J294=4,J294=5),"-3",IF(OR(J294=6,J294=7),"-2",IF(OR(J294=8,J294=9),"-1",IF(OR(J294=10,J294=11),"0",IF(OR(J294=12,J294=13),"+1",IF(OR(J294=14,J294=15),"+2",IF(OR(J294=16,J294=17),"+3",IF(OR(J294=18,J294=19),"+4",IF(OR(J294=20,J294=21),"+5",IF(OR(J294=22,J294=23),"+6",IF(OR(J294=24,J294=25),"+7",IF(OR(J294=26,J294=27),"+8",IF(OR(J294=28,J294=29),"+9",IF(J294=30,"+10"," "))))))))))))))))</f>
        <v>+4</v>
      </c>
      <c r="L294" s="3" t="n">
        <v>16</v>
      </c>
      <c r="M294" s="1" t="str">
        <f aca="false">IF(L294=1,"-5",IF(OR(L294=2,L294=3),"-4",IF(OR(L294=4,L294=5),"-3",IF(OR(L294=6,L294=7),"-2",IF(OR(L294=8,L294=9),"-1",IF(OR(L294=10,L294=11),"0",IF(OR(L294=12,L294=13),"+1",IF(OR(L294=14,L294=15),"+2",IF(OR(L294=16,L294=17),"+3",IF(OR(L294=18,L294=19),"+4",IF(OR(L294=20,L294=21),"+5",IF(OR(L294=22,L294=23),"+6",IF(OR(L294=24,L294=25),"+7",IF(OR(L294=26,L294=27),"+8",IF(OR(L294=28,L294=29),"+9",IF(L294=30,"+10"," "))))))))))))))))</f>
        <v>+3</v>
      </c>
      <c r="N294" s="3" t="n">
        <v>15</v>
      </c>
      <c r="O294" s="1" t="str">
        <f aca="false">IF(N294=1,"-5",IF(OR(N294=2,N294=3),"-4",IF(OR(N294=4,N294=5),"-3",IF(OR(N294=6,N294=7),"-2",IF(OR(N294=8,N294=9),"-1",IF(OR(N294=10,N294=11),"0",IF(OR(N294=12,N294=13),"+1",IF(OR(N294=14,N294=15),"+2",IF(OR(N294=16,N294=17),"+3",IF(OR(N294=18,N294=19),"+4",IF(OR(N294=20,N294=21),"+5",IF(OR(N294=22,N294=23),"+6",IF(OR(N294=24,N294=25),"+7",IF(OR(N294=26,N294=27),"+8",IF(OR(N294=28,N294=29),"+9",IF(N294=30,"+10"," "))))))))))))))))</f>
        <v>+2</v>
      </c>
      <c r="P294" s="3" t="n">
        <v>4</v>
      </c>
      <c r="Q294" s="1" t="str">
        <f aca="false">IF(P294=1,"-5",IF(OR(P294=2,P294=3),"-4",IF(OR(P294=4,P294=5),"-3",IF(OR(P294=6,P294=7),"-2",IF(OR(P294=8,P294=9),"-1",IF(OR(P294=10,P294=11),"0",IF(OR(P294=12,P294=13),"+1",IF(OR(P294=14,P294=15),"+2",IF(OR(P294=16,P294=17),"+3",IF(OR(P294=18,P294=19),"+4",IF(OR(P294=20,P294=21),"+5",IF(OR(P294=22,P294=23),"+6",IF(OR(P294=24,P294=25),"+7",IF(OR(P294=26,P294=27),"+8",IF(OR(P294=28,P294=29),"+9",IF(P294=30,"+10"," "))))))))))))))))</f>
        <v>-3</v>
      </c>
      <c r="R294" s="3" t="n">
        <v>14</v>
      </c>
      <c r="S294" s="1" t="str">
        <f aca="false">IF(R294=1,"-5",IF(OR(R294=2,R294=3),"-4",IF(OR(R294=4,R294=5),"-3",IF(OR(R294=6,R294=7),"-2",IF(OR(R294=8,R294=9),"-1",IF(OR(R294=10,R294=11),"0",IF(OR(R294=12,R294=13),"+1",IF(OR(R294=14,R294=15),"+2",IF(OR(R294=16,R294=17),"+3",IF(OR(R294=18,R294=19),"+4",IF(OR(R294=20,R294=21),"+5",IF(OR(R294=22,R294=23),"+6",IF(OR(R294=24,R294=25),"+7",IF(OR(R294=26,R294=27),"+8",IF(OR(R294=28,R294=29),"+9",IF(R294=30,"+10"," "))))))))))))))))</f>
        <v>+2</v>
      </c>
      <c r="T294" s="3" t="n">
        <v>9</v>
      </c>
      <c r="U294" s="1" t="str">
        <f aca="false">IF(T294=1,"-5",IF(OR(T294=2,T294=3),"-4",IF(OR(T294=4,T294=5),"-3",IF(OR(T294=6,T294=7),"-2",IF(OR(T294=8,T294=9),"-1",IF(OR(T294=10,T294=11),"0",IF(OR(T294=12,T294=13),"+1",IF(OR(T294=14,T294=15),"+2",IF(OR(T294=16,T294=17),"+3",IF(OR(T294=18,T294=19),"+4",IF(OR(T294=20,T294=21),"+5",IF(OR(T294=22,T294=23),"+6",IF(OR(T294=24,T294=25),"+7",IF(OR(T294=26,T294=27),"+8",IF(OR(T294=28,T294=29),"+9",IF(T294=30,"+10"," "))))))))))))))))</f>
        <v>-1</v>
      </c>
      <c r="V294" s="3" t="s">
        <v>37</v>
      </c>
      <c r="W294" s="3" t="s">
        <v>37</v>
      </c>
      <c r="X294" s="11" t="s">
        <v>1528</v>
      </c>
      <c r="Y294" s="11" t="s">
        <v>1529</v>
      </c>
      <c r="Z294" s="11" t="s">
        <v>37</v>
      </c>
      <c r="AA294" s="12" t="s">
        <v>37</v>
      </c>
    </row>
    <row r="295" customFormat="false" ht="16.4" hidden="false" customHeight="false" outlineLevel="0" collapsed="false">
      <c r="A295" s="15" t="s">
        <v>1530</v>
      </c>
      <c r="B295" s="3" t="s">
        <v>77</v>
      </c>
      <c r="C295" s="3" t="s">
        <v>85</v>
      </c>
      <c r="D295" s="16" t="n">
        <v>0</v>
      </c>
      <c r="E295" s="3" t="n">
        <f aca="false">VLOOKUP(D295,'[1]REF Tables'!$A$2:$B$40,2)</f>
        <v>10</v>
      </c>
      <c r="F295" s="3" t="s">
        <v>315</v>
      </c>
      <c r="G295" s="3" t="n">
        <v>12</v>
      </c>
      <c r="H295" s="3" t="s">
        <v>438</v>
      </c>
      <c r="I295" s="3" t="s">
        <v>563</v>
      </c>
      <c r="J295" s="3" t="n">
        <v>13</v>
      </c>
      <c r="K295" s="1" t="str">
        <f aca="false">IF(J295=1,"-5",IF(OR(J295=2,J295=3),"-4",IF(OR(J295=4,J295=5),"-3",IF(OR(J295=6,J295=7),"-2",IF(OR(J295=8,J295=9),"-1",IF(OR(J295=10,J295=11),"0",IF(OR(J295=12,J295=13),"+1",IF(OR(J295=14,J295=15),"+2",IF(OR(J295=16,J295=17),"+3",IF(OR(J295=18,J295=19),"+4",IF(OR(J295=20,J295=21),"+5",IF(OR(J295=22,J295=23),"+6",IF(OR(J295=24,J295=25),"+7",IF(OR(J295=26,J295=27),"+8",IF(OR(J295=28,J295=29),"+9",IF(J295=30,"+10"," "))))))))))))))))</f>
        <v>+1</v>
      </c>
      <c r="L295" s="3" t="n">
        <v>14</v>
      </c>
      <c r="M295" s="1" t="str">
        <f aca="false">IF(L295=1,"-5",IF(OR(L295=2,L295=3),"-4",IF(OR(L295=4,L295=5),"-3",IF(OR(L295=6,L295=7),"-2",IF(OR(L295=8,L295=9),"-1",IF(OR(L295=10,L295=11),"0",IF(OR(L295=12,L295=13),"+1",IF(OR(L295=14,L295=15),"+2",IF(OR(L295=16,L295=17),"+3",IF(OR(L295=18,L295=19),"+4",IF(OR(L295=20,L295=21),"+5",IF(OR(L295=22,L295=23),"+6",IF(OR(L295=24,L295=25),"+7",IF(OR(L295=26,L295=27),"+8",IF(OR(L295=28,L295=29),"+9",IF(L295=30,"+10"," "))))))))))))))))</f>
        <v>+2</v>
      </c>
      <c r="N295" s="3" t="n">
        <v>11</v>
      </c>
      <c r="O295" s="1" t="str">
        <f aca="false">IF(N295=1,"-5",IF(OR(N295=2,N295=3),"-4",IF(OR(N295=4,N295=5),"-3",IF(OR(N295=6,N295=7),"-2",IF(OR(N295=8,N295=9),"-1",IF(OR(N295=10,N295=11),"0",IF(OR(N295=12,N295=13),"+1",IF(OR(N295=14,N295=15),"+2",IF(OR(N295=16,N295=17),"+3",IF(OR(N295=18,N295=19),"+4",IF(OR(N295=20,N295=21),"+5",IF(OR(N295=22,N295=23),"+6",IF(OR(N295=24,N295=25),"+7",IF(OR(N295=26,N295=27),"+8",IF(OR(N295=28,N295=29),"+9",IF(N295=30,"+10"," "))))))))))))))))</f>
        <v>0</v>
      </c>
      <c r="P295" s="3" t="n">
        <v>5</v>
      </c>
      <c r="Q295" s="1" t="str">
        <f aca="false">IF(P295=1,"-5",IF(OR(P295=2,P295=3),"-4",IF(OR(P295=4,P295=5),"-3",IF(OR(P295=6,P295=7),"-2",IF(OR(P295=8,P295=9),"-1",IF(OR(P295=10,P295=11),"0",IF(OR(P295=12,P295=13),"+1",IF(OR(P295=14,P295=15),"+2",IF(OR(P295=16,P295=17),"+3",IF(OR(P295=18,P295=19),"+4",IF(OR(P295=20,P295=21),"+5",IF(OR(P295=22,P295=23),"+6",IF(OR(P295=24,P295=25),"+7",IF(OR(P295=26,P295=27),"+8",IF(OR(P295=28,P295=29),"+9",IF(P295=30,"+10"," "))))))))))))))))</f>
        <v>-3</v>
      </c>
      <c r="R295" s="3" t="n">
        <v>10</v>
      </c>
      <c r="S295" s="1" t="str">
        <f aca="false">IF(R295=1,"-5",IF(OR(R295=2,R295=3),"-4",IF(OR(R295=4,R295=5),"-3",IF(OR(R295=6,R295=7),"-2",IF(OR(R295=8,R295=9),"-1",IF(OR(R295=10,R295=11),"0",IF(OR(R295=12,R295=13),"+1",IF(OR(R295=14,R295=15),"+2",IF(OR(R295=16,R295=17),"+3",IF(OR(R295=18,R295=19),"+4",IF(OR(R295=20,R295=21),"+5",IF(OR(R295=22,R295=23),"+6",IF(OR(R295=24,R295=25),"+7",IF(OR(R295=26,R295=27),"+8",IF(OR(R295=28,R295=29),"+9",IF(R295=30,"+10"," "))))))))))))))))</f>
        <v>0</v>
      </c>
      <c r="T295" s="3" t="n">
        <v>4</v>
      </c>
      <c r="U295" s="1" t="str">
        <f aca="false">IF(T295=1,"-5",IF(OR(T295=2,T295=3),"-4",IF(OR(T295=4,T295=5),"-3",IF(OR(T295=6,T295=7),"-2",IF(OR(T295=8,T295=9),"-1",IF(OR(T295=10,T295=11),"0",IF(OR(T295=12,T295=13),"+1",IF(OR(T295=14,T295=15),"+2",IF(OR(T295=16,T295=17),"+3",IF(OR(T295=18,T295=19),"+4",IF(OR(T295=20,T295=21),"+5",IF(OR(T295=22,T295=23),"+6",IF(OR(T295=24,T295=25),"+7",IF(OR(T295=26,T295=27),"+8",IF(OR(T295=28,T295=29),"+9",IF(T295=30,"+10"," "))))))))))))))))</f>
        <v>-3</v>
      </c>
      <c r="V295" s="3" t="s">
        <v>37</v>
      </c>
      <c r="W295" s="3" t="s">
        <v>1531</v>
      </c>
      <c r="X295" s="11" t="s">
        <v>1532</v>
      </c>
      <c r="Y295" s="11" t="s">
        <v>1533</v>
      </c>
      <c r="Z295" s="11" t="s">
        <v>37</v>
      </c>
      <c r="AA295" s="12" t="s">
        <v>37</v>
      </c>
    </row>
    <row r="296" customFormat="false" ht="16.4" hidden="false" customHeight="false" outlineLevel="0" collapsed="false">
      <c r="A296" s="15" t="s">
        <v>1534</v>
      </c>
      <c r="B296" s="3" t="s">
        <v>105</v>
      </c>
      <c r="C296" s="3" t="s">
        <v>37</v>
      </c>
      <c r="D296" s="16" t="n">
        <v>2</v>
      </c>
      <c r="E296" s="3" t="n">
        <f aca="false">VLOOKUP(D296,'[1]REF Tables'!$A$2:$B$40,2)</f>
        <v>450</v>
      </c>
      <c r="F296" s="3" t="s">
        <v>50</v>
      </c>
      <c r="G296" s="3" t="n">
        <v>12</v>
      </c>
      <c r="H296" s="3" t="s">
        <v>1383</v>
      </c>
      <c r="I296" s="3" t="s">
        <v>1535</v>
      </c>
      <c r="J296" s="3" t="n">
        <v>18</v>
      </c>
      <c r="K296" s="1" t="str">
        <f aca="false">IF(J296=1,"-5",IF(OR(J296=2,J296=3),"-4",IF(OR(J296=4,J296=5),"-3",IF(OR(J296=6,J296=7),"-2",IF(OR(J296=8,J296=9),"-1",IF(OR(J296=10,J296=11),"0",IF(OR(J296=12,J296=13),"+1",IF(OR(J296=14,J296=15),"+2",IF(OR(J296=16,J296=17),"+3",IF(OR(J296=18,J296=19),"+4",IF(OR(J296=20,J296=21),"+5",IF(OR(J296=22,J296=23),"+6",IF(OR(J296=24,J296=25),"+7",IF(OR(J296=26,J296=27),"+8",IF(OR(J296=28,J296=29),"+9",IF(J296=30,"+10"," "))))))))))))))))</f>
        <v>+4</v>
      </c>
      <c r="L296" s="3" t="n">
        <v>15</v>
      </c>
      <c r="M296" s="1" t="str">
        <f aca="false">IF(L296=1,"-5",IF(OR(L296=2,L296=3),"-4",IF(OR(L296=4,L296=5),"-3",IF(OR(L296=6,L296=7),"-2",IF(OR(L296=8,L296=9),"-1",IF(OR(L296=10,L296=11),"0",IF(OR(L296=12,L296=13),"+1",IF(OR(L296=14,L296=15),"+2",IF(OR(L296=16,L296=17),"+3",IF(OR(L296=18,L296=19),"+4",IF(OR(L296=20,L296=21),"+5",IF(OR(L296=22,L296=23),"+6",IF(OR(L296=24,L296=25),"+7",IF(OR(L296=26,L296=27),"+8",IF(OR(L296=28,L296=29),"+9",IF(L296=30,"+10"," "))))))))))))))))</f>
        <v>+2</v>
      </c>
      <c r="N296" s="3" t="n">
        <v>16</v>
      </c>
      <c r="O296" s="1" t="str">
        <f aca="false">IF(N296=1,"-5",IF(OR(N296=2,N296=3),"-4",IF(OR(N296=4,N296=5),"-3",IF(OR(N296=6,N296=7),"-2",IF(OR(N296=8,N296=9),"-1",IF(OR(N296=10,N296=11),"0",IF(OR(N296=12,N296=13),"+1",IF(OR(N296=14,N296=15),"+2",IF(OR(N296=16,N296=17),"+3",IF(OR(N296=18,N296=19),"+4",IF(OR(N296=20,N296=21),"+5",IF(OR(N296=22,N296=23),"+6",IF(OR(N296=24,N296=25),"+7",IF(OR(N296=26,N296=27),"+8",IF(OR(N296=28,N296=29),"+9",IF(N296=30,"+10"," "))))))))))))))))</f>
        <v>+3</v>
      </c>
      <c r="P296" s="3" t="n">
        <v>2</v>
      </c>
      <c r="Q296" s="1" t="str">
        <f aca="false">IF(P296=1,"-5",IF(OR(P296=2,P296=3),"-4",IF(OR(P296=4,P296=5),"-3",IF(OR(P296=6,P296=7),"-2",IF(OR(P296=8,P296=9),"-1",IF(OR(P296=10,P296=11),"0",IF(OR(P296=12,P296=13),"+1",IF(OR(P296=14,P296=15),"+2",IF(OR(P296=16,P296=17),"+3",IF(OR(P296=18,P296=19),"+4",IF(OR(P296=20,P296=21),"+5",IF(OR(P296=22,P296=23),"+6",IF(OR(P296=24,P296=25),"+7",IF(OR(P296=26,P296=27),"+8",IF(OR(P296=28,P296=29),"+9",IF(P296=30,"+10"," "))))))))))))))))</f>
        <v>-4</v>
      </c>
      <c r="R296" s="3" t="n">
        <v>13</v>
      </c>
      <c r="S296" s="1" t="str">
        <f aca="false">IF(R296=1,"-5",IF(OR(R296=2,R296=3),"-4",IF(OR(R296=4,R296=5),"-3",IF(OR(R296=6,R296=7),"-2",IF(OR(R296=8,R296=9),"-1",IF(OR(R296=10,R296=11),"0",IF(OR(R296=12,R296=13),"+1",IF(OR(R296=14,R296=15),"+2",IF(OR(R296=16,R296=17),"+3",IF(OR(R296=18,R296=19),"+4",IF(OR(R296=20,R296=21),"+5",IF(OR(R296=22,R296=23),"+6",IF(OR(R296=24,R296=25),"+7",IF(OR(R296=26,R296=27),"+8",IF(OR(R296=28,R296=29),"+9",IF(R296=30,"+10"," "))))))))))))))))</f>
        <v>+1</v>
      </c>
      <c r="T296" s="3" t="n">
        <v>8</v>
      </c>
      <c r="U296" s="1" t="str">
        <f aca="false">IF(T296=1,"-5",IF(OR(T296=2,T296=3),"-4",IF(OR(T296=4,T296=5),"-3",IF(OR(T296=6,T296=7),"-2",IF(OR(T296=8,T296=9),"-1",IF(OR(T296=10,T296=11),"0",IF(OR(T296=12,T296=13),"+1",IF(OR(T296=14,T296=15),"+2",IF(OR(T296=16,T296=17),"+3",IF(OR(T296=18,T296=19),"+4",IF(OR(T296=20,T296=21),"+5",IF(OR(T296=22,T296=23),"+6",IF(OR(T296=24,T296=25),"+7",IF(OR(T296=26,T296=27),"+8",IF(OR(T296=28,T296=29),"+9",IF(T296=30,"+10"," "))))))))))))))))</f>
        <v>-1</v>
      </c>
      <c r="V296" s="3" t="s">
        <v>33</v>
      </c>
      <c r="W296" s="3" t="s">
        <v>37</v>
      </c>
      <c r="X296" s="11" t="s">
        <v>1536</v>
      </c>
      <c r="Y296" s="11" t="s">
        <v>1537</v>
      </c>
      <c r="Z296" s="11" t="s">
        <v>37</v>
      </c>
      <c r="AA296" s="12" t="s">
        <v>37</v>
      </c>
    </row>
    <row r="297" customFormat="false" ht="16.4" hidden="false" customHeight="false" outlineLevel="0" collapsed="false">
      <c r="A297" s="15" t="s">
        <v>1538</v>
      </c>
      <c r="B297" s="3" t="s">
        <v>1539</v>
      </c>
      <c r="C297" s="3" t="s">
        <v>49</v>
      </c>
      <c r="D297" s="16" t="n">
        <v>0.25</v>
      </c>
      <c r="E297" s="3" t="n">
        <f aca="false">VLOOKUP(D297,'[1]REF Tables'!$A$2:$B$40,2)</f>
        <v>50</v>
      </c>
      <c r="F297" s="3" t="s">
        <v>165</v>
      </c>
      <c r="G297" s="3" t="n">
        <v>12</v>
      </c>
      <c r="H297" s="3" t="s">
        <v>1540</v>
      </c>
      <c r="I297" s="3" t="s">
        <v>1541</v>
      </c>
      <c r="J297" s="3" t="n">
        <v>7</v>
      </c>
      <c r="K297" s="1" t="str">
        <f aca="false">IF(J297=1,"-5",IF(OR(J297=2,J297=3),"-4",IF(OR(J297=4,J297=5),"-3",IF(OR(J297=6,J297=7),"-2",IF(OR(J297=8,J297=9),"-1",IF(OR(J297=10,J297=11),"0",IF(OR(J297=12,J297=13),"+1",IF(OR(J297=14,J297=15),"+2",IF(OR(J297=16,J297=17),"+3",IF(OR(J297=18,J297=19),"+4",IF(OR(J297=20,J297=21),"+5",IF(OR(J297=22,J297=23),"+6",IF(OR(J297=24,J297=25),"+7",IF(OR(J297=26,J297=27),"+8",IF(OR(J297=28,J297=29),"+9",IF(J297=30,"+10"," "))))))))))))))))</f>
        <v>-2</v>
      </c>
      <c r="L297" s="3" t="n">
        <v>14</v>
      </c>
      <c r="M297" s="1" t="str">
        <f aca="false">IF(L297=1,"-5",IF(OR(L297=2,L297=3),"-4",IF(OR(L297=4,L297=5),"-3",IF(OR(L297=6,L297=7),"-2",IF(OR(L297=8,L297=9),"-1",IF(OR(L297=10,L297=11),"0",IF(OR(L297=12,L297=13),"+1",IF(OR(L297=14,L297=15),"+2",IF(OR(L297=16,L297=17),"+3",IF(OR(L297=18,L297=19),"+4",IF(OR(L297=20,L297=21),"+5",IF(OR(L297=22,L297=23),"+6",IF(OR(L297=24,L297=25),"+7",IF(OR(L297=26,L297=27),"+8",IF(OR(L297=28,L297=29),"+9",IF(L297=30,"+10"," "))))))))))))))))</f>
        <v>+2</v>
      </c>
      <c r="N297" s="3" t="n">
        <v>15</v>
      </c>
      <c r="O297" s="1" t="str">
        <f aca="false">IF(N297=1,"-5",IF(OR(N297=2,N297=3),"-4",IF(OR(N297=4,N297=5),"-3",IF(OR(N297=6,N297=7),"-2",IF(OR(N297=8,N297=9),"-1",IF(OR(N297=10,N297=11),"0",IF(OR(N297=12,N297=13),"+1",IF(OR(N297=14,N297=15),"+2",IF(OR(N297=16,N297=17),"+3",IF(OR(N297=18,N297=19),"+4",IF(OR(N297=20,N297=21),"+5",IF(OR(N297=22,N297=23),"+6",IF(OR(N297=24,N297=25),"+7",IF(OR(N297=26,N297=27),"+8",IF(OR(N297=28,N297=29),"+9",IF(N297=30,"+10"," "))))))))))))))))</f>
        <v>+2</v>
      </c>
      <c r="P297" s="3" t="n">
        <v>10</v>
      </c>
      <c r="Q297" s="1" t="str">
        <f aca="false">IF(P297=1,"-5",IF(OR(P297=2,P297=3),"-4",IF(OR(P297=4,P297=5),"-3",IF(OR(P297=6,P297=7),"-2",IF(OR(P297=8,P297=9),"-1",IF(OR(P297=10,P297=11),"0",IF(OR(P297=12,P297=13),"+1",IF(OR(P297=14,P297=15),"+2",IF(OR(P297=16,P297=17),"+3",IF(OR(P297=18,P297=19),"+4",IF(OR(P297=20,P297=21),"+5",IF(OR(P297=22,P297=23),"+6",IF(OR(P297=24,P297=25),"+7",IF(OR(P297=26,P297=27),"+8",IF(OR(P297=28,P297=29),"+9",IF(P297=30,"+10"," "))))))))))))))))</f>
        <v>0</v>
      </c>
      <c r="R297" s="3" t="n">
        <v>11</v>
      </c>
      <c r="S297" s="1" t="str">
        <f aca="false">IF(R297=1,"-5",IF(OR(R297=2,R297=3),"-4",IF(OR(R297=4,R297=5),"-3",IF(OR(R297=6,R297=7),"-2",IF(OR(R297=8,R297=9),"-1",IF(OR(R297=10,R297=11),"0",IF(OR(R297=12,R297=13),"+1",IF(OR(R297=14,R297=15),"+2",IF(OR(R297=16,R297=17),"+3",IF(OR(R297=18,R297=19),"+4",IF(OR(R297=20,R297=21),"+5",IF(OR(R297=22,R297=23),"+6",IF(OR(R297=24,R297=25),"+7",IF(OR(R297=26,R297=27),"+8",IF(OR(R297=28,R297=29),"+9",IF(R297=30,"+10"," "))))))))))))))))</f>
        <v>0</v>
      </c>
      <c r="T297" s="3" t="n">
        <v>10</v>
      </c>
      <c r="U297" s="1" t="str">
        <f aca="false">IF(T297=1,"-5",IF(OR(T297=2,T297=3),"-4",IF(OR(T297=4,T297=5),"-3",IF(OR(T297=6,T297=7),"-2",IF(OR(T297=8,T297=9),"-1",IF(OR(T297=10,T297=11),"0",IF(OR(T297=12,T297=13),"+1",IF(OR(T297=14,T297=15),"+2",IF(OR(T297=16,T297=17),"+3",IF(OR(T297=18,T297=19),"+4",IF(OR(T297=20,T297=21),"+5",IF(OR(T297=22,T297=23),"+6",IF(OR(T297=24,T297=25),"+7",IF(OR(T297=26,T297=27),"+8",IF(OR(T297=28,T297=29),"+9",IF(T297=30,"+10"," "))))))))))))))))</f>
        <v>0</v>
      </c>
      <c r="V297" s="3" t="s">
        <v>1542</v>
      </c>
      <c r="W297" s="3" t="s">
        <v>1543</v>
      </c>
      <c r="X297" s="11" t="s">
        <v>1544</v>
      </c>
      <c r="Y297" s="11" t="s">
        <v>1545</v>
      </c>
      <c r="Z297" s="11" t="s">
        <v>37</v>
      </c>
      <c r="AA297" s="12" t="s">
        <v>37</v>
      </c>
    </row>
    <row r="298" customFormat="false" ht="16.4" hidden="false" customHeight="false" outlineLevel="0" collapsed="false">
      <c r="A298" s="15" t="s">
        <v>1546</v>
      </c>
      <c r="B298" s="3" t="s">
        <v>1539</v>
      </c>
      <c r="C298" s="3" t="s">
        <v>49</v>
      </c>
      <c r="D298" s="16" t="n">
        <v>2</v>
      </c>
      <c r="E298" s="3" t="n">
        <f aca="false">VLOOKUP(D298,'[1]REF Tables'!$A$2:$B$40,2)</f>
        <v>450</v>
      </c>
      <c r="F298" s="3" t="s">
        <v>165</v>
      </c>
      <c r="G298" s="3" t="n">
        <v>13</v>
      </c>
      <c r="H298" s="3" t="s">
        <v>1547</v>
      </c>
      <c r="I298" s="3" t="s">
        <v>1541</v>
      </c>
      <c r="J298" s="3" t="n">
        <v>7</v>
      </c>
      <c r="K298" s="1" t="str">
        <f aca="false">IF(J298=1,"-5",IF(OR(J298=2,J298=3),"-4",IF(OR(J298=4,J298=5),"-3",IF(OR(J298=6,J298=7),"-2",IF(OR(J298=8,J298=9),"-1",IF(OR(J298=10,J298=11),"0",IF(OR(J298=12,J298=13),"+1",IF(OR(J298=14,J298=15),"+2",IF(OR(J298=16,J298=17),"+3",IF(OR(J298=18,J298=19),"+4",IF(OR(J298=20,J298=21),"+5",IF(OR(J298=22,J298=23),"+6",IF(OR(J298=24,J298=25),"+7",IF(OR(J298=26,J298=27),"+8",IF(OR(J298=28,J298=29),"+9",IF(J298=30,"+10"," "))))))))))))))))</f>
        <v>-2</v>
      </c>
      <c r="L298" s="3" t="n">
        <v>16</v>
      </c>
      <c r="M298" s="1" t="str">
        <f aca="false">IF(L298=1,"-5",IF(OR(L298=2,L298=3),"-4",IF(OR(L298=4,L298=5),"-3",IF(OR(L298=6,L298=7),"-2",IF(OR(L298=8,L298=9),"-1",IF(OR(L298=10,L298=11),"0",IF(OR(L298=12,L298=13),"+1",IF(OR(L298=14,L298=15),"+2",IF(OR(L298=16,L298=17),"+3",IF(OR(L298=18,L298=19),"+4",IF(OR(L298=20,L298=21),"+5",IF(OR(L298=22,L298=23),"+6",IF(OR(L298=24,L298=25),"+7",IF(OR(L298=26,L298=27),"+8",IF(OR(L298=28,L298=29),"+9",IF(L298=30,"+10"," "))))))))))))))))</f>
        <v>+3</v>
      </c>
      <c r="N298" s="3" t="n">
        <v>15</v>
      </c>
      <c r="O298" s="1" t="str">
        <f aca="false">IF(N298=1,"-5",IF(OR(N298=2,N298=3),"-4",IF(OR(N298=4,N298=5),"-3",IF(OR(N298=6,N298=7),"-2",IF(OR(N298=8,N298=9),"-1",IF(OR(N298=10,N298=11),"0",IF(OR(N298=12,N298=13),"+1",IF(OR(N298=14,N298=15),"+2",IF(OR(N298=16,N298=17),"+3",IF(OR(N298=18,N298=19),"+4",IF(OR(N298=20,N298=21),"+5",IF(OR(N298=22,N298=23),"+6",IF(OR(N298=24,N298=25),"+7",IF(OR(N298=26,N298=27),"+8",IF(OR(N298=28,N298=29),"+9",IF(N298=30,"+10"," "))))))))))))))))</f>
        <v>+2</v>
      </c>
      <c r="P298" s="3" t="n">
        <v>10</v>
      </c>
      <c r="Q298" s="1" t="str">
        <f aca="false">IF(P298=1,"-5",IF(OR(P298=2,P298=3),"-4",IF(OR(P298=4,P298=5),"-3",IF(OR(P298=6,P298=7),"-2",IF(OR(P298=8,P298=9),"-1",IF(OR(P298=10,P298=11),"0",IF(OR(P298=12,P298=13),"+1",IF(OR(P298=14,P298=15),"+2",IF(OR(P298=16,P298=17),"+3",IF(OR(P298=18,P298=19),"+4",IF(OR(P298=20,P298=21),"+5",IF(OR(P298=22,P298=23),"+6",IF(OR(P298=24,P298=25),"+7",IF(OR(P298=26,P298=27),"+8",IF(OR(P298=28,P298=29),"+9",IF(P298=30,"+10"," "))))))))))))))))</f>
        <v>0</v>
      </c>
      <c r="R298" s="3" t="n">
        <v>11</v>
      </c>
      <c r="S298" s="1" t="str">
        <f aca="false">IF(R298=1,"-5",IF(OR(R298=2,R298=3),"-4",IF(OR(R298=4,R298=5),"-3",IF(OR(R298=6,R298=7),"-2",IF(OR(R298=8,R298=9),"-1",IF(OR(R298=10,R298=11),"0",IF(OR(R298=12,R298=13),"+1",IF(OR(R298=14,R298=15),"+2",IF(OR(R298=16,R298=17),"+3",IF(OR(R298=18,R298=19),"+4",IF(OR(R298=20,R298=21),"+5",IF(OR(R298=22,R298=23),"+6",IF(OR(R298=24,R298=25),"+7",IF(OR(R298=26,R298=27),"+8",IF(OR(R298=28,R298=29),"+9",IF(R298=30,"+10"," "))))))))))))))))</f>
        <v>0</v>
      </c>
      <c r="T298" s="3" t="n">
        <v>12</v>
      </c>
      <c r="U298" s="1" t="str">
        <f aca="false">IF(T298=1,"-5",IF(OR(T298=2,T298=3),"-4",IF(OR(T298=4,T298=5),"-3",IF(OR(T298=6,T298=7),"-2",IF(OR(T298=8,T298=9),"-1",IF(OR(T298=10,T298=11),"0",IF(OR(T298=12,T298=13),"+1",IF(OR(T298=14,T298=15),"+2",IF(OR(T298=16,T298=17),"+3",IF(OR(T298=18,T298=19),"+4",IF(OR(T298=20,T298=21),"+5",IF(OR(T298=22,T298=23),"+6",IF(OR(T298=24,T298=25),"+7",IF(OR(T298=26,T298=27),"+8",IF(OR(T298=28,T298=29),"+9",IF(T298=30,"+10"," "))))))))))))))))</f>
        <v>+1</v>
      </c>
      <c r="V298" s="3" t="s">
        <v>1548</v>
      </c>
      <c r="W298" s="3" t="s">
        <v>1543</v>
      </c>
      <c r="X298" s="11" t="s">
        <v>1544</v>
      </c>
      <c r="Y298" s="11" t="s">
        <v>1549</v>
      </c>
      <c r="Z298" s="11" t="s">
        <v>37</v>
      </c>
      <c r="AA298" s="12" t="s">
        <v>37</v>
      </c>
    </row>
    <row r="299" customFormat="false" ht="16.4" hidden="false" customHeight="false" outlineLevel="0" collapsed="false">
      <c r="A299" s="15" t="s">
        <v>1550</v>
      </c>
      <c r="B299" s="3" t="s">
        <v>1539</v>
      </c>
      <c r="C299" s="3" t="s">
        <v>49</v>
      </c>
      <c r="D299" s="16" t="n">
        <v>1</v>
      </c>
      <c r="E299" s="3" t="n">
        <f aca="false">VLOOKUP(D299,'[1]REF Tables'!$A$2:$B$40,2)</f>
        <v>200</v>
      </c>
      <c r="F299" s="3" t="s">
        <v>165</v>
      </c>
      <c r="G299" s="3" t="n">
        <v>13</v>
      </c>
      <c r="H299" s="3" t="s">
        <v>1551</v>
      </c>
      <c r="I299" s="3" t="s">
        <v>1541</v>
      </c>
      <c r="J299" s="3" t="n">
        <v>7</v>
      </c>
      <c r="K299" s="1" t="str">
        <f aca="false">IF(J299=1,"-5",IF(OR(J299=2,J299=3),"-4",IF(OR(J299=4,J299=5),"-3",IF(OR(J299=6,J299=7),"-2",IF(OR(J299=8,J299=9),"-1",IF(OR(J299=10,J299=11),"0",IF(OR(J299=12,J299=13),"+1",IF(OR(J299=14,J299=15),"+2",IF(OR(J299=16,J299=17),"+3",IF(OR(J299=18,J299=19),"+4",IF(OR(J299=20,J299=21),"+5",IF(OR(J299=22,J299=23),"+6",IF(OR(J299=24,J299=25),"+7",IF(OR(J299=26,J299=27),"+8",IF(OR(J299=28,J299=29),"+9",IF(J299=30,"+10"," "))))))))))))))))</f>
        <v>-2</v>
      </c>
      <c r="L299" s="3" t="n">
        <v>16</v>
      </c>
      <c r="M299" s="1" t="str">
        <f aca="false">IF(L299=1,"-5",IF(OR(L299=2,L299=3),"-4",IF(OR(L299=4,L299=5),"-3",IF(OR(L299=6,L299=7),"-2",IF(OR(L299=8,L299=9),"-1",IF(OR(L299=10,L299=11),"0",IF(OR(L299=12,L299=13),"+1",IF(OR(L299=14,L299=15),"+2",IF(OR(L299=16,L299=17),"+3",IF(OR(L299=18,L299=19),"+4",IF(OR(L299=20,L299=21),"+5",IF(OR(L299=22,L299=23),"+6",IF(OR(L299=24,L299=25),"+7",IF(OR(L299=26,L299=27),"+8",IF(OR(L299=28,L299=29),"+9",IF(L299=30,"+10"," "))))))))))))))))</f>
        <v>+3</v>
      </c>
      <c r="N299" s="3" t="n">
        <v>15</v>
      </c>
      <c r="O299" s="1" t="str">
        <f aca="false">IF(N299=1,"-5",IF(OR(N299=2,N299=3),"-4",IF(OR(N299=4,N299=5),"-3",IF(OR(N299=6,N299=7),"-2",IF(OR(N299=8,N299=9),"-1",IF(OR(N299=10,N299=11),"0",IF(OR(N299=12,N299=13),"+1",IF(OR(N299=14,N299=15),"+2",IF(OR(N299=16,N299=17),"+3",IF(OR(N299=18,N299=19),"+4",IF(OR(N299=20,N299=21),"+5",IF(OR(N299=22,N299=23),"+6",IF(OR(N299=24,N299=25),"+7",IF(OR(N299=26,N299=27),"+8",IF(OR(N299=28,N299=29),"+9",IF(N299=30,"+10"," "))))))))))))))))</f>
        <v>+2</v>
      </c>
      <c r="P299" s="3" t="n">
        <v>10</v>
      </c>
      <c r="Q299" s="1" t="str">
        <f aca="false">IF(P299=1,"-5",IF(OR(P299=2,P299=3),"-4",IF(OR(P299=4,P299=5),"-3",IF(OR(P299=6,P299=7),"-2",IF(OR(P299=8,P299=9),"-1",IF(OR(P299=10,P299=11),"0",IF(OR(P299=12,P299=13),"+1",IF(OR(P299=14,P299=15),"+2",IF(OR(P299=16,P299=17),"+3",IF(OR(P299=18,P299=19),"+4",IF(OR(P299=20,P299=21),"+5",IF(OR(P299=22,P299=23),"+6",IF(OR(P299=24,P299=25),"+7",IF(OR(P299=26,P299=27),"+8",IF(OR(P299=28,P299=29),"+9",IF(P299=30,"+10"," "))))))))))))))))</f>
        <v>0</v>
      </c>
      <c r="R299" s="3" t="n">
        <v>15</v>
      </c>
      <c r="S299" s="1" t="str">
        <f aca="false">IF(R299=1,"-5",IF(OR(R299=2,R299=3),"-4",IF(OR(R299=4,R299=5),"-3",IF(OR(R299=6,R299=7),"-2",IF(OR(R299=8,R299=9),"-1",IF(OR(R299=10,R299=11),"0",IF(OR(R299=12,R299=13),"+1",IF(OR(R299=14,R299=15),"+2",IF(OR(R299=16,R299=17),"+3",IF(OR(R299=18,R299=19),"+4",IF(OR(R299=20,R299=21),"+5",IF(OR(R299=22,R299=23),"+6",IF(OR(R299=24,R299=25),"+7",IF(OR(R299=26,R299=27),"+8",IF(OR(R299=28,R299=29),"+9",IF(R299=30,"+10"," "))))))))))))))))</f>
        <v>+2</v>
      </c>
      <c r="T299" s="3" t="n">
        <v>11</v>
      </c>
      <c r="U299" s="1" t="str">
        <f aca="false">IF(T299=1,"-5",IF(OR(T299=2,T299=3),"-4",IF(OR(T299=4,T299=5),"-3",IF(OR(T299=6,T299=7),"-2",IF(OR(T299=8,T299=9),"-1",IF(OR(T299=10,T299=11),"0",IF(OR(T299=12,T299=13),"+1",IF(OR(T299=14,T299=15),"+2",IF(OR(T299=16,T299=17),"+3",IF(OR(T299=18,T299=19),"+4",IF(OR(T299=20,T299=21),"+5",IF(OR(T299=22,T299=23),"+6",IF(OR(T299=24,T299=25),"+7",IF(OR(T299=26,T299=27),"+8",IF(OR(T299=28,T299=29),"+9",IF(T299=30,"+10"," "))))))))))))))))</f>
        <v>0</v>
      </c>
      <c r="V299" s="3" t="s">
        <v>1552</v>
      </c>
      <c r="W299" s="3" t="s">
        <v>1543</v>
      </c>
      <c r="X299" s="11" t="s">
        <v>1553</v>
      </c>
      <c r="Y299" s="11" t="s">
        <v>1554</v>
      </c>
      <c r="Z299" s="11" t="s">
        <v>37</v>
      </c>
      <c r="AA299" s="12" t="s">
        <v>37</v>
      </c>
    </row>
    <row r="300" customFormat="false" ht="16.4" hidden="false" customHeight="false" outlineLevel="0" collapsed="false">
      <c r="A300" s="15" t="s">
        <v>1555</v>
      </c>
      <c r="B300" s="3" t="s">
        <v>356</v>
      </c>
      <c r="C300" s="3" t="s">
        <v>222</v>
      </c>
      <c r="D300" s="16" t="n">
        <v>6</v>
      </c>
      <c r="E300" s="6" t="n">
        <f aca="false">VLOOKUP(D300,'[1]REF Tables'!$A$2:$B$40,2)</f>
        <v>2300</v>
      </c>
      <c r="F300" s="3" t="s">
        <v>50</v>
      </c>
      <c r="G300" s="3" t="n">
        <v>17</v>
      </c>
      <c r="H300" s="3" t="s">
        <v>1527</v>
      </c>
      <c r="I300" s="3" t="s">
        <v>224</v>
      </c>
      <c r="J300" s="3" t="n">
        <v>21</v>
      </c>
      <c r="K300" s="1" t="str">
        <f aca="false">IF(J300=1,"-5",IF(OR(J300=2,J300=3),"-4",IF(OR(J300=4,J300=5),"-3",IF(OR(J300=6,J300=7),"-2",IF(OR(J300=8,J300=9),"-1",IF(OR(J300=10,J300=11),"0",IF(OR(J300=12,J300=13),"+1",IF(OR(J300=14,J300=15),"+2",IF(OR(J300=16,J300=17),"+3",IF(OR(J300=18,J300=19),"+4",IF(OR(J300=20,J300=21),"+5",IF(OR(J300=22,J300=23),"+6",IF(OR(J300=24,J300=25),"+7",IF(OR(J300=26,J300=27),"+8",IF(OR(J300=28,J300=29),"+9",IF(J300=30,"+10"," "))))))))))))))))</f>
        <v>+5</v>
      </c>
      <c r="L300" s="3" t="n">
        <v>12</v>
      </c>
      <c r="M300" s="1" t="str">
        <f aca="false">IF(L300=1,"-5",IF(OR(L300=2,L300=3),"-4",IF(OR(L300=4,L300=5),"-3",IF(OR(L300=6,L300=7),"-2",IF(OR(L300=8,L300=9),"-1",IF(OR(L300=10,L300=11),"0",IF(OR(L300=12,L300=13),"+1",IF(OR(L300=14,L300=15),"+2",IF(OR(L300=16,L300=17),"+3",IF(OR(L300=18,L300=19),"+4",IF(OR(L300=20,L300=21),"+5",IF(OR(L300=22,L300=23),"+6",IF(OR(L300=24,L300=25),"+7",IF(OR(L300=26,L300=27),"+8",IF(OR(L300=28,L300=29),"+9",IF(L300=30,"+10"," "))))))))))))))))</f>
        <v>+1</v>
      </c>
      <c r="N300" s="3" t="n">
        <v>14</v>
      </c>
      <c r="O300" s="1" t="str">
        <f aca="false">IF(N300=1,"-5",IF(OR(N300=2,N300=3),"-4",IF(OR(N300=4,N300=5),"-3",IF(OR(N300=6,N300=7),"-2",IF(OR(N300=8,N300=9),"-1",IF(OR(N300=10,N300=11),"0",IF(OR(N300=12,N300=13),"+1",IF(OR(N300=14,N300=15),"+2",IF(OR(N300=16,N300=17),"+3",IF(OR(N300=18,N300=19),"+4",IF(OR(N300=20,N300=21),"+5",IF(OR(N300=22,N300=23),"+6",IF(OR(N300=24,N300=25),"+7",IF(OR(N300=26,N300=27),"+8",IF(OR(N300=28,N300=29),"+9",IF(N300=30,"+10"," "))))))))))))))))</f>
        <v>+2</v>
      </c>
      <c r="P300" s="3" t="n">
        <v>13</v>
      </c>
      <c r="Q300" s="1" t="str">
        <f aca="false">IF(P300=1,"-5",IF(OR(P300=2,P300=3),"-4",IF(OR(P300=4,P300=5),"-3",IF(OR(P300=6,P300=7),"-2",IF(OR(P300=8,P300=9),"-1",IF(OR(P300=10,P300=11),"0",IF(OR(P300=12,P300=13),"+1",IF(OR(P300=14,P300=15),"+2",IF(OR(P300=16,P300=17),"+3",IF(OR(P300=18,P300=19),"+4",IF(OR(P300=20,P300=21),"+5",IF(OR(P300=22,P300=23),"+6",IF(OR(P300=24,P300=25),"+7",IF(OR(P300=26,P300=27),"+8",IF(OR(P300=28,P300=29),"+9",IF(P300=30,"+10"," "))))))))))))))))</f>
        <v>+1</v>
      </c>
      <c r="R300" s="3" t="n">
        <v>14</v>
      </c>
      <c r="S300" s="1" t="str">
        <f aca="false">IF(R300=1,"-5",IF(OR(R300=2,R300=3),"-4",IF(OR(R300=4,R300=5),"-3",IF(OR(R300=6,R300=7),"-2",IF(OR(R300=8,R300=9),"-1",IF(OR(R300=10,R300=11),"0",IF(OR(R300=12,R300=13),"+1",IF(OR(R300=14,R300=15),"+2",IF(OR(R300=16,R300=17),"+3",IF(OR(R300=18,R300=19),"+4",IF(OR(R300=20,R300=21),"+5",IF(OR(R300=22,R300=23),"+6",IF(OR(R300=24,R300=25),"+7",IF(OR(R300=26,R300=27),"+8",IF(OR(R300=28,R300=29),"+9",IF(R300=30,"+10"," "))))))))))))))))</f>
        <v>+2</v>
      </c>
      <c r="T300" s="3" t="n">
        <v>15</v>
      </c>
      <c r="U300" s="1" t="str">
        <f aca="false">IF(T300=1,"-5",IF(OR(T300=2,T300=3),"-4",IF(OR(T300=4,T300=5),"-3",IF(OR(T300=6,T300=7),"-2",IF(OR(T300=8,T300=9),"-1",IF(OR(T300=10,T300=11),"0",IF(OR(T300=12,T300=13),"+1",IF(OR(T300=14,T300=15),"+2",IF(OR(T300=16,T300=17),"+3",IF(OR(T300=18,T300=19),"+4",IF(OR(T300=20,T300=21),"+5",IF(OR(T300=22,T300=23),"+6",IF(OR(T300=24,T300=25),"+7",IF(OR(T300=26,T300=27),"+8",IF(OR(T300=28,T300=29),"+9",IF(T300=30,"+10"," "))))))))))))))))</f>
        <v>+2</v>
      </c>
      <c r="V300" s="3" t="s">
        <v>1556</v>
      </c>
      <c r="W300" s="3" t="s">
        <v>1557</v>
      </c>
      <c r="X300" s="11" t="s">
        <v>1558</v>
      </c>
      <c r="Y300" s="11" t="s">
        <v>1559</v>
      </c>
      <c r="Z300" s="11" t="s">
        <v>37</v>
      </c>
      <c r="AA300" s="12" t="s">
        <v>37</v>
      </c>
    </row>
    <row r="301" customFormat="false" ht="16.4" hidden="false" customHeight="false" outlineLevel="0" collapsed="false">
      <c r="A301" s="15" t="s">
        <v>1560</v>
      </c>
      <c r="B301" s="3" t="s">
        <v>356</v>
      </c>
      <c r="C301" s="3" t="s">
        <v>222</v>
      </c>
      <c r="D301" s="16" t="n">
        <v>7</v>
      </c>
      <c r="E301" s="6" t="n">
        <f aca="false">VLOOKUP(D301,'[1]REF Tables'!$A$2:$B$40,2)</f>
        <v>2900</v>
      </c>
      <c r="F301" s="3" t="s">
        <v>30</v>
      </c>
      <c r="G301" s="3" t="n">
        <v>17</v>
      </c>
      <c r="H301" s="3" t="s">
        <v>1388</v>
      </c>
      <c r="I301" s="3" t="s">
        <v>42</v>
      </c>
      <c r="J301" s="3" t="n">
        <v>13</v>
      </c>
      <c r="K301" s="1" t="str">
        <f aca="false">IF(J301=1,"-5",IF(OR(J301=2,J301=3),"-4",IF(OR(J301=4,J301=5),"-3",IF(OR(J301=6,J301=7),"-2",IF(OR(J301=8,J301=9),"-1",IF(OR(J301=10,J301=11),"0",IF(OR(J301=12,J301=13),"+1",IF(OR(J301=14,J301=15),"+2",IF(OR(J301=16,J301=17),"+3",IF(OR(J301=18,J301=19),"+4",IF(OR(J301=20,J301=21),"+5",IF(OR(J301=22,J301=23),"+6",IF(OR(J301=24,J301=25),"+7",IF(OR(J301=26,J301=27),"+8",IF(OR(J301=28,J301=29),"+9",IF(J301=30,"+10"," "))))))))))))))))</f>
        <v>+1</v>
      </c>
      <c r="L301" s="3" t="n">
        <v>16</v>
      </c>
      <c r="M301" s="1" t="str">
        <f aca="false">IF(L301=1,"-5",IF(OR(L301=2,L301=3),"-4",IF(OR(L301=4,L301=5),"-3",IF(OR(L301=6,L301=7),"-2",IF(OR(L301=8,L301=9),"-1",IF(OR(L301=10,L301=11),"0",IF(OR(L301=12,L301=13),"+1",IF(OR(L301=14,L301=15),"+2",IF(OR(L301=16,L301=17),"+3",IF(OR(L301=18,L301=19),"+4",IF(OR(L301=20,L301=21),"+5",IF(OR(L301=22,L301=23),"+6",IF(OR(L301=24,L301=25),"+7",IF(OR(L301=26,L301=27),"+8",IF(OR(L301=28,L301=29),"+9",IF(L301=30,"+10"," "))))))))))))))))</f>
        <v>+3</v>
      </c>
      <c r="N301" s="3" t="n">
        <v>14</v>
      </c>
      <c r="O301" s="1" t="str">
        <f aca="false">IF(N301=1,"-5",IF(OR(N301=2,N301=3),"-4",IF(OR(N301=4,N301=5),"-3",IF(OR(N301=6,N301=7),"-2",IF(OR(N301=8,N301=9),"-1",IF(OR(N301=10,N301=11),"0",IF(OR(N301=12,N301=13),"+1",IF(OR(N301=14,N301=15),"+2",IF(OR(N301=16,N301=17),"+3",IF(OR(N301=18,N301=19),"+4",IF(OR(N301=20,N301=21),"+5",IF(OR(N301=22,N301=23),"+6",IF(OR(N301=24,N301=25),"+7",IF(OR(N301=26,N301=27),"+8",IF(OR(N301=28,N301=29),"+9",IF(N301=30,"+10"," "))))))))))))))))</f>
        <v>+2</v>
      </c>
      <c r="P301" s="3" t="n">
        <v>12</v>
      </c>
      <c r="Q301" s="1" t="str">
        <f aca="false">IF(P301=1,"-5",IF(OR(P301=2,P301=3),"-4",IF(OR(P301=4,P301=5),"-3",IF(OR(P301=6,P301=7),"-2",IF(OR(P301=8,P301=9),"-1",IF(OR(P301=10,P301=11),"0",IF(OR(P301=12,P301=13),"+1",IF(OR(P301=14,P301=15),"+2",IF(OR(P301=16,P301=17),"+3",IF(OR(P301=18,P301=19),"+4",IF(OR(P301=20,P301=21),"+5",IF(OR(P301=22,P301=23),"+6",IF(OR(P301=24,P301=25),"+7",IF(OR(P301=26,P301=27),"+8",IF(OR(P301=28,P301=29),"+9",IF(P301=30,"+10"," "))))))))))))))))</f>
        <v>+1</v>
      </c>
      <c r="R301" s="3" t="n">
        <v>13</v>
      </c>
      <c r="S301" s="1" t="str">
        <f aca="false">IF(R301=1,"-5",IF(OR(R301=2,R301=3),"-4",IF(OR(R301=4,R301=5),"-3",IF(OR(R301=6,R301=7),"-2",IF(OR(R301=8,R301=9),"-1",IF(OR(R301=10,R301=11),"0",IF(OR(R301=12,R301=13),"+1",IF(OR(R301=14,R301=15),"+2",IF(OR(R301=16,R301=17),"+3",IF(OR(R301=18,R301=19),"+4",IF(OR(R301=20,R301=21),"+5",IF(OR(R301=22,R301=23),"+6",IF(OR(R301=24,R301=25),"+7",IF(OR(R301=26,R301=27),"+8",IF(OR(R301=28,R301=29),"+9",IF(R301=30,"+10"," "))))))))))))))))</f>
        <v>+1</v>
      </c>
      <c r="T301" s="3" t="n">
        <v>16</v>
      </c>
      <c r="U301" s="1" t="str">
        <f aca="false">IF(T301=1,"-5",IF(OR(T301=2,T301=3),"-4",IF(OR(T301=4,T301=5),"-3",IF(OR(T301=6,T301=7),"-2",IF(OR(T301=8,T301=9),"-1",IF(OR(T301=10,T301=11),"0",IF(OR(T301=12,T301=13),"+1",IF(OR(T301=14,T301=15),"+2",IF(OR(T301=16,T301=17),"+3",IF(OR(T301=18,T301=19),"+4",IF(OR(T301=20,T301=21),"+5",IF(OR(T301=22,T301=23),"+6",IF(OR(T301=24,T301=25),"+7",IF(OR(T301=26,T301=27),"+8",IF(OR(T301=28,T301=29),"+9",IF(T301=30,"+10"," "))))))))))))))))</f>
        <v>+3</v>
      </c>
      <c r="V301" s="3" t="s">
        <v>1561</v>
      </c>
      <c r="W301" s="3" t="s">
        <v>1562</v>
      </c>
      <c r="X301" s="11" t="s">
        <v>1563</v>
      </c>
      <c r="Y301" s="11" t="s">
        <v>1564</v>
      </c>
      <c r="Z301" s="11" t="s">
        <v>37</v>
      </c>
      <c r="AA301" s="12" t="s">
        <v>37</v>
      </c>
    </row>
    <row r="302" customFormat="false" ht="16.4" hidden="false" customHeight="false" outlineLevel="0" collapsed="false">
      <c r="A302" s="15" t="s">
        <v>1565</v>
      </c>
      <c r="B302" s="3" t="s">
        <v>356</v>
      </c>
      <c r="C302" s="3" t="s">
        <v>222</v>
      </c>
      <c r="D302" s="16" t="n">
        <v>2</v>
      </c>
      <c r="E302" s="3" t="n">
        <f aca="false">VLOOKUP(D302,'[1]REF Tables'!$A$2:$B$40,2)</f>
        <v>450</v>
      </c>
      <c r="F302" s="3" t="s">
        <v>30</v>
      </c>
      <c r="G302" s="3" t="n">
        <v>14</v>
      </c>
      <c r="H302" s="3" t="s">
        <v>1038</v>
      </c>
      <c r="I302" s="3" t="s">
        <v>1566</v>
      </c>
      <c r="J302" s="3" t="n">
        <v>16</v>
      </c>
      <c r="K302" s="1" t="str">
        <f aca="false">IF(J302=1,"-5",IF(OR(J302=2,J302=3),"-4",IF(OR(J302=4,J302=5),"-3",IF(OR(J302=6,J302=7),"-2",IF(OR(J302=8,J302=9),"-1",IF(OR(J302=10,J302=11),"0",IF(OR(J302=12,J302=13),"+1",IF(OR(J302=14,J302=15),"+2",IF(OR(J302=16,J302=17),"+3",IF(OR(J302=18,J302=19),"+4",IF(OR(J302=20,J302=21),"+5",IF(OR(J302=22,J302=23),"+6",IF(OR(J302=24,J302=25),"+7",IF(OR(J302=26,J302=27),"+8",IF(OR(J302=28,J302=29),"+9",IF(J302=30,"+10"," "))))))))))))))))</f>
        <v>+3</v>
      </c>
      <c r="L302" s="3" t="n">
        <v>13</v>
      </c>
      <c r="M302" s="1" t="str">
        <f aca="false">IF(L302=1,"-5",IF(OR(L302=2,L302=3),"-4",IF(OR(L302=4,L302=5),"-3",IF(OR(L302=6,L302=7),"-2",IF(OR(L302=8,L302=9),"-1",IF(OR(L302=10,L302=11),"0",IF(OR(L302=12,L302=13),"+1",IF(OR(L302=14,L302=15),"+2",IF(OR(L302=16,L302=17),"+3",IF(OR(L302=18,L302=19),"+4",IF(OR(L302=20,L302=21),"+5",IF(OR(L302=22,L302=23),"+6",IF(OR(L302=24,L302=25),"+7",IF(OR(L302=26,L302=27),"+8",IF(OR(L302=28,L302=29),"+9",IF(L302=30,"+10"," "))))))))))))))))</f>
        <v>+1</v>
      </c>
      <c r="N302" s="3" t="n">
        <v>16</v>
      </c>
      <c r="O302" s="1" t="str">
        <f aca="false">IF(N302=1,"-5",IF(OR(N302=2,N302=3),"-4",IF(OR(N302=4,N302=5),"-3",IF(OR(N302=6,N302=7),"-2",IF(OR(N302=8,N302=9),"-1",IF(OR(N302=10,N302=11),"0",IF(OR(N302=12,N302=13),"+1",IF(OR(N302=14,N302=15),"+2",IF(OR(N302=16,N302=17),"+3",IF(OR(N302=18,N302=19),"+4",IF(OR(N302=20,N302=21),"+5",IF(OR(N302=22,N302=23),"+6",IF(OR(N302=24,N302=25),"+7",IF(OR(N302=26,N302=27),"+8",IF(OR(N302=28,N302=29),"+9",IF(N302=30,"+10"," "))))))))))))))))</f>
        <v>+3</v>
      </c>
      <c r="P302" s="3" t="n">
        <v>12</v>
      </c>
      <c r="Q302" s="1" t="str">
        <f aca="false">IF(P302=1,"-5",IF(OR(P302=2,P302=3),"-4",IF(OR(P302=4,P302=5),"-3",IF(OR(P302=6,P302=7),"-2",IF(OR(P302=8,P302=9),"-1",IF(OR(P302=10,P302=11),"0",IF(OR(P302=12,P302=13),"+1",IF(OR(P302=14,P302=15),"+2",IF(OR(P302=16,P302=17),"+3",IF(OR(P302=18,P302=19),"+4",IF(OR(P302=20,P302=21),"+5",IF(OR(P302=22,P302=23),"+6",IF(OR(P302=24,P302=25),"+7",IF(OR(P302=26,P302=27),"+8",IF(OR(P302=28,P302=29),"+9",IF(P302=30,"+10"," "))))))))))))))))</f>
        <v>+1</v>
      </c>
      <c r="R302" s="3" t="n">
        <v>12</v>
      </c>
      <c r="S302" s="1" t="str">
        <f aca="false">IF(R302=1,"-5",IF(OR(R302=2,R302=3),"-4",IF(OR(R302=4,R302=5),"-3",IF(OR(R302=6,R302=7),"-2",IF(OR(R302=8,R302=9),"-1",IF(OR(R302=10,R302=11),"0",IF(OR(R302=12,R302=13),"+1",IF(OR(R302=14,R302=15),"+2",IF(OR(R302=16,R302=17),"+3",IF(OR(R302=18,R302=19),"+4",IF(OR(R302=20,R302=21),"+5",IF(OR(R302=22,R302=23),"+6",IF(OR(R302=24,R302=25),"+7",IF(OR(R302=26,R302=27),"+8",IF(OR(R302=28,R302=29),"+9",IF(R302=30,"+10"," "))))))))))))))))</f>
        <v>+1</v>
      </c>
      <c r="T302" s="3" t="n">
        <v>13</v>
      </c>
      <c r="U302" s="1" t="str">
        <f aca="false">IF(T302=1,"-5",IF(OR(T302=2,T302=3),"-4",IF(OR(T302=4,T302=5),"-3",IF(OR(T302=6,T302=7),"-2",IF(OR(T302=8,T302=9),"-1",IF(OR(T302=10,T302=11),"0",IF(OR(T302=12,T302=13),"+1",IF(OR(T302=14,T302=15),"+2",IF(OR(T302=16,T302=17),"+3",IF(OR(T302=18,T302=19),"+4",IF(OR(T302=20,T302=21),"+5",IF(OR(T302=22,T302=23),"+6",IF(OR(T302=24,T302=25),"+7",IF(OR(T302=26,T302=27),"+8",IF(OR(T302=28,T302=29),"+9",IF(T302=30,"+10"," "))))))))))))))))</f>
        <v>+1</v>
      </c>
      <c r="V302" s="3" t="s">
        <v>37</v>
      </c>
      <c r="W302" s="3" t="s">
        <v>1567</v>
      </c>
      <c r="X302" s="11" t="s">
        <v>1568</v>
      </c>
      <c r="Y302" s="11" t="s">
        <v>1569</v>
      </c>
      <c r="Z302" s="11" t="s">
        <v>37</v>
      </c>
      <c r="AA302" s="12" t="s">
        <v>37</v>
      </c>
    </row>
    <row r="303" customFormat="false" ht="16.4" hidden="false" customHeight="false" outlineLevel="0" collapsed="false">
      <c r="A303" s="15" t="s">
        <v>1570</v>
      </c>
      <c r="B303" s="3" t="s">
        <v>356</v>
      </c>
      <c r="C303" s="3" t="s">
        <v>85</v>
      </c>
      <c r="D303" s="16" t="n">
        <v>5</v>
      </c>
      <c r="E303" s="6" t="n">
        <f aca="false">VLOOKUP(D303,'[1]REF Tables'!$A$2:$B$40,2)</f>
        <v>1800</v>
      </c>
      <c r="F303" s="3" t="s">
        <v>30</v>
      </c>
      <c r="G303" s="3" t="n">
        <v>17</v>
      </c>
      <c r="H303" s="3" t="s">
        <v>1413</v>
      </c>
      <c r="I303" s="3" t="s">
        <v>42</v>
      </c>
      <c r="J303" s="3" t="n">
        <v>18</v>
      </c>
      <c r="K303" s="1" t="str">
        <f aca="false">IF(J303=1,"-5",IF(OR(J303=2,J303=3),"-4",IF(OR(J303=4,J303=5),"-3",IF(OR(J303=6,J303=7),"-2",IF(OR(J303=8,J303=9),"-1",IF(OR(J303=10,J303=11),"0",IF(OR(J303=12,J303=13),"+1",IF(OR(J303=14,J303=15),"+2",IF(OR(J303=16,J303=17),"+3",IF(OR(J303=18,J303=19),"+4",IF(OR(J303=20,J303=21),"+5",IF(OR(J303=22,J303=23),"+6",IF(OR(J303=24,J303=25),"+7",IF(OR(J303=26,J303=27),"+8",IF(OR(J303=28,J303=29),"+9",IF(J303=30,"+10"," "))))))))))))))))</f>
        <v>+4</v>
      </c>
      <c r="L303" s="3" t="n">
        <v>15</v>
      </c>
      <c r="M303" s="1" t="str">
        <f aca="false">IF(L303=1,"-5",IF(OR(L303=2,L303=3),"-4",IF(OR(L303=4,L303=5),"-3",IF(OR(L303=6,L303=7),"-2",IF(OR(L303=8,L303=9),"-1",IF(OR(L303=10,L303=11),"0",IF(OR(L303=12,L303=13),"+1",IF(OR(L303=14,L303=15),"+2",IF(OR(L303=16,L303=17),"+3",IF(OR(L303=18,L303=19),"+4",IF(OR(L303=20,L303=21),"+5",IF(OR(L303=22,L303=23),"+6",IF(OR(L303=24,L303=25),"+7",IF(OR(L303=26,L303=27),"+8",IF(OR(L303=28,L303=29),"+9",IF(L303=30,"+10"," "))))))))))))))))</f>
        <v>+2</v>
      </c>
      <c r="N303" s="3" t="n">
        <v>16</v>
      </c>
      <c r="O303" s="1" t="str">
        <f aca="false">IF(N303=1,"-5",IF(OR(N303=2,N303=3),"-4",IF(OR(N303=4,N303=5),"-3",IF(OR(N303=6,N303=7),"-2",IF(OR(N303=8,N303=9),"-1",IF(OR(N303=10,N303=11),"0",IF(OR(N303=12,N303=13),"+1",IF(OR(N303=14,N303=15),"+2",IF(OR(N303=16,N303=17),"+3",IF(OR(N303=18,N303=19),"+4",IF(OR(N303=20,N303=21),"+5",IF(OR(N303=22,N303=23),"+6",IF(OR(N303=24,N303=25),"+7",IF(OR(N303=26,N303=27),"+8",IF(OR(N303=28,N303=29),"+9",IF(N303=30,"+10"," "))))))))))))))))</f>
        <v>+3</v>
      </c>
      <c r="P303" s="3" t="n">
        <v>16</v>
      </c>
      <c r="Q303" s="1" t="str">
        <f aca="false">IF(P303=1,"-5",IF(OR(P303=2,P303=3),"-4",IF(OR(P303=4,P303=5),"-3",IF(OR(P303=6,P303=7),"-2",IF(OR(P303=8,P303=9),"-1",IF(OR(P303=10,P303=11),"0",IF(OR(P303=12,P303=13),"+1",IF(OR(P303=14,P303=15),"+2",IF(OR(P303=16,P303=17),"+3",IF(OR(P303=18,P303=19),"+4",IF(OR(P303=20,P303=21),"+5",IF(OR(P303=22,P303=23),"+6",IF(OR(P303=24,P303=25),"+7",IF(OR(P303=26,P303=27),"+8",IF(OR(P303=28,P303=29),"+9",IF(P303=30,"+10"," "))))))))))))))))</f>
        <v>+3</v>
      </c>
      <c r="R303" s="3" t="n">
        <v>14</v>
      </c>
      <c r="S303" s="1" t="str">
        <f aca="false">IF(R303=1,"-5",IF(OR(R303=2,R303=3),"-4",IF(OR(R303=4,R303=5),"-3",IF(OR(R303=6,R303=7),"-2",IF(OR(R303=8,R303=9),"-1",IF(OR(R303=10,R303=11),"0",IF(OR(R303=12,R303=13),"+1",IF(OR(R303=14,R303=15),"+2",IF(OR(R303=16,R303=17),"+3",IF(OR(R303=18,R303=19),"+4",IF(OR(R303=20,R303=21),"+5",IF(OR(R303=22,R303=23),"+6",IF(OR(R303=24,R303=25),"+7",IF(OR(R303=26,R303=27),"+8",IF(OR(R303=28,R303=29),"+9",IF(R303=30,"+10"," "))))))))))))))))</f>
        <v>+2</v>
      </c>
      <c r="T303" s="3" t="n">
        <v>16</v>
      </c>
      <c r="U303" s="1" t="str">
        <f aca="false">IF(T303=1,"-5",IF(OR(T303=2,T303=3),"-4",IF(OR(T303=4,T303=5),"-3",IF(OR(T303=6,T303=7),"-2",IF(OR(T303=8,T303=9),"-1",IF(OR(T303=10,T303=11),"0",IF(OR(T303=12,T303=13),"+1",IF(OR(T303=14,T303=15),"+2",IF(OR(T303=16,T303=17),"+3",IF(OR(T303=18,T303=19),"+4",IF(OR(T303=20,T303=21),"+5",IF(OR(T303=22,T303=23),"+6",IF(OR(T303=24,T303=25),"+7",IF(OR(T303=26,T303=27),"+8",IF(OR(T303=28,T303=29),"+9",IF(T303=30,"+10"," "))))))))))))))))</f>
        <v>+3</v>
      </c>
      <c r="V303" s="3" t="s">
        <v>1571</v>
      </c>
      <c r="W303" s="3" t="s">
        <v>1572</v>
      </c>
      <c r="X303" s="11" t="s">
        <v>1573</v>
      </c>
      <c r="Y303" s="11" t="s">
        <v>1574</v>
      </c>
      <c r="Z303" s="11" t="s">
        <v>37</v>
      </c>
      <c r="AA303" s="12" t="s">
        <v>37</v>
      </c>
    </row>
    <row r="304" customFormat="false" ht="16.4" hidden="false" customHeight="false" outlineLevel="0" collapsed="false">
      <c r="A304" s="15" t="s">
        <v>1575</v>
      </c>
      <c r="B304" s="3" t="s">
        <v>356</v>
      </c>
      <c r="C304" s="3" t="s">
        <v>85</v>
      </c>
      <c r="D304" s="16" t="n">
        <v>3</v>
      </c>
      <c r="E304" s="3" t="n">
        <f aca="false">VLOOKUP(D304,'[1]REF Tables'!$A$2:$B$40,2)</f>
        <v>700</v>
      </c>
      <c r="F304" s="3" t="s">
        <v>30</v>
      </c>
      <c r="G304" s="3" t="n">
        <v>17</v>
      </c>
      <c r="H304" s="3" t="s">
        <v>387</v>
      </c>
      <c r="I304" s="3" t="s">
        <v>42</v>
      </c>
      <c r="J304" s="3" t="n">
        <v>18</v>
      </c>
      <c r="K304" s="1" t="str">
        <f aca="false">IF(J304=1,"-5",IF(OR(J304=2,J304=3),"-4",IF(OR(J304=4,J304=5),"-3",IF(OR(J304=6,J304=7),"-2",IF(OR(J304=8,J304=9),"-1",IF(OR(J304=10,J304=11),"0",IF(OR(J304=12,J304=13),"+1",IF(OR(J304=14,J304=15),"+2",IF(OR(J304=16,J304=17),"+3",IF(OR(J304=18,J304=19),"+4",IF(OR(J304=20,J304=21),"+5",IF(OR(J304=22,J304=23),"+6",IF(OR(J304=24,J304=25),"+7",IF(OR(J304=26,J304=27),"+8",IF(OR(J304=28,J304=29),"+9",IF(J304=30,"+10"," "))))))))))))))))</f>
        <v>+4</v>
      </c>
      <c r="L304" s="3" t="n">
        <v>12</v>
      </c>
      <c r="M304" s="1" t="str">
        <f aca="false">IF(L304=1,"-5",IF(OR(L304=2,L304=3),"-4",IF(OR(L304=4,L304=5),"-3",IF(OR(L304=6,L304=7),"-2",IF(OR(L304=8,L304=9),"-1",IF(OR(L304=10,L304=11),"0",IF(OR(L304=12,L304=13),"+1",IF(OR(L304=14,L304=15),"+2",IF(OR(L304=16,L304=17),"+3",IF(OR(L304=18,L304=19),"+4",IF(OR(L304=20,L304=21),"+5",IF(OR(L304=22,L304=23),"+6",IF(OR(L304=24,L304=25),"+7",IF(OR(L304=26,L304=27),"+8",IF(OR(L304=28,L304=29),"+9",IF(L304=30,"+10"," "))))))))))))))))</f>
        <v>+1</v>
      </c>
      <c r="N304" s="3" t="n">
        <v>16</v>
      </c>
      <c r="O304" s="1" t="str">
        <f aca="false">IF(N304=1,"-5",IF(OR(N304=2,N304=3),"-4",IF(OR(N304=4,N304=5),"-3",IF(OR(N304=6,N304=7),"-2",IF(OR(N304=8,N304=9),"-1",IF(OR(N304=10,N304=11),"0",IF(OR(N304=12,N304=13),"+1",IF(OR(N304=14,N304=15),"+2",IF(OR(N304=16,N304=17),"+3",IF(OR(N304=18,N304=19),"+4",IF(OR(N304=20,N304=21),"+5",IF(OR(N304=22,N304=23),"+6",IF(OR(N304=24,N304=25),"+7",IF(OR(N304=26,N304=27),"+8",IF(OR(N304=28,N304=29),"+9",IF(N304=30,"+10"," "))))))))))))))))</f>
        <v>+3</v>
      </c>
      <c r="P304" s="3" t="n">
        <v>13</v>
      </c>
      <c r="Q304" s="1" t="str">
        <f aca="false">IF(P304=1,"-5",IF(OR(P304=2,P304=3),"-4",IF(OR(P304=4,P304=5),"-3",IF(OR(P304=6,P304=7),"-2",IF(OR(P304=8,P304=9),"-1",IF(OR(P304=10,P304=11),"0",IF(OR(P304=12,P304=13),"+1",IF(OR(P304=14,P304=15),"+2",IF(OR(P304=16,P304=17),"+3",IF(OR(P304=18,P304=19),"+4",IF(OR(P304=20,P304=21),"+5",IF(OR(P304=22,P304=23),"+6",IF(OR(P304=24,P304=25),"+7",IF(OR(P304=26,P304=27),"+8",IF(OR(P304=28,P304=29),"+9",IF(P304=30,"+10"," "))))))))))))))))</f>
        <v>+1</v>
      </c>
      <c r="R304" s="3" t="n">
        <v>14</v>
      </c>
      <c r="S304" s="1" t="str">
        <f aca="false">IF(R304=1,"-5",IF(OR(R304=2,R304=3),"-4",IF(OR(R304=4,R304=5),"-3",IF(OR(R304=6,R304=7),"-2",IF(OR(R304=8,R304=9),"-1",IF(OR(R304=10,R304=11),"0",IF(OR(R304=12,R304=13),"+1",IF(OR(R304=14,R304=15),"+2",IF(OR(R304=16,R304=17),"+3",IF(OR(R304=18,R304=19),"+4",IF(OR(R304=20,R304=21),"+5",IF(OR(R304=22,R304=23),"+6",IF(OR(R304=24,R304=25),"+7",IF(OR(R304=26,R304=27),"+8",IF(OR(R304=28,R304=29),"+9",IF(R304=30,"+10"," "))))))))))))))))</f>
        <v>+2</v>
      </c>
      <c r="T304" s="3" t="n">
        <v>14</v>
      </c>
      <c r="U304" s="1" t="str">
        <f aca="false">IF(T304=1,"-5",IF(OR(T304=2,T304=3),"-4",IF(OR(T304=4,T304=5),"-3",IF(OR(T304=6,T304=7),"-2",IF(OR(T304=8,T304=9),"-1",IF(OR(T304=10,T304=11),"0",IF(OR(T304=12,T304=13),"+1",IF(OR(T304=14,T304=15),"+2",IF(OR(T304=16,T304=17),"+3",IF(OR(T304=18,T304=19),"+4",IF(OR(T304=20,T304=21),"+5",IF(OR(T304=22,T304=23),"+6",IF(OR(T304=24,T304=25),"+7",IF(OR(T304=26,T304=27),"+8",IF(OR(T304=28,T304=29),"+9",IF(T304=30,"+10"," "))))))))))))))))</f>
        <v>+2</v>
      </c>
      <c r="V304" s="3" t="s">
        <v>1576</v>
      </c>
      <c r="W304" s="3" t="s">
        <v>1577</v>
      </c>
      <c r="X304" s="11" t="s">
        <v>1578</v>
      </c>
      <c r="Y304" s="11" t="s">
        <v>1579</v>
      </c>
      <c r="Z304" s="11" t="s">
        <v>37</v>
      </c>
      <c r="AA304" s="12" t="s">
        <v>37</v>
      </c>
    </row>
    <row r="305" customFormat="false" ht="16.4" hidden="false" customHeight="false" outlineLevel="0" collapsed="false">
      <c r="A305" s="15" t="s">
        <v>1580</v>
      </c>
      <c r="B305" s="3" t="s">
        <v>59</v>
      </c>
      <c r="C305" s="3" t="s">
        <v>37</v>
      </c>
      <c r="D305" s="16" t="n">
        <v>0.5</v>
      </c>
      <c r="E305" s="3" t="n">
        <f aca="false">VLOOKUP(D305,'[1]REF Tables'!$A$2:$B$40,2)</f>
        <v>100</v>
      </c>
      <c r="F305" s="3" t="s">
        <v>30</v>
      </c>
      <c r="G305" s="3" t="n">
        <v>12</v>
      </c>
      <c r="H305" s="3" t="s">
        <v>31</v>
      </c>
      <c r="I305" s="3" t="s">
        <v>544</v>
      </c>
      <c r="J305" s="3" t="n">
        <v>10</v>
      </c>
      <c r="K305" s="1" t="str">
        <f aca="false">IF(J305=1,"-5",IF(OR(J305=2,J305=3),"-4",IF(OR(J305=4,J305=5),"-3",IF(OR(J305=6,J305=7),"-2",IF(OR(J305=8,J305=9),"-1",IF(OR(J305=10,J305=11),"0",IF(OR(J305=12,J305=13),"+1",IF(OR(J305=14,J305=15),"+2",IF(OR(J305=16,J305=17),"+3",IF(OR(J305=18,J305=19),"+4",IF(OR(J305=20,J305=21),"+5",IF(OR(J305=22,J305=23),"+6",IF(OR(J305=24,J305=25),"+7",IF(OR(J305=26,J305=27),"+8",IF(OR(J305=28,J305=29),"+9",IF(J305=30,"+10"," "))))))))))))))))</f>
        <v>0</v>
      </c>
      <c r="L305" s="3" t="n">
        <v>14</v>
      </c>
      <c r="M305" s="1" t="str">
        <f aca="false">IF(L305=1,"-5",IF(OR(L305=2,L305=3),"-4",IF(OR(L305=4,L305=5),"-3",IF(OR(L305=6,L305=7),"-2",IF(OR(L305=8,L305=9),"-1",IF(OR(L305=10,L305=11),"0",IF(OR(L305=12,L305=13),"+1",IF(OR(L305=14,L305=15),"+2",IF(OR(L305=16,L305=17),"+3",IF(OR(L305=18,L305=19),"+4",IF(OR(L305=20,L305=21),"+5",IF(OR(L305=22,L305=23),"+6",IF(OR(L305=24,L305=25),"+7",IF(OR(L305=26,L305=27),"+8",IF(OR(L305=28,L305=29),"+9",IF(L305=30,"+10"," "))))))))))))))))</f>
        <v>+2</v>
      </c>
      <c r="N305" s="3" t="n">
        <v>10</v>
      </c>
      <c r="O305" s="1" t="str">
        <f aca="false">IF(N305=1,"-5",IF(OR(N305=2,N305=3),"-4",IF(OR(N305=4,N305=5),"-3",IF(OR(N305=6,N305=7),"-2",IF(OR(N305=8,N305=9),"-1",IF(OR(N305=10,N305=11),"0",IF(OR(N305=12,N305=13),"+1",IF(OR(N305=14,N305=15),"+2",IF(OR(N305=16,N305=17),"+3",IF(OR(N305=18,N305=19),"+4",IF(OR(N305=20,N305=21),"+5",IF(OR(N305=22,N305=23),"+6",IF(OR(N305=24,N305=25),"+7",IF(OR(N305=26,N305=27),"+8",IF(OR(N305=28,N305=29),"+9",IF(N305=30,"+10"," "))))))))))))))))</f>
        <v>0</v>
      </c>
      <c r="P305" s="3" t="n">
        <v>1</v>
      </c>
      <c r="Q305" s="1" t="str">
        <f aca="false">IF(P305=1,"-5",IF(OR(P305=2,P305=3),"-4",IF(OR(P305=4,P305=5),"-3",IF(OR(P305=6,P305=7),"-2",IF(OR(P305=8,P305=9),"-1",IF(OR(P305=10,P305=11),"0",IF(OR(P305=12,P305=13),"+1",IF(OR(P305=14,P305=15),"+2",IF(OR(P305=16,P305=17),"+3",IF(OR(P305=18,P305=19),"+4",IF(OR(P305=20,P305=21),"+5",IF(OR(P305=22,P305=23),"+6",IF(OR(P305=24,P305=25),"+7",IF(OR(P305=26,P305=27),"+8",IF(OR(P305=28,P305=29),"+9",IF(P305=30,"+10"," "))))))))))))))))</f>
        <v>-5</v>
      </c>
      <c r="R305" s="3" t="n">
        <v>10</v>
      </c>
      <c r="S305" s="1" t="str">
        <f aca="false">IF(R305=1,"-5",IF(OR(R305=2,R305=3),"-4",IF(OR(R305=4,R305=5),"-3",IF(OR(R305=6,R305=7),"-2",IF(OR(R305=8,R305=9),"-1",IF(OR(R305=10,R305=11),"0",IF(OR(R305=12,R305=13),"+1",IF(OR(R305=14,R305=15),"+2",IF(OR(R305=16,R305=17),"+3",IF(OR(R305=18,R305=19),"+4",IF(OR(R305=20,R305=21),"+5",IF(OR(R305=22,R305=23),"+6",IF(OR(R305=24,R305=25),"+7",IF(OR(R305=26,R305=27),"+8",IF(OR(R305=28,R305=29),"+9",IF(R305=30,"+10"," "))))))))))))))))</f>
        <v>0</v>
      </c>
      <c r="T305" s="3" t="n">
        <v>3</v>
      </c>
      <c r="U305" s="1" t="str">
        <f aca="false">IF(T305=1,"-5",IF(OR(T305=2,T305=3),"-4",IF(OR(T305=4,T305=5),"-3",IF(OR(T305=6,T305=7),"-2",IF(OR(T305=8,T305=9),"-1",IF(OR(T305=10,T305=11),"0",IF(OR(T305=12,T305=13),"+1",IF(OR(T305=14,T305=15),"+2",IF(OR(T305=16,T305=17),"+3",IF(OR(T305=18,T305=19),"+4",IF(OR(T305=20,T305=21),"+5",IF(OR(T305=22,T305=23),"+6",IF(OR(T305=24,T305=25),"+7",IF(OR(T305=26,T305=27),"+8",IF(OR(T305=28,T305=29),"+9",IF(T305=30,"+10"," "))))))))))))))))</f>
        <v>-4</v>
      </c>
      <c r="V305" s="3" t="s">
        <v>37</v>
      </c>
      <c r="W305" s="3" t="s">
        <v>37</v>
      </c>
      <c r="X305" s="11" t="s">
        <v>305</v>
      </c>
      <c r="Y305" s="11" t="s">
        <v>1581</v>
      </c>
      <c r="Z305" s="11" t="s">
        <v>37</v>
      </c>
      <c r="AA305" s="12" t="s">
        <v>37</v>
      </c>
    </row>
    <row r="306" customFormat="false" ht="16.4" hidden="false" customHeight="false" outlineLevel="0" collapsed="false">
      <c r="A306" s="15" t="s">
        <v>1582</v>
      </c>
      <c r="B306" s="3" t="s">
        <v>39</v>
      </c>
      <c r="C306" s="3" t="s">
        <v>40</v>
      </c>
      <c r="D306" s="16" t="n">
        <v>0.125</v>
      </c>
      <c r="E306" s="3" t="n">
        <f aca="false">VLOOKUP(D306,'[1]REF Tables'!$A$2:$B$40,2)</f>
        <v>25</v>
      </c>
      <c r="F306" s="3" t="s">
        <v>30</v>
      </c>
      <c r="G306" s="3" t="n">
        <v>12</v>
      </c>
      <c r="H306" s="3" t="s">
        <v>152</v>
      </c>
      <c r="I306" s="3" t="s">
        <v>42</v>
      </c>
      <c r="J306" s="3" t="n">
        <v>13</v>
      </c>
      <c r="K306" s="1" t="str">
        <f aca="false">IF(J306=1,"-5",IF(OR(J306=2,J306=3),"-4",IF(OR(J306=4,J306=5),"-3",IF(OR(J306=6,J306=7),"-2",IF(OR(J306=8,J306=9),"-1",IF(OR(J306=10,J306=11),"0",IF(OR(J306=12,J306=13),"+1",IF(OR(J306=14,J306=15),"+2",IF(OR(J306=16,J306=17),"+3",IF(OR(J306=18,J306=19),"+4",IF(OR(J306=20,J306=21),"+5",IF(OR(J306=22,J306=23),"+6",IF(OR(J306=24,J306=25),"+7",IF(OR(J306=26,J306=27),"+8",IF(OR(J306=28,J306=29),"+9",IF(J306=30,"+10"," "))))))))))))))))</f>
        <v>+1</v>
      </c>
      <c r="L306" s="3" t="n">
        <v>11</v>
      </c>
      <c r="M306" s="1" t="str">
        <f aca="false">IF(L306=1,"-5",IF(OR(L306=2,L306=3),"-4",IF(OR(L306=4,L306=5),"-3",IF(OR(L306=6,L306=7),"-2",IF(OR(L306=8,L306=9),"-1",IF(OR(L306=10,L306=11),"0",IF(OR(L306=12,L306=13),"+1",IF(OR(L306=14,L306=15),"+2",IF(OR(L306=16,L306=17),"+3",IF(OR(L306=18,L306=19),"+4",IF(OR(L306=20,L306=21),"+5",IF(OR(L306=22,L306=23),"+6",IF(OR(L306=24,L306=25),"+7",IF(OR(L306=26,L306=27),"+8",IF(OR(L306=28,L306=29),"+9",IF(L306=30,"+10"," "))))))))))))))))</f>
        <v>0</v>
      </c>
      <c r="N306" s="3" t="n">
        <v>12</v>
      </c>
      <c r="O306" s="1" t="str">
        <f aca="false">IF(N306=1,"-5",IF(OR(N306=2,N306=3),"-4",IF(OR(N306=4,N306=5),"-3",IF(OR(N306=6,N306=7),"-2",IF(OR(N306=8,N306=9),"-1",IF(OR(N306=10,N306=11),"0",IF(OR(N306=12,N306=13),"+1",IF(OR(N306=14,N306=15),"+2",IF(OR(N306=16,N306=17),"+3",IF(OR(N306=18,N306=19),"+4",IF(OR(N306=20,N306=21),"+5",IF(OR(N306=22,N306=23),"+6",IF(OR(N306=24,N306=25),"+7",IF(OR(N306=26,N306=27),"+8",IF(OR(N306=28,N306=29),"+9",IF(N306=30,"+10"," "))))))))))))))))</f>
        <v>+1</v>
      </c>
      <c r="P306" s="3" t="n">
        <v>8</v>
      </c>
      <c r="Q306" s="1" t="str">
        <f aca="false">IF(P306=1,"-5",IF(OR(P306=2,P306=3),"-4",IF(OR(P306=4,P306=5),"-3",IF(OR(P306=6,P306=7),"-2",IF(OR(P306=8,P306=9),"-1",IF(OR(P306=10,P306=11),"0",IF(OR(P306=12,P306=13),"+1",IF(OR(P306=14,P306=15),"+2",IF(OR(P306=16,P306=17),"+3",IF(OR(P306=18,P306=19),"+4",IF(OR(P306=20,P306=21),"+5",IF(OR(P306=22,P306=23),"+6",IF(OR(P306=24,P306=25),"+7",IF(OR(P306=26,P306=27),"+8",IF(OR(P306=28,P306=29),"+9",IF(P306=30,"+10"," "))))))))))))))))</f>
        <v>-1</v>
      </c>
      <c r="R306" s="3" t="n">
        <v>11</v>
      </c>
      <c r="S306" s="1" t="str">
        <f aca="false">IF(R306=1,"-5",IF(OR(R306=2,R306=3),"-4",IF(OR(R306=4,R306=5),"-3",IF(OR(R306=6,R306=7),"-2",IF(OR(R306=8,R306=9),"-1",IF(OR(R306=10,R306=11),"0",IF(OR(R306=12,R306=13),"+1",IF(OR(R306=14,R306=15),"+2",IF(OR(R306=16,R306=17),"+3",IF(OR(R306=18,R306=19),"+4",IF(OR(R306=20,R306=21),"+5",IF(OR(R306=22,R306=23),"+6",IF(OR(R306=24,R306=25),"+7",IF(OR(R306=26,R306=27),"+8",IF(OR(R306=28,R306=29),"+9",IF(R306=30,"+10"," "))))))))))))))))</f>
        <v>0</v>
      </c>
      <c r="T306" s="3" t="n">
        <v>8</v>
      </c>
      <c r="U306" s="1" t="str">
        <f aca="false">IF(T306=1,"-5",IF(OR(T306=2,T306=3),"-4",IF(OR(T306=4,T306=5),"-3",IF(OR(T306=6,T306=7),"-2",IF(OR(T306=8,T306=9),"-1",IF(OR(T306=10,T306=11),"0",IF(OR(T306=12,T306=13),"+1",IF(OR(T306=14,T306=15),"+2",IF(OR(T306=16,T306=17),"+3",IF(OR(T306=18,T306=19),"+4",IF(OR(T306=20,T306=21),"+5",IF(OR(T306=22,T306=23),"+6",IF(OR(T306=24,T306=25),"+7",IF(OR(T306=26,T306=27),"+8",IF(OR(T306=28,T306=29),"+9",IF(T306=30,"+10"," "))))))))))))))))</f>
        <v>-1</v>
      </c>
      <c r="V306" s="3" t="s">
        <v>37</v>
      </c>
      <c r="W306" s="3" t="s">
        <v>66</v>
      </c>
      <c r="X306" s="11" t="s">
        <v>1583</v>
      </c>
      <c r="Y306" s="11" t="s">
        <v>1584</v>
      </c>
      <c r="Z306" s="11" t="s">
        <v>37</v>
      </c>
      <c r="AA306" s="12" t="s">
        <v>37</v>
      </c>
    </row>
    <row r="307" customFormat="false" ht="16.4" hidden="false" customHeight="false" outlineLevel="0" collapsed="false">
      <c r="A307" s="15" t="s">
        <v>1585</v>
      </c>
      <c r="B307" s="3" t="s">
        <v>105</v>
      </c>
      <c r="C307" s="3" t="s">
        <v>106</v>
      </c>
      <c r="D307" s="16" t="n">
        <v>11</v>
      </c>
      <c r="E307" s="6" t="n">
        <f aca="false">VLOOKUP(D307,'[1]REF Tables'!$A$2:$B$40,2)</f>
        <v>7200</v>
      </c>
      <c r="F307" s="3" t="s">
        <v>50</v>
      </c>
      <c r="G307" s="3" t="n">
        <v>17</v>
      </c>
      <c r="H307" s="3" t="s">
        <v>1026</v>
      </c>
      <c r="I307" s="3" t="s">
        <v>1586</v>
      </c>
      <c r="J307" s="3" t="n">
        <v>18</v>
      </c>
      <c r="K307" s="1" t="str">
        <f aca="false">IF(J307=1,"-5",IF(OR(J307=2,J307=3),"-4",IF(OR(J307=4,J307=5),"-3",IF(OR(J307=6,J307=7),"-2",IF(OR(J307=8,J307=9),"-1",IF(OR(J307=10,J307=11),"0",IF(OR(J307=12,J307=13),"+1",IF(OR(J307=14,J307=15),"+2",IF(OR(J307=16,J307=17),"+3",IF(OR(J307=18,J307=19),"+4",IF(OR(J307=20,J307=21),"+5",IF(OR(J307=22,J307=23),"+6",IF(OR(J307=24,J307=25),"+7",IF(OR(J307=26,J307=27),"+8",IF(OR(J307=28,J307=29),"+9",IF(J307=30,"+10"," "))))))))))))))))</f>
        <v>+4</v>
      </c>
      <c r="L307" s="3" t="n">
        <v>15</v>
      </c>
      <c r="M307" s="1" t="str">
        <f aca="false">IF(L307=1,"-5",IF(OR(L307=2,L307=3),"-4",IF(OR(L307=4,L307=5),"-3",IF(OR(L307=6,L307=7),"-2",IF(OR(L307=8,L307=9),"-1",IF(OR(L307=10,L307=11),"0",IF(OR(L307=12,L307=13),"+1",IF(OR(L307=14,L307=15),"+2",IF(OR(L307=16,L307=17),"+3",IF(OR(L307=18,L307=19),"+4",IF(OR(L307=20,L307=21),"+5",IF(OR(L307=22,L307=23),"+6",IF(OR(L307=24,L307=25),"+7",IF(OR(L307=26,L307=27),"+8",IF(OR(L307=28,L307=29),"+9",IF(L307=30,"+10"," "))))))))))))))))</f>
        <v>+2</v>
      </c>
      <c r="N307" s="3" t="n">
        <v>16</v>
      </c>
      <c r="O307" s="1" t="str">
        <f aca="false">IF(N307=1,"-5",IF(OR(N307=2,N307=3),"-4",IF(OR(N307=4,N307=5),"-3",IF(OR(N307=6,N307=7),"-2",IF(OR(N307=8,N307=9),"-1",IF(OR(N307=10,N307=11),"0",IF(OR(N307=12,N307=13),"+1",IF(OR(N307=14,N307=15),"+2",IF(OR(N307=16,N307=17),"+3",IF(OR(N307=18,N307=19),"+4",IF(OR(N307=20,N307=21),"+5",IF(OR(N307=22,N307=23),"+6",IF(OR(N307=24,N307=25),"+7",IF(OR(N307=26,N307=27),"+8",IF(OR(N307=28,N307=29),"+9",IF(N307=30,"+10"," "))))))))))))))))</f>
        <v>+3</v>
      </c>
      <c r="P307" s="3" t="n">
        <v>18</v>
      </c>
      <c r="Q307" s="1" t="str">
        <f aca="false">IF(P307=1,"-5",IF(OR(P307=2,P307=3),"-4",IF(OR(P307=4,P307=5),"-3",IF(OR(P307=6,P307=7),"-2",IF(OR(P307=8,P307=9),"-1",IF(OR(P307=10,P307=11),"0",IF(OR(P307=12,P307=13),"+1",IF(OR(P307=14,P307=15),"+2",IF(OR(P307=16,P307=17),"+3",IF(OR(P307=18,P307=19),"+4",IF(OR(P307=20,P307=21),"+5",IF(OR(P307=22,P307=23),"+6",IF(OR(P307=24,P307=25),"+7",IF(OR(P307=26,P307=27),"+8",IF(OR(P307=28,P307=29),"+9",IF(P307=30,"+10"," "))))))))))))))))</f>
        <v>+4</v>
      </c>
      <c r="R307" s="3" t="n">
        <v>18</v>
      </c>
      <c r="S307" s="1" t="str">
        <f aca="false">IF(R307=1,"-5",IF(OR(R307=2,R307=3),"-4",IF(OR(R307=4,R307=5),"-3",IF(OR(R307=6,R307=7),"-2",IF(OR(R307=8,R307=9),"-1",IF(OR(R307=10,R307=11),"0",IF(OR(R307=12,R307=13),"+1",IF(OR(R307=14,R307=15),"+2",IF(OR(R307=16,R307=17),"+3",IF(OR(R307=18,R307=19),"+4",IF(OR(R307=20,R307=21),"+5",IF(OR(R307=22,R307=23),"+6",IF(OR(R307=24,R307=25),"+7",IF(OR(R307=26,R307=27),"+8",IF(OR(R307=28,R307=29),"+9",IF(R307=30,"+10"," "))))))))))))))))</f>
        <v>+4</v>
      </c>
      <c r="T307" s="3" t="n">
        <v>18</v>
      </c>
      <c r="U307" s="1" t="str">
        <f aca="false">IF(T307=1,"-5",IF(OR(T307=2,T307=3),"-4",IF(OR(T307=4,T307=5),"-3",IF(OR(T307=6,T307=7),"-2",IF(OR(T307=8,T307=9),"-1",IF(OR(T307=10,T307=11),"0",IF(OR(T307=12,T307=13),"+1",IF(OR(T307=14,T307=15),"+2",IF(OR(T307=16,T307=17),"+3",IF(OR(T307=18,T307=19),"+4",IF(OR(T307=20,T307=21),"+5",IF(OR(T307=22,T307=23),"+6",IF(OR(T307=24,T307=25),"+7",IF(OR(T307=26,T307=27),"+8",IF(OR(T307=28,T307=29),"+9",IF(T307=30,"+10"," "))))))))))))))))</f>
        <v>+4</v>
      </c>
      <c r="V307" s="3" t="s">
        <v>1587</v>
      </c>
      <c r="W307" s="3" t="s">
        <v>110</v>
      </c>
      <c r="X307" s="11" t="s">
        <v>1588</v>
      </c>
      <c r="Y307" s="11" t="s">
        <v>1589</v>
      </c>
      <c r="Z307" s="11" t="s">
        <v>37</v>
      </c>
      <c r="AA307" s="12" t="s">
        <v>1590</v>
      </c>
    </row>
    <row r="308" customFormat="false" ht="16.4" hidden="false" customHeight="false" outlineLevel="0" collapsed="false">
      <c r="A308" s="15" t="s">
        <v>1591</v>
      </c>
      <c r="B308" s="3" t="s">
        <v>105</v>
      </c>
      <c r="C308" s="3" t="s">
        <v>222</v>
      </c>
      <c r="D308" s="16" t="n">
        <v>1</v>
      </c>
      <c r="E308" s="3" t="n">
        <f aca="false">VLOOKUP(D308,'[1]REF Tables'!$A$2:$B$40,2)</f>
        <v>200</v>
      </c>
      <c r="F308" s="3" t="s">
        <v>30</v>
      </c>
      <c r="G308" s="3" t="n">
        <v>11</v>
      </c>
      <c r="H308" s="3" t="s">
        <v>1022</v>
      </c>
      <c r="I308" s="3" t="s">
        <v>540</v>
      </c>
      <c r="J308" s="3" t="n">
        <v>12</v>
      </c>
      <c r="K308" s="1" t="str">
        <f aca="false">IF(J308=1,"-5",IF(OR(J308=2,J308=3),"-4",IF(OR(J308=4,J308=5),"-3",IF(OR(J308=6,J308=7),"-2",IF(OR(J308=8,J308=9),"-1",IF(OR(J308=10,J308=11),"0",IF(OR(J308=12,J308=13),"+1",IF(OR(J308=14,J308=15),"+2",IF(OR(J308=16,J308=17),"+3",IF(OR(J308=18,J308=19),"+4",IF(OR(J308=20,J308=21),"+5",IF(OR(J308=22,J308=23),"+6",IF(OR(J308=24,J308=25),"+7",IF(OR(J308=26,J308=27),"+8",IF(OR(J308=28,J308=29),"+9",IF(J308=30,"+10"," "))))))))))))))))</f>
        <v>+1</v>
      </c>
      <c r="L308" s="3" t="n">
        <v>13</v>
      </c>
      <c r="M308" s="1" t="str">
        <f aca="false">IF(L308=1,"-5",IF(OR(L308=2,L308=3),"-4",IF(OR(L308=4,L308=5),"-3",IF(OR(L308=6,L308=7),"-2",IF(OR(L308=8,L308=9),"-1",IF(OR(L308=10,L308=11),"0",IF(OR(L308=12,L308=13),"+1",IF(OR(L308=14,L308=15),"+2",IF(OR(L308=16,L308=17),"+3",IF(OR(L308=18,L308=19),"+4",IF(OR(L308=20,L308=21),"+5",IF(OR(L308=22,L308=23),"+6",IF(OR(L308=24,L308=25),"+7",IF(OR(L308=26,L308=27),"+8",IF(OR(L308=28,L308=29),"+9",IF(L308=30,"+10"," "))))))))))))))))</f>
        <v>+1</v>
      </c>
      <c r="N308" s="3" t="n">
        <v>12</v>
      </c>
      <c r="O308" s="1" t="str">
        <f aca="false">IF(N308=1,"-5",IF(OR(N308=2,N308=3),"-4",IF(OR(N308=4,N308=5),"-3",IF(OR(N308=6,N308=7),"-2",IF(OR(N308=8,N308=9),"-1",IF(OR(N308=10,N308=11),"0",IF(OR(N308=12,N308=13),"+1",IF(OR(N308=14,N308=15),"+2",IF(OR(N308=16,N308=17),"+3",IF(OR(N308=18,N308=19),"+4",IF(OR(N308=20,N308=21),"+5",IF(OR(N308=22,N308=23),"+6",IF(OR(N308=24,N308=25),"+7",IF(OR(N308=26,N308=27),"+8",IF(OR(N308=28,N308=29),"+9",IF(N308=30,"+10"," "))))))))))))))))</f>
        <v>+1</v>
      </c>
      <c r="P308" s="3" t="n">
        <v>7</v>
      </c>
      <c r="Q308" s="1" t="str">
        <f aca="false">IF(P308=1,"-5",IF(OR(P308=2,P308=3),"-4",IF(OR(P308=4,P308=5),"-3",IF(OR(P308=6,P308=7),"-2",IF(OR(P308=8,P308=9),"-1",IF(OR(P308=10,P308=11),"0",IF(OR(P308=12,P308=13),"+1",IF(OR(P308=14,P308=15),"+2",IF(OR(P308=16,P308=17),"+3",IF(OR(P308=18,P308=19),"+4",IF(OR(P308=20,P308=21),"+5",IF(OR(P308=22,P308=23),"+6",IF(OR(P308=24,P308=25),"+7",IF(OR(P308=26,P308=27),"+8",IF(OR(P308=28,P308=29),"+9",IF(P308=30,"+10"," "))))))))))))))))</f>
        <v>-2</v>
      </c>
      <c r="R308" s="3" t="n">
        <v>10</v>
      </c>
      <c r="S308" s="1" t="str">
        <f aca="false">IF(R308=1,"-5",IF(OR(R308=2,R308=3),"-4",IF(OR(R308=4,R308=5),"-3",IF(OR(R308=6,R308=7),"-2",IF(OR(R308=8,R308=9),"-1",IF(OR(R308=10,R308=11),"0",IF(OR(R308=12,R308=13),"+1",IF(OR(R308=14,R308=15),"+2",IF(OR(R308=16,R308=17),"+3",IF(OR(R308=18,R308=19),"+4",IF(OR(R308=20,R308=21),"+5",IF(OR(R308=22,R308=23),"+6",IF(OR(R308=24,R308=25),"+7",IF(OR(R308=26,R308=27),"+8",IF(OR(R308=28,R308=29),"+9",IF(R308=30,"+10"," "))))))))))))))))</f>
        <v>0</v>
      </c>
      <c r="T308" s="3" t="n">
        <v>13</v>
      </c>
      <c r="U308" s="1" t="str">
        <f aca="false">IF(T308=1,"-5",IF(OR(T308=2,T308=3),"-4",IF(OR(T308=4,T308=5),"-3",IF(OR(T308=6,T308=7),"-2",IF(OR(T308=8,T308=9),"-1",IF(OR(T308=10,T308=11),"0",IF(OR(T308=12,T308=13),"+1",IF(OR(T308=14,T308=15),"+2",IF(OR(T308=16,T308=17),"+3",IF(OR(T308=18,T308=19),"+4",IF(OR(T308=20,T308=21),"+5",IF(OR(T308=22,T308=23),"+6",IF(OR(T308=24,T308=25),"+7",IF(OR(T308=26,T308=27),"+8",IF(OR(T308=28,T308=29),"+9",IF(T308=30,"+10"," "))))))))))))))))</f>
        <v>+1</v>
      </c>
      <c r="V308" s="3" t="s">
        <v>37</v>
      </c>
      <c r="W308" s="3" t="s">
        <v>271</v>
      </c>
      <c r="X308" s="11" t="s">
        <v>37</v>
      </c>
      <c r="Y308" s="11" t="s">
        <v>1592</v>
      </c>
      <c r="Z308" s="11" t="s">
        <v>37</v>
      </c>
      <c r="AA308" s="12" t="s">
        <v>37</v>
      </c>
    </row>
    <row r="309" customFormat="false" ht="16.4" hidden="false" customHeight="false" outlineLevel="0" collapsed="false">
      <c r="A309" s="15" t="s">
        <v>1593</v>
      </c>
      <c r="B309" s="3" t="s">
        <v>221</v>
      </c>
      <c r="C309" s="3" t="s">
        <v>222</v>
      </c>
      <c r="D309" s="16" t="n">
        <v>8</v>
      </c>
      <c r="E309" s="6" t="n">
        <f aca="false">VLOOKUP(D309,'[1]REF Tables'!$A$2:$B$40,2)</f>
        <v>3900</v>
      </c>
      <c r="F309" s="3" t="s">
        <v>50</v>
      </c>
      <c r="G309" s="3" t="n">
        <v>16</v>
      </c>
      <c r="H309" s="3" t="s">
        <v>1594</v>
      </c>
      <c r="I309" s="3" t="s">
        <v>42</v>
      </c>
      <c r="J309" s="3" t="n">
        <v>19</v>
      </c>
      <c r="K309" s="1" t="str">
        <f aca="false">IF(J309=1,"-5",IF(OR(J309=2,J309=3),"-4",IF(OR(J309=4,J309=5),"-3",IF(OR(J309=6,J309=7),"-2",IF(OR(J309=8,J309=9),"-1",IF(OR(J309=10,J309=11),"0",IF(OR(J309=12,J309=13),"+1",IF(OR(J309=14,J309=15),"+2",IF(OR(J309=16,J309=17),"+3",IF(OR(J309=18,J309=19),"+4",IF(OR(J309=20,J309=21),"+5",IF(OR(J309=22,J309=23),"+6",IF(OR(J309=24,J309=25),"+7",IF(OR(J309=26,J309=27),"+8",IF(OR(J309=28,J309=29),"+9",IF(J309=30,"+10"," "))))))))))))))))</f>
        <v>+4</v>
      </c>
      <c r="L309" s="3" t="n">
        <v>17</v>
      </c>
      <c r="M309" s="1" t="str">
        <f aca="false">IF(L309=1,"-5",IF(OR(L309=2,L309=3),"-4",IF(OR(L309=4,L309=5),"-3",IF(OR(L309=6,L309=7),"-2",IF(OR(L309=8,L309=9),"-1",IF(OR(L309=10,L309=11),"0",IF(OR(L309=12,L309=13),"+1",IF(OR(L309=14,L309=15),"+2",IF(OR(L309=16,L309=17),"+3",IF(OR(L309=18,L309=19),"+4",IF(OR(L309=20,L309=21),"+5",IF(OR(L309=22,L309=23),"+6",IF(OR(L309=24,L309=25),"+7",IF(OR(L309=26,L309=27),"+8",IF(OR(L309=28,L309=29),"+9",IF(L309=30,"+10"," "))))))))))))))))</f>
        <v>+3</v>
      </c>
      <c r="N309" s="3" t="n">
        <v>20</v>
      </c>
      <c r="O309" s="1" t="str">
        <f aca="false">IF(N309=1,"-5",IF(OR(N309=2,N309=3),"-4",IF(OR(N309=4,N309=5),"-3",IF(OR(N309=6,N309=7),"-2",IF(OR(N309=8,N309=9),"-1",IF(OR(N309=10,N309=11),"0",IF(OR(N309=12,N309=13),"+1",IF(OR(N309=14,N309=15),"+2",IF(OR(N309=16,N309=17),"+3",IF(OR(N309=18,N309=19),"+4",IF(OR(N309=20,N309=21),"+5",IF(OR(N309=22,N309=23),"+6",IF(OR(N309=24,N309=25),"+7",IF(OR(N309=26,N309=27),"+8",IF(OR(N309=28,N309=29),"+9",IF(N309=30,"+10"," "))))))))))))))))</f>
        <v>+5</v>
      </c>
      <c r="P309" s="3" t="n">
        <v>5</v>
      </c>
      <c r="Q309" s="1" t="str">
        <f aca="false">IF(P309=1,"-5",IF(OR(P309=2,P309=3),"-4",IF(OR(P309=4,P309=5),"-3",IF(OR(P309=6,P309=7),"-2",IF(OR(P309=8,P309=9),"-1",IF(OR(P309=10,P309=11),"0",IF(OR(P309=12,P309=13),"+1",IF(OR(P309=14,P309=15),"+2",IF(OR(P309=16,P309=17),"+3",IF(OR(P309=18,P309=19),"+4",IF(OR(P309=20,P309=21),"+5",IF(OR(P309=22,P309=23),"+6",IF(OR(P309=24,P309=25),"+7",IF(OR(P309=26,P309=27),"+8",IF(OR(P309=28,P309=29),"+9",IF(P309=30,"+10"," "))))))))))))))))</f>
        <v>-3</v>
      </c>
      <c r="R309" s="3" t="n">
        <v>12</v>
      </c>
      <c r="S309" s="1" t="str">
        <f aca="false">IF(R309=1,"-5",IF(OR(R309=2,R309=3),"-4",IF(OR(R309=4,R309=5),"-3",IF(OR(R309=6,R309=7),"-2",IF(OR(R309=8,R309=9),"-1",IF(OR(R309=10,R309=11),"0",IF(OR(R309=12,R309=13),"+1",IF(OR(R309=14,R309=15),"+2",IF(OR(R309=16,R309=17),"+3",IF(OR(R309=18,R309=19),"+4",IF(OR(R309=20,R309=21),"+5",IF(OR(R309=22,R309=23),"+6",IF(OR(R309=24,R309=25),"+7",IF(OR(R309=26,R309=27),"+8",IF(OR(R309=28,R309=29),"+9",IF(R309=30,"+10"," "))))))))))))))))</f>
        <v>+1</v>
      </c>
      <c r="T309" s="3" t="n">
        <v>13</v>
      </c>
      <c r="U309" s="1" t="str">
        <f aca="false">IF(T309=1,"-5",IF(OR(T309=2,T309=3),"-4",IF(OR(T309=4,T309=5),"-3",IF(OR(T309=6,T309=7),"-2",IF(OR(T309=8,T309=9),"-1",IF(OR(T309=10,T309=11),"0",IF(OR(T309=12,T309=13),"+1",IF(OR(T309=14,T309=15),"+2",IF(OR(T309=16,T309=17),"+3",IF(OR(T309=18,T309=19),"+4",IF(OR(T309=20,T309=21),"+5",IF(OR(T309=22,T309=23),"+6",IF(OR(T309=24,T309=25),"+7",IF(OR(T309=26,T309=27),"+8",IF(OR(T309=28,T309=29),"+9",IF(T309=30,"+10"," "))))))))))))))))</f>
        <v>+1</v>
      </c>
      <c r="V309" s="3" t="s">
        <v>1595</v>
      </c>
      <c r="W309" s="3" t="s">
        <v>1409</v>
      </c>
      <c r="X309" s="11" t="s">
        <v>1596</v>
      </c>
      <c r="Y309" s="11" t="s">
        <v>1597</v>
      </c>
      <c r="Z309" s="11" t="s">
        <v>37</v>
      </c>
      <c r="AA309" s="12" t="s">
        <v>37</v>
      </c>
    </row>
    <row r="310" customFormat="false" ht="16.4" hidden="false" customHeight="false" outlineLevel="0" collapsed="false">
      <c r="A310" s="15" t="s">
        <v>1598</v>
      </c>
      <c r="B310" s="3" t="s">
        <v>59</v>
      </c>
      <c r="C310" s="3" t="s">
        <v>37</v>
      </c>
      <c r="D310" s="16" t="n">
        <v>0</v>
      </c>
      <c r="E310" s="3" t="n">
        <v>0</v>
      </c>
      <c r="F310" s="3" t="s">
        <v>315</v>
      </c>
      <c r="G310" s="3" t="n">
        <v>11</v>
      </c>
      <c r="H310" s="3" t="s">
        <v>316</v>
      </c>
      <c r="I310" s="3" t="s">
        <v>1599</v>
      </c>
      <c r="J310" s="3" t="n">
        <v>1</v>
      </c>
      <c r="K310" s="1" t="str">
        <f aca="false">IF(J310=1,"-5",IF(OR(J310=2,J310=3),"-4",IF(OR(J310=4,J310=5),"-3",IF(OR(J310=6,J310=7),"-2",IF(OR(J310=8,J310=9),"-1",IF(OR(J310=10,J310=11),"0",IF(OR(J310=12,J310=13),"+1",IF(OR(J310=14,J310=15),"+2",IF(OR(J310=16,J310=17),"+3",IF(OR(J310=18,J310=19),"+4",IF(OR(J310=20,J310=21),"+5",IF(OR(J310=22,J310=23),"+6",IF(OR(J310=24,J310=25),"+7",IF(OR(J310=26,J310=27),"+8",IF(OR(J310=28,J310=29),"+9",IF(J310=30,"+10"," "))))))))))))))))</f>
        <v>-5</v>
      </c>
      <c r="L310" s="3" t="n">
        <v>12</v>
      </c>
      <c r="M310" s="1" t="str">
        <f aca="false">IF(L310=1,"-5",IF(OR(L310=2,L310=3),"-4",IF(OR(L310=4,L310=5),"-3",IF(OR(L310=6,L310=7),"-2",IF(OR(L310=8,L310=9),"-1",IF(OR(L310=10,L310=11),"0",IF(OR(L310=12,L310=13),"+1",IF(OR(L310=14,L310=15),"+2",IF(OR(L310=16,L310=17),"+3",IF(OR(L310=18,L310=19),"+4",IF(OR(L310=20,L310=21),"+5",IF(OR(L310=22,L310=23),"+6",IF(OR(L310=24,L310=25),"+7",IF(OR(L310=26,L310=27),"+8",IF(OR(L310=28,L310=29),"+9",IF(L310=30,"+10"," "))))))))))))))))</f>
        <v>+1</v>
      </c>
      <c r="N310" s="3" t="n">
        <v>8</v>
      </c>
      <c r="O310" s="1" t="str">
        <f aca="false">IF(N310=1,"-5",IF(OR(N310=2,N310=3),"-4",IF(OR(N310=4,N310=5),"-3",IF(OR(N310=6,N310=7),"-2",IF(OR(N310=8,N310=9),"-1",IF(OR(N310=10,N310=11),"0",IF(OR(N310=12,N310=13),"+1",IF(OR(N310=14,N310=15),"+2",IF(OR(N310=16,N310=17),"+3",IF(OR(N310=18,N310=19),"+4",IF(OR(N310=20,N310=21),"+5",IF(OR(N310=22,N310=23),"+6",IF(OR(N310=24,N310=25),"+7",IF(OR(N310=26,N310=27),"+8",IF(OR(N310=28,N310=29),"+9",IF(N310=30,"+10"," "))))))))))))))))</f>
        <v>-1</v>
      </c>
      <c r="P310" s="3" t="n">
        <v>1</v>
      </c>
      <c r="Q310" s="1" t="str">
        <f aca="false">IF(P310=1,"-5",IF(OR(P310=2,P310=3),"-4",IF(OR(P310=4,P310=5),"-3",IF(OR(P310=6,P310=7),"-2",IF(OR(P310=8,P310=9),"-1",IF(OR(P310=10,P310=11),"0",IF(OR(P310=12,P310=13),"+1",IF(OR(P310=14,P310=15),"+2",IF(OR(P310=16,P310=17),"+3",IF(OR(P310=18,P310=19),"+4",IF(OR(P310=20,P310=21),"+5",IF(OR(P310=22,P310=23),"+6",IF(OR(P310=24,P310=25),"+7",IF(OR(P310=26,P310=27),"+8",IF(OR(P310=28,P310=29),"+9",IF(P310=30,"+10"," "))))))))))))))))</f>
        <v>-5</v>
      </c>
      <c r="R310" s="3" t="n">
        <v>10</v>
      </c>
      <c r="S310" s="1" t="str">
        <f aca="false">IF(R310=1,"-5",IF(OR(R310=2,R310=3),"-4",IF(OR(R310=4,R310=5),"-3",IF(OR(R310=6,R310=7),"-2",IF(OR(R310=8,R310=9),"-1",IF(OR(R310=10,R310=11),"0",IF(OR(R310=12,R310=13),"+1",IF(OR(R310=14,R310=15),"+2",IF(OR(R310=16,R310=17),"+3",IF(OR(R310=18,R310=19),"+4",IF(OR(R310=20,R310=21),"+5",IF(OR(R310=22,R310=23),"+6",IF(OR(R310=24,R310=25),"+7",IF(OR(R310=26,R310=27),"+8",IF(OR(R310=28,R310=29),"+9",IF(R310=30,"+10"," "))))))))))))))))</f>
        <v>0</v>
      </c>
      <c r="T310" s="3" t="n">
        <v>2</v>
      </c>
      <c r="U310" s="1" t="str">
        <f aca="false">IF(T310=1,"-5",IF(OR(T310=2,T310=3),"-4",IF(OR(T310=4,T310=5),"-3",IF(OR(T310=6,T310=7),"-2",IF(OR(T310=8,T310=9),"-1",IF(OR(T310=10,T310=11),"0",IF(OR(T310=12,T310=13),"+1",IF(OR(T310=14,T310=15),"+2",IF(OR(T310=16,T310=17),"+3",IF(OR(T310=18,T310=19),"+4",IF(OR(T310=20,T310=21),"+5",IF(OR(T310=22,T310=23),"+6",IF(OR(T310=24,T310=25),"+7",IF(OR(T310=26,T310=27),"+8",IF(OR(T310=28,T310=29),"+9",IF(T310=30,"+10"," "))))))))))))))))</f>
        <v>-4</v>
      </c>
      <c r="V310" s="3" t="s">
        <v>37</v>
      </c>
      <c r="W310" s="3" t="s">
        <v>37</v>
      </c>
      <c r="X310" s="11" t="s">
        <v>1600</v>
      </c>
      <c r="Y310" s="11" t="s">
        <v>37</v>
      </c>
      <c r="Z310" s="11" t="s">
        <v>37</v>
      </c>
      <c r="AA310" s="12" t="s">
        <v>37</v>
      </c>
    </row>
    <row r="311" customFormat="false" ht="16.4" hidden="false" customHeight="false" outlineLevel="0" collapsed="false">
      <c r="A311" s="15" t="s">
        <v>1601</v>
      </c>
      <c r="B311" s="3" t="s">
        <v>59</v>
      </c>
      <c r="C311" s="3" t="s">
        <v>37</v>
      </c>
      <c r="D311" s="16" t="n">
        <v>0.5</v>
      </c>
      <c r="E311" s="3" t="n">
        <f aca="false">VLOOKUP(D311,'[1]REF Tables'!$A$2:$B$40,2)</f>
        <v>100</v>
      </c>
      <c r="F311" s="3" t="s">
        <v>50</v>
      </c>
      <c r="G311" s="3" t="n">
        <v>13</v>
      </c>
      <c r="H311" s="3" t="s">
        <v>1602</v>
      </c>
      <c r="I311" s="3" t="s">
        <v>1603</v>
      </c>
      <c r="J311" s="3" t="n">
        <v>12</v>
      </c>
      <c r="K311" s="1" t="str">
        <f aca="false">IF(J311=1,"-5",IF(OR(J311=2,J311=3),"-4",IF(OR(J311=4,J311=5),"-3",IF(OR(J311=6,J311=7),"-2",IF(OR(J311=8,J311=9),"-1",IF(OR(J311=10,J311=11),"0",IF(OR(J311=12,J311=13),"+1",IF(OR(J311=14,J311=15),"+2",IF(OR(J311=16,J311=17),"+3",IF(OR(J311=18,J311=19),"+4",IF(OR(J311=20,J311=21),"+5",IF(OR(J311=22,J311=23),"+6",IF(OR(J311=24,J311=25),"+7",IF(OR(J311=26,J311=27),"+8",IF(OR(J311=28,J311=29),"+9",IF(J311=30,"+10"," "))))))))))))))))</f>
        <v>+1</v>
      </c>
      <c r="L311" s="3" t="n">
        <v>15</v>
      </c>
      <c r="M311" s="1" t="str">
        <f aca="false">IF(L311=1,"-5",IF(OR(L311=2,L311=3),"-4",IF(OR(L311=4,L311=5),"-3",IF(OR(L311=6,L311=7),"-2",IF(OR(L311=8,L311=9),"-1",IF(OR(L311=10,L311=11),"0",IF(OR(L311=12,L311=13),"+1",IF(OR(L311=14,L311=15),"+2",IF(OR(L311=16,L311=17),"+3",IF(OR(L311=18,L311=19),"+4",IF(OR(L311=20,L311=21),"+5",IF(OR(L311=22,L311=23),"+6",IF(OR(L311=24,L311=25),"+7",IF(OR(L311=26,L311=27),"+8",IF(OR(L311=28,L311=29),"+9",IF(L311=30,"+10"," "))))))))))))))))</f>
        <v>+2</v>
      </c>
      <c r="N311" s="3" t="n">
        <v>11</v>
      </c>
      <c r="O311" s="1" t="str">
        <f aca="false">IF(N311=1,"-5",IF(OR(N311=2,N311=3),"-4",IF(OR(N311=4,N311=5),"-3",IF(OR(N311=6,N311=7),"-2",IF(OR(N311=8,N311=9),"-1",IF(OR(N311=10,N311=11),"0",IF(OR(N311=12,N311=13),"+1",IF(OR(N311=14,N311=15),"+2",IF(OR(N311=16,N311=17),"+3",IF(OR(N311=18,N311=19),"+4",IF(OR(N311=20,N311=21),"+5",IF(OR(N311=22,N311=23),"+6",IF(OR(N311=24,N311=25),"+7",IF(OR(N311=26,N311=27),"+8",IF(OR(N311=28,N311=29),"+9",IF(N311=30,"+10"," "))))))))))))))))</f>
        <v>0</v>
      </c>
      <c r="P311" s="3" t="n">
        <v>2</v>
      </c>
      <c r="Q311" s="1" t="str">
        <f aca="false">IF(P311=1,"-5",IF(OR(P311=2,P311=3),"-4",IF(OR(P311=4,P311=5),"-3",IF(OR(P311=6,P311=7),"-2",IF(OR(P311=8,P311=9),"-1",IF(OR(P311=10,P311=11),"0",IF(OR(P311=12,P311=13),"+1",IF(OR(P311=14,P311=15),"+2",IF(OR(P311=16,P311=17),"+3",IF(OR(P311=18,P311=19),"+4",IF(OR(P311=20,P311=21),"+5",IF(OR(P311=22,P311=23),"+6",IF(OR(P311=24,P311=25),"+7",IF(OR(P311=26,P311=27),"+8",IF(OR(P311=28,P311=29),"+9",IF(P311=30,"+10"," "))))))))))))))))</f>
        <v>-4</v>
      </c>
      <c r="R311" s="3" t="n">
        <v>12</v>
      </c>
      <c r="S311" s="1" t="str">
        <f aca="false">IF(R311=1,"-5",IF(OR(R311=2,R311=3),"-4",IF(OR(R311=4,R311=5),"-3",IF(OR(R311=6,R311=7),"-2",IF(OR(R311=8,R311=9),"-1",IF(OR(R311=10,R311=11),"0",IF(OR(R311=12,R311=13),"+1",IF(OR(R311=14,R311=15),"+2",IF(OR(R311=16,R311=17),"+3",IF(OR(R311=18,R311=19),"+4",IF(OR(R311=20,R311=21),"+5",IF(OR(R311=22,R311=23),"+6",IF(OR(R311=24,R311=25),"+7",IF(OR(R311=26,R311=27),"+8",IF(OR(R311=28,R311=29),"+9",IF(R311=30,"+10"," "))))))))))))))))</f>
        <v>+1</v>
      </c>
      <c r="T311" s="3" t="n">
        <v>5</v>
      </c>
      <c r="U311" s="1" t="str">
        <f aca="false">IF(T311=1,"-5",IF(OR(T311=2,T311=3),"-4",IF(OR(T311=4,T311=5),"-3",IF(OR(T311=6,T311=7),"-2",IF(OR(T311=8,T311=9),"-1",IF(OR(T311=10,T311=11),"0",IF(OR(T311=12,T311=13),"+1",IF(OR(T311=14,T311=15),"+2",IF(OR(T311=16,T311=17),"+3",IF(OR(T311=18,T311=19),"+4",IF(OR(T311=20,T311=21),"+5",IF(OR(T311=22,T311=23),"+6",IF(OR(T311=24,T311=25),"+7",IF(OR(T311=26,T311=27),"+8",IF(OR(T311=28,T311=29),"+9",IF(T311=30,"+10"," "))))))))))))))))</f>
        <v>-3</v>
      </c>
      <c r="V311" s="3" t="s">
        <v>37</v>
      </c>
      <c r="W311" s="3" t="s">
        <v>37</v>
      </c>
      <c r="X311" s="11" t="s">
        <v>1604</v>
      </c>
      <c r="Y311" s="11" t="s">
        <v>1605</v>
      </c>
      <c r="Z311" s="11" t="s">
        <v>37</v>
      </c>
      <c r="AA311" s="12" t="s">
        <v>37</v>
      </c>
    </row>
    <row r="312" customFormat="false" ht="16.4" hidden="false" customHeight="false" outlineLevel="0" collapsed="false">
      <c r="A312" s="15" t="s">
        <v>1606</v>
      </c>
      <c r="B312" s="3" t="s">
        <v>105</v>
      </c>
      <c r="C312" s="3" t="s">
        <v>37</v>
      </c>
      <c r="D312" s="16" t="n">
        <v>1</v>
      </c>
      <c r="E312" s="3" t="n">
        <f aca="false">VLOOKUP(D312,'[1]REF Tables'!$A$2:$B$40,2)</f>
        <v>200</v>
      </c>
      <c r="F312" s="3" t="s">
        <v>50</v>
      </c>
      <c r="G312" s="3" t="n">
        <v>11</v>
      </c>
      <c r="H312" s="3" t="s">
        <v>304</v>
      </c>
      <c r="I312" s="3" t="s">
        <v>108</v>
      </c>
      <c r="J312" s="3" t="n">
        <v>17</v>
      </c>
      <c r="K312" s="1" t="str">
        <f aca="false">IF(J312=1,"-5",IF(OR(J312=2,J312=3),"-4",IF(OR(J312=4,J312=5),"-3",IF(OR(J312=6,J312=7),"-2",IF(OR(J312=8,J312=9),"-1",IF(OR(J312=10,J312=11),"0",IF(OR(J312=12,J312=13),"+1",IF(OR(J312=14,J312=15),"+2",IF(OR(J312=16,J312=17),"+3",IF(OR(J312=18,J312=19),"+4",IF(OR(J312=20,J312=21),"+5",IF(OR(J312=22,J312=23),"+6",IF(OR(J312=24,J312=25),"+7",IF(OR(J312=26,J312=27),"+8",IF(OR(J312=28,J312=29),"+9",IF(J312=30,"+10"," "))))))))))))))))</f>
        <v>+3</v>
      </c>
      <c r="L312" s="3" t="n">
        <v>13</v>
      </c>
      <c r="M312" s="1" t="str">
        <f aca="false">IF(L312=1,"-5",IF(OR(L312=2,L312=3),"-4",IF(OR(L312=4,L312=5),"-3",IF(OR(L312=6,L312=7),"-2",IF(OR(L312=8,L312=9),"-1",IF(OR(L312=10,L312=11),"0",IF(OR(L312=12,L312=13),"+1",IF(OR(L312=14,L312=15),"+2",IF(OR(L312=16,L312=17),"+3",IF(OR(L312=18,L312=19),"+4",IF(OR(L312=20,L312=21),"+5",IF(OR(L312=22,L312=23),"+6",IF(OR(L312=24,L312=25),"+7",IF(OR(L312=26,L312=27),"+8",IF(OR(L312=28,L312=29),"+9",IF(L312=30,"+10"," "))))))))))))))))</f>
        <v>+1</v>
      </c>
      <c r="N312" s="3" t="n">
        <v>13</v>
      </c>
      <c r="O312" s="1" t="str">
        <f aca="false">IF(N312=1,"-5",IF(OR(N312=2,N312=3),"-4",IF(OR(N312=4,N312=5),"-3",IF(OR(N312=6,N312=7),"-2",IF(OR(N312=8,N312=9),"-1",IF(OR(N312=10,N312=11),"0",IF(OR(N312=12,N312=13),"+1",IF(OR(N312=14,N312=15),"+2",IF(OR(N312=16,N312=17),"+3",IF(OR(N312=18,N312=19),"+4",IF(OR(N312=20,N312=21),"+5",IF(OR(N312=22,N312=23),"+6",IF(OR(N312=24,N312=25),"+7",IF(OR(N312=26,N312=27),"+8",IF(OR(N312=28,N312=29),"+9",IF(N312=30,"+10"," "))))))))))))))))</f>
        <v>+1</v>
      </c>
      <c r="P312" s="3" t="n">
        <v>2</v>
      </c>
      <c r="Q312" s="1" t="str">
        <f aca="false">IF(P312=1,"-5",IF(OR(P312=2,P312=3),"-4",IF(OR(P312=4,P312=5),"-3",IF(OR(P312=6,P312=7),"-2",IF(OR(P312=8,P312=9),"-1",IF(OR(P312=10,P312=11),"0",IF(OR(P312=12,P312=13),"+1",IF(OR(P312=14,P312=15),"+2",IF(OR(P312=16,P312=17),"+3",IF(OR(P312=18,P312=19),"+4",IF(OR(P312=20,P312=21),"+5",IF(OR(P312=22,P312=23),"+6",IF(OR(P312=24,P312=25),"+7",IF(OR(P312=26,P312=27),"+8",IF(OR(P312=28,P312=29),"+9",IF(P312=30,"+10"," "))))))))))))))))</f>
        <v>-4</v>
      </c>
      <c r="R312" s="3" t="n">
        <v>12</v>
      </c>
      <c r="S312" s="1" t="str">
        <f aca="false">IF(R312=1,"-5",IF(OR(R312=2,R312=3),"-4",IF(OR(R312=4,R312=5),"-3",IF(OR(R312=6,R312=7),"-2",IF(OR(R312=8,R312=9),"-1",IF(OR(R312=10,R312=11),"0",IF(OR(R312=12,R312=13),"+1",IF(OR(R312=14,R312=15),"+2",IF(OR(R312=16,R312=17),"+3",IF(OR(R312=18,R312=19),"+4",IF(OR(R312=20,R312=21),"+5",IF(OR(R312=22,R312=23),"+6",IF(OR(R312=24,R312=25),"+7",IF(OR(R312=26,R312=27),"+8",IF(OR(R312=28,R312=29),"+9",IF(R312=30,"+10"," "))))))))))))))))</f>
        <v>+1</v>
      </c>
      <c r="T312" s="3" t="n">
        <v>8</v>
      </c>
      <c r="U312" s="1" t="str">
        <f aca="false">IF(T312=1,"-5",IF(OR(T312=2,T312=3),"-4",IF(OR(T312=4,T312=5),"-3",IF(OR(T312=6,T312=7),"-2",IF(OR(T312=8,T312=9),"-1",IF(OR(T312=10,T312=11),"0",IF(OR(T312=12,T312=13),"+1",IF(OR(T312=14,T312=15),"+2",IF(OR(T312=16,T312=17),"+3",IF(OR(T312=18,T312=19),"+4",IF(OR(T312=20,T312=21),"+5",IF(OR(T312=22,T312=23),"+6",IF(OR(T312=24,T312=25),"+7",IF(OR(T312=26,T312=27),"+8",IF(OR(T312=28,T312=29),"+9",IF(T312=30,"+10"," "))))))))))))))))</f>
        <v>-1</v>
      </c>
      <c r="V312" s="3" t="s">
        <v>33</v>
      </c>
      <c r="W312" s="3" t="s">
        <v>37</v>
      </c>
      <c r="X312" s="11" t="s">
        <v>1607</v>
      </c>
      <c r="Y312" s="11" t="s">
        <v>1608</v>
      </c>
      <c r="Z312" s="11" t="s">
        <v>37</v>
      </c>
      <c r="AA312" s="12" t="s">
        <v>37</v>
      </c>
    </row>
    <row r="313" customFormat="false" ht="16.4" hidden="false" customHeight="false" outlineLevel="0" collapsed="false">
      <c r="A313" s="14" t="s">
        <v>1609</v>
      </c>
      <c r="B313" s="1" t="s">
        <v>1450</v>
      </c>
      <c r="C313" s="1" t="s">
        <v>49</v>
      </c>
      <c r="D313" s="5" t="n">
        <v>0.5</v>
      </c>
      <c r="E313" s="3" t="n">
        <f aca="false">VLOOKUP(D313,'[1]REF Tables'!$A$2:$B$40,2)</f>
        <v>100</v>
      </c>
      <c r="F313" s="1" t="s">
        <v>30</v>
      </c>
      <c r="G313" s="1" t="n">
        <v>18</v>
      </c>
      <c r="H313" s="1" t="s">
        <v>152</v>
      </c>
      <c r="I313" s="3" t="s">
        <v>42</v>
      </c>
      <c r="J313" s="1" t="n">
        <v>13</v>
      </c>
      <c r="K313" s="1" t="str">
        <f aca="false">IF(J313=1,"-5",IF(OR(J313=2,J313=3),"-4",IF(OR(J313=4,J313=5),"-3",IF(OR(J313=6,J313=7),"-2",IF(OR(J313=8,J313=9),"-1",IF(OR(J313=10,J313=11),"0",IF(OR(J313=12,J313=13),"+1",IF(OR(J313=14,J313=15),"+2",IF(OR(J313=16,J313=17),"+3",IF(OR(J313=18,J313=19),"+4",IF(OR(J313=20,J313=21),"+5",IF(OR(J313=22,J313=23),"+6",IF(OR(J313=24,J313=25),"+7",IF(OR(J313=26,J313=27),"+8",IF(OR(J313=28,J313=29),"+9",IF(J313=30,"+10"," "))))))))))))))))</f>
        <v>+1</v>
      </c>
      <c r="L313" s="1" t="n">
        <v>12</v>
      </c>
      <c r="M313" s="1" t="str">
        <f aca="false">IF(L313=1,"-5",IF(OR(L313=2,L313=3),"-4",IF(OR(L313=4,L313=5),"-3",IF(OR(L313=6,L313=7),"-2",IF(OR(L313=8,L313=9),"-1",IF(OR(L313=10,L313=11),"0",IF(OR(L313=12,L313=13),"+1",IF(OR(L313=14,L313=15),"+2",IF(OR(L313=16,L313=17),"+3",IF(OR(L313=18,L313=19),"+4",IF(OR(L313=20,L313=21),"+5",IF(OR(L313=22,L313=23),"+6",IF(OR(L313=24,L313=25),"+7",IF(OR(L313=26,L313=27),"+8",IF(OR(L313=28,L313=29),"+9",IF(L313=30,"+10"," "))))))))))))))))</f>
        <v>+1</v>
      </c>
      <c r="N313" s="1" t="n">
        <v>12</v>
      </c>
      <c r="O313" s="1" t="str">
        <f aca="false">IF(N313=1,"-5",IF(OR(N313=2,N313=3),"-4",IF(OR(N313=4,N313=5),"-3",IF(OR(N313=6,N313=7),"-2",IF(OR(N313=8,N313=9),"-1",IF(OR(N313=10,N313=11),"0",IF(OR(N313=12,N313=13),"+1",IF(OR(N313=14,N313=15),"+2",IF(OR(N313=16,N313=17),"+3",IF(OR(N313=18,N313=19),"+4",IF(OR(N313=20,N313=21),"+5",IF(OR(N313=22,N313=23),"+6",IF(OR(N313=24,N313=25),"+7",IF(OR(N313=26,N313=27),"+8",IF(OR(N313=28,N313=29),"+9",IF(N313=30,"+10"," "))))))))))))))))</f>
        <v>+1</v>
      </c>
      <c r="P313" s="1" t="n">
        <v>10</v>
      </c>
      <c r="Q313" s="1" t="str">
        <f aca="false">IF(P313=1,"-5",IF(OR(P313=2,P313=3),"-4",IF(OR(P313=4,P313=5),"-3",IF(OR(P313=6,P313=7),"-2",IF(OR(P313=8,P313=9),"-1",IF(OR(P313=10,P313=11),"0",IF(OR(P313=12,P313=13),"+1",IF(OR(P313=14,P313=15),"+2",IF(OR(P313=16,P313=17),"+3",IF(OR(P313=18,P313=19),"+4",IF(OR(P313=20,P313=21),"+5",IF(OR(P313=22,P313=23),"+6",IF(OR(P313=24,P313=25),"+7",IF(OR(P313=26,P313=27),"+8",IF(OR(P313=28,P313=29),"+9",IF(P313=30,"+10"," "))))))))))))))))</f>
        <v>0</v>
      </c>
      <c r="R313" s="1" t="n">
        <v>10</v>
      </c>
      <c r="S313" s="1" t="str">
        <f aca="false">IF(R313=1,"-5",IF(OR(R313=2,R313=3),"-4",IF(OR(R313=4,R313=5),"-3",IF(OR(R313=6,R313=7),"-2",IF(OR(R313=8,R313=9),"-1",IF(OR(R313=10,R313=11),"0",IF(OR(R313=12,R313=13),"+1",IF(OR(R313=14,R313=15),"+2",IF(OR(R313=16,R313=17),"+3",IF(OR(R313=18,R313=19),"+4",IF(OR(R313=20,R313=21),"+5",IF(OR(R313=22,R313=23),"+6",IF(OR(R313=24,R313=25),"+7",IF(OR(R313=26,R313=27),"+8",IF(OR(R313=28,R313=29),"+9",IF(R313=30,"+10"," "))))))))))))))))</f>
        <v>0</v>
      </c>
      <c r="T313" s="1" t="n">
        <v>9</v>
      </c>
      <c r="U313" s="1" t="str">
        <f aca="false">IF(T313=1,"-5",IF(OR(T313=2,T313=3),"-4",IF(OR(T313=4,T313=5),"-3",IF(OR(T313=6,T313=7),"-2",IF(OR(T313=8,T313=9),"-1",IF(OR(T313=10,T313=11),"0",IF(OR(T313=12,T313=13),"+1",IF(OR(T313=14,T313=15),"+2",IF(OR(T313=16,T313=17),"+3",IF(OR(T313=18,T313=19),"+4",IF(OR(T313=20,T313=21),"+5",IF(OR(T313=22,T313=23),"+6",IF(OR(T313=24,T313=25),"+7",IF(OR(T313=26,T313=27),"+8",IF(OR(T313=28,T313=29),"+9",IF(T313=30,"+10"," "))))))))))))))))</f>
        <v>-1</v>
      </c>
      <c r="V313" s="1" t="s">
        <v>37</v>
      </c>
      <c r="W313" s="1" t="s">
        <v>1451</v>
      </c>
      <c r="X313" s="2" t="s">
        <v>1610</v>
      </c>
      <c r="Y313" s="2" t="s">
        <v>1611</v>
      </c>
      <c r="Z313" s="2" t="s">
        <v>37</v>
      </c>
      <c r="AA313" s="1" t="s">
        <v>37</v>
      </c>
    </row>
    <row r="314" customFormat="false" ht="16.4" hidden="false" customHeight="false" outlineLevel="0" collapsed="false">
      <c r="A314" s="15" t="s">
        <v>1612</v>
      </c>
      <c r="B314" s="3" t="s">
        <v>1450</v>
      </c>
      <c r="C314" s="3" t="s">
        <v>49</v>
      </c>
      <c r="D314" s="16" t="n">
        <v>3</v>
      </c>
      <c r="E314" s="3" t="n">
        <f aca="false">VLOOKUP(D314,'[1]REF Tables'!$A$2:$B$40,2)</f>
        <v>700</v>
      </c>
      <c r="F314" s="3" t="s">
        <v>30</v>
      </c>
      <c r="G314" s="3" t="n">
        <v>17</v>
      </c>
      <c r="H314" s="3" t="s">
        <v>215</v>
      </c>
      <c r="I314" s="3" t="s">
        <v>42</v>
      </c>
      <c r="J314" s="3" t="n">
        <v>15</v>
      </c>
      <c r="K314" s="1" t="str">
        <f aca="false">IF(J314=1,"-5",IF(OR(J314=2,J314=3),"-4",IF(OR(J314=4,J314=5),"-3",IF(OR(J314=6,J314=7),"-2",IF(OR(J314=8,J314=9),"-1",IF(OR(J314=10,J314=11),"0",IF(OR(J314=12,J314=13),"+1",IF(OR(J314=14,J314=15),"+2",IF(OR(J314=16,J314=17),"+3",IF(OR(J314=18,J314=19),"+4",IF(OR(J314=20,J314=21),"+5",IF(OR(J314=22,J314=23),"+6",IF(OR(J314=24,J314=25),"+7",IF(OR(J314=26,J314=27),"+8",IF(OR(J314=28,J314=29),"+9",IF(J314=30,"+10"," "))))))))))))))))</f>
        <v>+2</v>
      </c>
      <c r="L314" s="3" t="n">
        <v>14</v>
      </c>
      <c r="M314" s="1" t="str">
        <f aca="false">IF(L314=1,"-5",IF(OR(L314=2,L314=3),"-4",IF(OR(L314=4,L314=5),"-3",IF(OR(L314=6,L314=7),"-2",IF(OR(L314=8,L314=9),"-1",IF(OR(L314=10,L314=11),"0",IF(OR(L314=12,L314=13),"+1",IF(OR(L314=14,L314=15),"+2",IF(OR(L314=16,L314=17),"+3",IF(OR(L314=18,L314=19),"+4",IF(OR(L314=20,L314=21),"+5",IF(OR(L314=22,L314=23),"+6",IF(OR(L314=24,L314=25),"+7",IF(OR(L314=26,L314=27),"+8",IF(OR(L314=28,L314=29),"+9",IF(L314=30,"+10"," "))))))))))))))))</f>
        <v>+2</v>
      </c>
      <c r="N314" s="3" t="n">
        <v>14</v>
      </c>
      <c r="O314" s="1" t="str">
        <f aca="false">IF(N314=1,"-5",IF(OR(N314=2,N314=3),"-4",IF(OR(N314=4,N314=5),"-3",IF(OR(N314=6,N314=7),"-2",IF(OR(N314=8,N314=9),"-1",IF(OR(N314=10,N314=11),"0",IF(OR(N314=12,N314=13),"+1",IF(OR(N314=14,N314=15),"+2",IF(OR(N314=16,N314=17),"+3",IF(OR(N314=18,N314=19),"+4",IF(OR(N314=20,N314=21),"+5",IF(OR(N314=22,N314=23),"+6",IF(OR(N314=24,N314=25),"+7",IF(OR(N314=26,N314=27),"+8",IF(OR(N314=28,N314=29),"+9",IF(N314=30,"+10"," "))))))))))))))))</f>
        <v>+2</v>
      </c>
      <c r="P314" s="3" t="n">
        <v>12</v>
      </c>
      <c r="Q314" s="1" t="str">
        <f aca="false">IF(P314=1,"-5",IF(OR(P314=2,P314=3),"-4",IF(OR(P314=4,P314=5),"-3",IF(OR(P314=6,P314=7),"-2",IF(OR(P314=8,P314=9),"-1",IF(OR(P314=10,P314=11),"0",IF(OR(P314=12,P314=13),"+1",IF(OR(P314=14,P314=15),"+2",IF(OR(P314=16,P314=17),"+3",IF(OR(P314=18,P314=19),"+4",IF(OR(P314=20,P314=21),"+5",IF(OR(P314=22,P314=23),"+6",IF(OR(P314=24,P314=25),"+7",IF(OR(P314=26,P314=27),"+8",IF(OR(P314=28,P314=29),"+9",IF(P314=30,"+10"," "))))))))))))))))</f>
        <v>+1</v>
      </c>
      <c r="R314" s="3" t="n">
        <v>10</v>
      </c>
      <c r="S314" s="1" t="str">
        <f aca="false">IF(R314=1,"-5",IF(OR(R314=2,R314=3),"-4",IF(OR(R314=4,R314=5),"-3",IF(OR(R314=6,R314=7),"-2",IF(OR(R314=8,R314=9),"-1",IF(OR(R314=10,R314=11),"0",IF(OR(R314=12,R314=13),"+1",IF(OR(R314=14,R314=15),"+2",IF(OR(R314=16,R314=17),"+3",IF(OR(R314=18,R314=19),"+4",IF(OR(R314=20,R314=21),"+5",IF(OR(R314=22,R314=23),"+6",IF(OR(R314=24,R314=25),"+7",IF(OR(R314=26,R314=27),"+8",IF(OR(R314=28,R314=29),"+9",IF(R314=30,"+10"," "))))))))))))))))</f>
        <v>0</v>
      </c>
      <c r="T314" s="3" t="n">
        <v>13</v>
      </c>
      <c r="U314" s="1" t="str">
        <f aca="false">IF(T314=1,"-5",IF(OR(T314=2,T314=3),"-4",IF(OR(T314=4,T314=5),"-3",IF(OR(T314=6,T314=7),"-2",IF(OR(T314=8,T314=9),"-1",IF(OR(T314=10,T314=11),"0",IF(OR(T314=12,T314=13),"+1",IF(OR(T314=14,T314=15),"+2",IF(OR(T314=16,T314=17),"+3",IF(OR(T314=18,T314=19),"+4",IF(OR(T314=20,T314=21),"+5",IF(OR(T314=22,T314=23),"+6",IF(OR(T314=24,T314=25),"+7",IF(OR(T314=26,T314=27),"+8",IF(OR(T314=28,T314=29),"+9",IF(T314=30,"+10"," "))))))))))))))))</f>
        <v>+1</v>
      </c>
      <c r="V314" s="3" t="s">
        <v>37</v>
      </c>
      <c r="W314" s="3" t="s">
        <v>1451</v>
      </c>
      <c r="X314" s="11" t="s">
        <v>1613</v>
      </c>
      <c r="Y314" s="11" t="s">
        <v>1614</v>
      </c>
      <c r="Z314" s="11" t="s">
        <v>37</v>
      </c>
      <c r="AA314" s="12" t="s">
        <v>37</v>
      </c>
    </row>
    <row r="315" customFormat="false" ht="16.4" hidden="false" customHeight="false" outlineLevel="0" collapsed="false">
      <c r="A315" s="15" t="s">
        <v>1615</v>
      </c>
      <c r="B315" s="3" t="s">
        <v>1450</v>
      </c>
      <c r="C315" s="3" t="s">
        <v>49</v>
      </c>
      <c r="D315" s="16" t="n">
        <v>2</v>
      </c>
      <c r="E315" s="3" t="n">
        <f aca="false">VLOOKUP(D315,'[1]REF Tables'!$A$2:$B$40,2)</f>
        <v>450</v>
      </c>
      <c r="F315" s="3" t="s">
        <v>30</v>
      </c>
      <c r="G315" s="3" t="n">
        <v>15</v>
      </c>
      <c r="H315" s="3" t="s">
        <v>790</v>
      </c>
      <c r="I315" s="3" t="s">
        <v>224</v>
      </c>
      <c r="J315" s="3" t="n">
        <v>14</v>
      </c>
      <c r="K315" s="1" t="str">
        <f aca="false">IF(J315=1,"-5",IF(OR(J315=2,J315=3),"-4",IF(OR(J315=4,J315=5),"-3",IF(OR(J315=6,J315=7),"-2",IF(OR(J315=8,J315=9),"-1",IF(OR(J315=10,J315=11),"0",IF(OR(J315=12,J315=13),"+1",IF(OR(J315=14,J315=15),"+2",IF(OR(J315=16,J315=17),"+3",IF(OR(J315=18,J315=19),"+4",IF(OR(J315=20,J315=21),"+5",IF(OR(J315=22,J315=23),"+6",IF(OR(J315=24,J315=25),"+7",IF(OR(J315=26,J315=27),"+8",IF(OR(J315=28,J315=29),"+9",IF(J315=30,"+10"," "))))))))))))))))</f>
        <v>+2</v>
      </c>
      <c r="L315" s="3" t="n">
        <v>16</v>
      </c>
      <c r="M315" s="1" t="str">
        <f aca="false">IF(L315=1,"-5",IF(OR(L315=2,L315=3),"-4",IF(OR(L315=4,L315=5),"-3",IF(OR(L315=6,L315=7),"-2",IF(OR(L315=8,L315=9),"-1",IF(OR(L315=10,L315=11),"0",IF(OR(L315=12,L315=13),"+1",IF(OR(L315=14,L315=15),"+2",IF(OR(L315=16,L315=17),"+3",IF(OR(L315=18,L315=19),"+4",IF(OR(L315=20,L315=21),"+5",IF(OR(L315=22,L315=23),"+6",IF(OR(L315=24,L315=25),"+7",IF(OR(L315=26,L315=27),"+8",IF(OR(L315=28,L315=29),"+9",IF(L315=30,"+10"," "))))))))))))))))</f>
        <v>+3</v>
      </c>
      <c r="N315" s="3" t="n">
        <v>15</v>
      </c>
      <c r="O315" s="1" t="str">
        <f aca="false">IF(N315=1,"-5",IF(OR(N315=2,N315=3),"-4",IF(OR(N315=4,N315=5),"-3",IF(OR(N315=6,N315=7),"-2",IF(OR(N315=8,N315=9),"-1",IF(OR(N315=10,N315=11),"0",IF(OR(N315=12,N315=13),"+1",IF(OR(N315=14,N315=15),"+2",IF(OR(N315=16,N315=17),"+3",IF(OR(N315=18,N315=19),"+4",IF(OR(N315=20,N315=21),"+5",IF(OR(N315=22,N315=23),"+6",IF(OR(N315=24,N315=25),"+7",IF(OR(N315=26,N315=27),"+8",IF(OR(N315=28,N315=29),"+9",IF(N315=30,"+10"," "))))))))))))))))</f>
        <v>+2</v>
      </c>
      <c r="P315" s="3" t="n">
        <v>14</v>
      </c>
      <c r="Q315" s="1" t="str">
        <f aca="false">IF(P315=1,"-5",IF(OR(P315=2,P315=3),"-4",IF(OR(P315=4,P315=5),"-3",IF(OR(P315=6,P315=7),"-2",IF(OR(P315=8,P315=9),"-1",IF(OR(P315=10,P315=11),"0",IF(OR(P315=12,P315=13),"+1",IF(OR(P315=14,P315=15),"+2",IF(OR(P315=16,P315=17),"+3",IF(OR(P315=18,P315=19),"+4",IF(OR(P315=20,P315=21),"+5",IF(OR(P315=22,P315=23),"+6",IF(OR(P315=24,P315=25),"+7",IF(OR(P315=26,P315=27),"+8",IF(OR(P315=28,P315=29),"+9",IF(P315=30,"+10"," "))))))))))))))))</f>
        <v>+2</v>
      </c>
      <c r="R315" s="3" t="n">
        <v>15</v>
      </c>
      <c r="S315" s="1" t="str">
        <f aca="false">IF(R315=1,"-5",IF(OR(R315=2,R315=3),"-4",IF(OR(R315=4,R315=5),"-3",IF(OR(R315=6,R315=7),"-2",IF(OR(R315=8,R315=9),"-1",IF(OR(R315=10,R315=11),"0",IF(OR(R315=12,R315=13),"+1",IF(OR(R315=14,R315=15),"+2",IF(OR(R315=16,R315=17),"+3",IF(OR(R315=18,R315=19),"+4",IF(OR(R315=20,R315=21),"+5",IF(OR(R315=22,R315=23),"+6",IF(OR(R315=24,R315=25),"+7",IF(OR(R315=26,R315=27),"+8",IF(OR(R315=28,R315=29),"+9",IF(R315=30,"+10"," "))))))))))))))))</f>
        <v>+2</v>
      </c>
      <c r="T315" s="3" t="n">
        <v>11</v>
      </c>
      <c r="U315" s="1" t="str">
        <f aca="false">IF(T315=1,"-5",IF(OR(T315=2,T315=3),"-4",IF(OR(T315=4,T315=5),"-3",IF(OR(T315=6,T315=7),"-2",IF(OR(T315=8,T315=9),"-1",IF(OR(T315=10,T315=11),"0",IF(OR(T315=12,T315=13),"+1",IF(OR(T315=14,T315=15),"+2",IF(OR(T315=16,T315=17),"+3",IF(OR(T315=18,T315=19),"+4",IF(OR(T315=20,T315=21),"+5",IF(OR(T315=22,T315=23),"+6",IF(OR(T315=24,T315=25),"+7",IF(OR(T315=26,T315=27),"+8",IF(OR(T315=28,T315=29),"+9",IF(T315=30,"+10"," "))))))))))))))))</f>
        <v>0</v>
      </c>
      <c r="V315" s="3" t="s">
        <v>1616</v>
      </c>
      <c r="W315" s="3" t="s">
        <v>1451</v>
      </c>
      <c r="X315" s="11" t="s">
        <v>1617</v>
      </c>
      <c r="Y315" s="11" t="s">
        <v>1618</v>
      </c>
      <c r="Z315" s="11" t="s">
        <v>37</v>
      </c>
      <c r="AA315" s="12" t="s">
        <v>37</v>
      </c>
    </row>
    <row r="316" customFormat="false" ht="16.4" hidden="false" customHeight="false" outlineLevel="0" collapsed="false">
      <c r="A316" s="15" t="s">
        <v>1619</v>
      </c>
      <c r="B316" s="3" t="s">
        <v>1450</v>
      </c>
      <c r="C316" s="3" t="s">
        <v>49</v>
      </c>
      <c r="D316" s="16" t="n">
        <v>4</v>
      </c>
      <c r="E316" s="6" t="n">
        <f aca="false">VLOOKUP(D316,'[1]REF Tables'!$A$2:$B$40,2)</f>
        <v>1100</v>
      </c>
      <c r="F316" s="3" t="s">
        <v>30</v>
      </c>
      <c r="G316" s="3" t="n">
        <v>13</v>
      </c>
      <c r="H316" s="3" t="s">
        <v>1620</v>
      </c>
      <c r="I316" s="3" t="s">
        <v>42</v>
      </c>
      <c r="J316" s="3" t="n">
        <v>13</v>
      </c>
      <c r="K316" s="1" t="str">
        <f aca="false">IF(J316=1,"-5",IF(OR(J316=2,J316=3),"-4",IF(OR(J316=4,J316=5),"-3",IF(OR(J316=6,J316=7),"-2",IF(OR(J316=8,J316=9),"-1",IF(OR(J316=10,J316=11),"0",IF(OR(J316=12,J316=13),"+1",IF(OR(J316=14,J316=15),"+2",IF(OR(J316=16,J316=17),"+3",IF(OR(J316=18,J316=19),"+4",IF(OR(J316=20,J316=21),"+5",IF(OR(J316=22,J316=23),"+6",IF(OR(J316=24,J316=25),"+7",IF(OR(J316=26,J316=27),"+8",IF(OR(J316=28,J316=29),"+9",IF(J316=30,"+10"," "))))))))))))))))</f>
        <v>+1</v>
      </c>
      <c r="L316" s="3" t="n">
        <v>12</v>
      </c>
      <c r="M316" s="1" t="str">
        <f aca="false">IF(L316=1,"-5",IF(OR(L316=2,L316=3),"-4",IF(OR(L316=4,L316=5),"-3",IF(OR(L316=6,L316=7),"-2",IF(OR(L316=8,L316=9),"-1",IF(OR(L316=10,L316=11),"0",IF(OR(L316=12,L316=13),"+1",IF(OR(L316=14,L316=15),"+2",IF(OR(L316=16,L316=17),"+3",IF(OR(L316=18,L316=19),"+4",IF(OR(L316=20,L316=21),"+5",IF(OR(L316=22,L316=23),"+6",IF(OR(L316=24,L316=25),"+7",IF(OR(L316=26,L316=27),"+8",IF(OR(L316=28,L316=29),"+9",IF(L316=30,"+10"," "))))))))))))))))</f>
        <v>+1</v>
      </c>
      <c r="N316" s="3" t="n">
        <v>14</v>
      </c>
      <c r="O316" s="1" t="str">
        <f aca="false">IF(N316=1,"-5",IF(OR(N316=2,N316=3),"-4",IF(OR(N316=4,N316=5),"-3",IF(OR(N316=6,N316=7),"-2",IF(OR(N316=8,N316=9),"-1",IF(OR(N316=10,N316=11),"0",IF(OR(N316=12,N316=13),"+1",IF(OR(N316=14,N316=15),"+2",IF(OR(N316=16,N316=17),"+3",IF(OR(N316=18,N316=19),"+4",IF(OR(N316=20,N316=21),"+5",IF(OR(N316=22,N316=23),"+6",IF(OR(N316=24,N316=25),"+7",IF(OR(N316=26,N316=27),"+8",IF(OR(N316=28,N316=29),"+9",IF(N316=30,"+10"," "))))))))))))))))</f>
        <v>+2</v>
      </c>
      <c r="P316" s="3" t="n">
        <v>16</v>
      </c>
      <c r="Q316" s="1" t="str">
        <f aca="false">IF(P316=1,"-5",IF(OR(P316=2,P316=3),"-4",IF(OR(P316=4,P316=5),"-3",IF(OR(P316=6,P316=7),"-2",IF(OR(P316=8,P316=9),"-1",IF(OR(P316=10,P316=11),"0",IF(OR(P316=12,P316=13),"+1",IF(OR(P316=14,P316=15),"+2",IF(OR(P316=16,P316=17),"+3",IF(OR(P316=18,P316=19),"+4",IF(OR(P316=20,P316=21),"+5",IF(OR(P316=22,P316=23),"+6",IF(OR(P316=24,P316=25),"+7",IF(OR(P316=26,P316=27),"+8",IF(OR(P316=28,P316=29),"+9",IF(P316=30,"+10"," "))))))))))))))))</f>
        <v>+3</v>
      </c>
      <c r="R316" s="3" t="n">
        <v>13</v>
      </c>
      <c r="S316" s="1" t="str">
        <f aca="false">IF(R316=1,"-5",IF(OR(R316=2,R316=3),"-4",IF(OR(R316=4,R316=5),"-3",IF(OR(R316=6,R316=7),"-2",IF(OR(R316=8,R316=9),"-1",IF(OR(R316=10,R316=11),"0",IF(OR(R316=12,R316=13),"+1",IF(OR(R316=14,R316=15),"+2",IF(OR(R316=16,R316=17),"+3",IF(OR(R316=18,R316=19),"+4",IF(OR(R316=20,R316=21),"+5",IF(OR(R316=22,R316=23),"+6",IF(OR(R316=24,R316=25),"+7",IF(OR(R316=26,R316=27),"+8",IF(OR(R316=28,R316=29),"+9",IF(R316=30,"+10"," "))))))))))))))))</f>
        <v>+1</v>
      </c>
      <c r="T316" s="3" t="n">
        <v>11</v>
      </c>
      <c r="U316" s="1" t="str">
        <f aca="false">IF(T316=1,"-5",IF(OR(T316=2,T316=3),"-4",IF(OR(T316=4,T316=5),"-3",IF(OR(T316=6,T316=7),"-2",IF(OR(T316=8,T316=9),"-1",IF(OR(T316=10,T316=11),"0",IF(OR(T316=12,T316=13),"+1",IF(OR(T316=14,T316=15),"+2",IF(OR(T316=16,T316=17),"+3",IF(OR(T316=18,T316=19),"+4",IF(OR(T316=20,T316=21),"+5",IF(OR(T316=22,T316=23),"+6",IF(OR(T316=24,T316=25),"+7",IF(OR(T316=26,T316=27),"+8",IF(OR(T316=28,T316=29),"+9",IF(T316=30,"+10"," "))))))))))))))))</f>
        <v>0</v>
      </c>
      <c r="V316" s="3" t="s">
        <v>1621</v>
      </c>
      <c r="W316" s="3" t="s">
        <v>1451</v>
      </c>
      <c r="X316" s="11" t="s">
        <v>1622</v>
      </c>
      <c r="Y316" s="11" t="s">
        <v>1623</v>
      </c>
      <c r="Z316" s="11" t="s">
        <v>37</v>
      </c>
      <c r="AA316" s="12" t="s">
        <v>37</v>
      </c>
    </row>
    <row r="317" customFormat="false" ht="16.4" hidden="false" customHeight="false" outlineLevel="0" collapsed="false">
      <c r="A317" s="15" t="s">
        <v>1624</v>
      </c>
      <c r="B317" s="3" t="s">
        <v>1450</v>
      </c>
      <c r="C317" s="3" t="s">
        <v>49</v>
      </c>
      <c r="D317" s="16" t="n">
        <v>6</v>
      </c>
      <c r="E317" s="6" t="n">
        <f aca="false">VLOOKUP(D317,'[1]REF Tables'!$A$2:$B$40,2)</f>
        <v>2300</v>
      </c>
      <c r="F317" s="3" t="s">
        <v>30</v>
      </c>
      <c r="G317" s="3" t="n">
        <v>20</v>
      </c>
      <c r="H317" s="3" t="s">
        <v>549</v>
      </c>
      <c r="I317" s="3" t="s">
        <v>42</v>
      </c>
      <c r="J317" s="3" t="n">
        <v>16</v>
      </c>
      <c r="K317" s="1" t="str">
        <f aca="false">IF(J317=1,"-5",IF(OR(J317=2,J317=3),"-4",IF(OR(J317=4,J317=5),"-3",IF(OR(J317=6,J317=7),"-2",IF(OR(J317=8,J317=9),"-1",IF(OR(J317=10,J317=11),"0",IF(OR(J317=12,J317=13),"+1",IF(OR(J317=14,J317=15),"+2",IF(OR(J317=16,J317=17),"+3",IF(OR(J317=18,J317=19),"+4",IF(OR(J317=20,J317=21),"+5",IF(OR(J317=22,J317=23),"+6",IF(OR(J317=24,J317=25),"+7",IF(OR(J317=26,J317=27),"+8",IF(OR(J317=28,J317=29),"+9",IF(J317=30,"+10"," "))))))))))))))))</f>
        <v>+3</v>
      </c>
      <c r="L317" s="3" t="n">
        <v>14</v>
      </c>
      <c r="M317" s="1" t="str">
        <f aca="false">IF(L317=1,"-5",IF(OR(L317=2,L317=3),"-4",IF(OR(L317=4,L317=5),"-3",IF(OR(L317=6,L317=7),"-2",IF(OR(L317=8,L317=9),"-1",IF(OR(L317=10,L317=11),"0",IF(OR(L317=12,L317=13),"+1",IF(OR(L317=14,L317=15),"+2",IF(OR(L317=16,L317=17),"+3",IF(OR(L317=18,L317=19),"+4",IF(OR(L317=20,L317=21),"+5",IF(OR(L317=22,L317=23),"+6",IF(OR(L317=24,L317=25),"+7",IF(OR(L317=26,L317=27),"+8",IF(OR(L317=28,L317=29),"+9",IF(L317=30,"+10"," "))))))))))))))))</f>
        <v>+2</v>
      </c>
      <c r="N317" s="3" t="n">
        <v>16</v>
      </c>
      <c r="O317" s="1" t="str">
        <f aca="false">IF(N317=1,"-5",IF(OR(N317=2,N317=3),"-4",IF(OR(N317=4,N317=5),"-3",IF(OR(N317=6,N317=7),"-2",IF(OR(N317=8,N317=9),"-1",IF(OR(N317=10,N317=11),"0",IF(OR(N317=12,N317=13),"+1",IF(OR(N317=14,N317=15),"+2",IF(OR(N317=16,N317=17),"+3",IF(OR(N317=18,N317=19),"+4",IF(OR(N317=20,N317=21),"+5",IF(OR(N317=22,N317=23),"+6",IF(OR(N317=24,N317=25),"+7",IF(OR(N317=26,N317=27),"+8",IF(OR(N317=28,N317=29),"+9",IF(N317=30,"+10"," "))))))))))))))))</f>
        <v>+3</v>
      </c>
      <c r="P317" s="3" t="n">
        <v>14</v>
      </c>
      <c r="Q317" s="1" t="str">
        <f aca="false">IF(P317=1,"-5",IF(OR(P317=2,P317=3),"-4",IF(OR(P317=4,P317=5),"-3",IF(OR(P317=6,P317=7),"-2",IF(OR(P317=8,P317=9),"-1",IF(OR(P317=10,P317=11),"0",IF(OR(P317=12,P317=13),"+1",IF(OR(P317=14,P317=15),"+2",IF(OR(P317=16,P317=17),"+3",IF(OR(P317=18,P317=19),"+4",IF(OR(P317=20,P317=21),"+5",IF(OR(P317=22,P317=23),"+6",IF(OR(P317=24,P317=25),"+7",IF(OR(P317=26,P317=27),"+8",IF(OR(P317=28,P317=29),"+9",IF(P317=30,"+10"," "))))))))))))))))</f>
        <v>+2</v>
      </c>
      <c r="R317" s="3" t="n">
        <v>11</v>
      </c>
      <c r="S317" s="1" t="str">
        <f aca="false">IF(R317=1,"-5",IF(OR(R317=2,R317=3),"-4",IF(OR(R317=4,R317=5),"-3",IF(OR(R317=6,R317=7),"-2",IF(OR(R317=8,R317=9),"-1",IF(OR(R317=10,R317=11),"0",IF(OR(R317=12,R317=13),"+1",IF(OR(R317=14,R317=15),"+2",IF(OR(R317=16,R317=17),"+3",IF(OR(R317=18,R317=19),"+4",IF(OR(R317=20,R317=21),"+5",IF(OR(R317=22,R317=23),"+6",IF(OR(R317=24,R317=25),"+7",IF(OR(R317=26,R317=27),"+8",IF(OR(R317=28,R317=29),"+9",IF(R317=30,"+10"," "))))))))))))))))</f>
        <v>0</v>
      </c>
      <c r="T317" s="3" t="n">
        <v>15</v>
      </c>
      <c r="U317" s="1" t="str">
        <f aca="false">IF(T317=1,"-5",IF(OR(T317=2,T317=3),"-4",IF(OR(T317=4,T317=5),"-3",IF(OR(T317=6,T317=7),"-2",IF(OR(T317=8,T317=9),"-1",IF(OR(T317=10,T317=11),"0",IF(OR(T317=12,T317=13),"+1",IF(OR(T317=14,T317=15),"+2",IF(OR(T317=16,T317=17),"+3",IF(OR(T317=18,T317=19),"+4",IF(OR(T317=20,T317=21),"+5",IF(OR(T317=22,T317=23),"+6",IF(OR(T317=24,T317=25),"+7",IF(OR(T317=26,T317=27),"+8",IF(OR(T317=28,T317=29),"+9",IF(T317=30,"+10"," "))))))))))))))))</f>
        <v>+2</v>
      </c>
      <c r="V317" s="3" t="s">
        <v>1625</v>
      </c>
      <c r="W317" s="3" t="s">
        <v>1451</v>
      </c>
      <c r="X317" s="11" t="s">
        <v>1626</v>
      </c>
      <c r="Y317" s="11" t="s">
        <v>1627</v>
      </c>
      <c r="Z317" s="11" t="s">
        <v>1628</v>
      </c>
      <c r="AA317" s="12" t="s">
        <v>37</v>
      </c>
    </row>
    <row r="318" customFormat="false" ht="16.4" hidden="false" customHeight="false" outlineLevel="0" collapsed="false">
      <c r="A318" s="15" t="s">
        <v>1629</v>
      </c>
      <c r="B318" s="3" t="s">
        <v>1630</v>
      </c>
      <c r="C318" s="3" t="s">
        <v>230</v>
      </c>
      <c r="D318" s="16" t="n">
        <v>0.5</v>
      </c>
      <c r="E318" s="3" t="n">
        <f aca="false">VLOOKUP(D318,'[1]REF Tables'!$A$2:$B$40,2)</f>
        <v>100</v>
      </c>
      <c r="F318" s="3" t="s">
        <v>30</v>
      </c>
      <c r="G318" s="3" t="n">
        <v>15</v>
      </c>
      <c r="H318" s="3" t="s">
        <v>503</v>
      </c>
      <c r="I318" s="3" t="s">
        <v>534</v>
      </c>
      <c r="J318" s="3" t="n">
        <v>15</v>
      </c>
      <c r="K318" s="1" t="str">
        <f aca="false">IF(J318=1,"-5",IF(OR(J318=2,J318=3),"-4",IF(OR(J318=4,J318=5),"-3",IF(OR(J318=6,J318=7),"-2",IF(OR(J318=8,J318=9),"-1",IF(OR(J318=10,J318=11),"0",IF(OR(J318=12,J318=13),"+1",IF(OR(J318=14,J318=15),"+2",IF(OR(J318=16,J318=17),"+3",IF(OR(J318=18,J318=19),"+4",IF(OR(J318=20,J318=21),"+5",IF(OR(J318=22,J318=23),"+6",IF(OR(J318=24,J318=25),"+7",IF(OR(J318=26,J318=27),"+8",IF(OR(J318=28,J318=29),"+9",IF(J318=30,"+10"," "))))))))))))))))</f>
        <v>+2</v>
      </c>
      <c r="L318" s="3" t="n">
        <v>10</v>
      </c>
      <c r="M318" s="1" t="str">
        <f aca="false">IF(L318=1,"-5",IF(OR(L318=2,L318=3),"-4",IF(OR(L318=4,L318=5),"-3",IF(OR(L318=6,L318=7),"-2",IF(OR(L318=8,L318=9),"-1",IF(OR(L318=10,L318=11),"0",IF(OR(L318=12,L318=13),"+1",IF(OR(L318=14,L318=15),"+2",IF(OR(L318=16,L318=17),"+3",IF(OR(L318=18,L318=19),"+4",IF(OR(L318=20,L318=21),"+5",IF(OR(L318=22,L318=23),"+6",IF(OR(L318=24,L318=25),"+7",IF(OR(L318=26,L318=27),"+8",IF(OR(L318=28,L318=29),"+9",IF(L318=30,"+10"," "))))))))))))))))</f>
        <v>0</v>
      </c>
      <c r="N318" s="3" t="n">
        <v>13</v>
      </c>
      <c r="O318" s="1" t="str">
        <f aca="false">IF(N318=1,"-5",IF(OR(N318=2,N318=3),"-4",IF(OR(N318=4,N318=5),"-3",IF(OR(N318=6,N318=7),"-2",IF(OR(N318=8,N318=9),"-1",IF(OR(N318=10,N318=11),"0",IF(OR(N318=12,N318=13),"+1",IF(OR(N318=14,N318=15),"+2",IF(OR(N318=16,N318=17),"+3",IF(OR(N318=18,N318=19),"+4",IF(OR(N318=20,N318=21),"+5",IF(OR(N318=22,N318=23),"+6",IF(OR(N318=24,N318=25),"+7",IF(OR(N318=26,N318=27),"+8",IF(OR(N318=28,N318=29),"+9",IF(N318=30,"+10"," "))))))))))))))))</f>
        <v>+1</v>
      </c>
      <c r="P318" s="3" t="n">
        <v>7</v>
      </c>
      <c r="Q318" s="1" t="str">
        <f aca="false">IF(P318=1,"-5",IF(OR(P318=2,P318=3),"-4",IF(OR(P318=4,P318=5),"-3",IF(OR(P318=6,P318=7),"-2",IF(OR(P318=8,P318=9),"-1",IF(OR(P318=10,P318=11),"0",IF(OR(P318=12,P318=13),"+1",IF(OR(P318=14,P318=15),"+2",IF(OR(P318=16,P318=17),"+3",IF(OR(P318=18,P318=19),"+4",IF(OR(P318=20,P318=21),"+5",IF(OR(P318=22,P318=23),"+6",IF(OR(P318=24,P318=25),"+7",IF(OR(P318=26,P318=27),"+8",IF(OR(P318=28,P318=29),"+9",IF(P318=30,"+10"," "))))))))))))))))</f>
        <v>-2</v>
      </c>
      <c r="R318" s="3" t="n">
        <v>12</v>
      </c>
      <c r="S318" s="1" t="str">
        <f aca="false">IF(R318=1,"-5",IF(OR(R318=2,R318=3),"-4",IF(OR(R318=4,R318=5),"-3",IF(OR(R318=6,R318=7),"-2",IF(OR(R318=8,R318=9),"-1",IF(OR(R318=10,R318=11),"0",IF(OR(R318=12,R318=13),"+1",IF(OR(R318=14,R318=15),"+2",IF(OR(R318=16,R318=17),"+3",IF(OR(R318=18,R318=19),"+4",IF(OR(R318=20,R318=21),"+5",IF(OR(R318=22,R318=23),"+6",IF(OR(R318=24,R318=25),"+7",IF(OR(R318=26,R318=27),"+8",IF(OR(R318=28,R318=29),"+9",IF(R318=30,"+10"," "))))))))))))))))</f>
        <v>+1</v>
      </c>
      <c r="T318" s="3" t="n">
        <v>7</v>
      </c>
      <c r="U318" s="1" t="str">
        <f aca="false">IF(T318=1,"-5",IF(OR(T318=2,T318=3),"-4",IF(OR(T318=4,T318=5),"-3",IF(OR(T318=6,T318=7),"-2",IF(OR(T318=8,T318=9),"-1",IF(OR(T318=10,T318=11),"0",IF(OR(T318=12,T318=13),"+1",IF(OR(T318=14,T318=15),"+2",IF(OR(T318=16,T318=17),"+3",IF(OR(T318=18,T318=19),"+4",IF(OR(T318=20,T318=21),"+5",IF(OR(T318=22,T318=23),"+6",IF(OR(T318=24,T318=25),"+7",IF(OR(T318=26,T318=27),"+8",IF(OR(T318=28,T318=29),"+9",IF(T318=30,"+10"," "))))))))))))))))</f>
        <v>-2</v>
      </c>
      <c r="V318" s="3" t="s">
        <v>1631</v>
      </c>
      <c r="W318" s="3" t="s">
        <v>311</v>
      </c>
      <c r="X318" s="11" t="s">
        <v>1632</v>
      </c>
      <c r="Y318" s="11" t="s">
        <v>1633</v>
      </c>
      <c r="Z318" s="11" t="s">
        <v>37</v>
      </c>
      <c r="AA318" s="12" t="s">
        <v>37</v>
      </c>
    </row>
    <row r="319" customFormat="false" ht="16.4" hidden="false" customHeight="false" outlineLevel="0" collapsed="false">
      <c r="A319" s="15" t="s">
        <v>1634</v>
      </c>
      <c r="B319" s="3" t="s">
        <v>1630</v>
      </c>
      <c r="C319" s="3" t="s">
        <v>230</v>
      </c>
      <c r="D319" s="16" t="n">
        <v>2</v>
      </c>
      <c r="E319" s="3" t="n">
        <f aca="false">VLOOKUP(D319,'[1]REF Tables'!$A$2:$B$40,2)</f>
        <v>450</v>
      </c>
      <c r="F319" s="3" t="s">
        <v>30</v>
      </c>
      <c r="G319" s="3" t="n">
        <v>13</v>
      </c>
      <c r="H319" s="3" t="s">
        <v>1082</v>
      </c>
      <c r="I319" s="3" t="s">
        <v>534</v>
      </c>
      <c r="J319" s="3" t="n">
        <v>15</v>
      </c>
      <c r="K319" s="1" t="str">
        <f aca="false">IF(J319=1,"-5",IF(OR(J319=2,J319=3),"-4",IF(OR(J319=4,J319=5),"-3",IF(OR(J319=6,J319=7),"-2",IF(OR(J319=8,J319=9),"-1",IF(OR(J319=10,J319=11),"0",IF(OR(J319=12,J319=13),"+1",IF(OR(J319=14,J319=15),"+2",IF(OR(J319=16,J319=17),"+3",IF(OR(J319=18,J319=19),"+4",IF(OR(J319=20,J319=21),"+5",IF(OR(J319=22,J319=23),"+6",IF(OR(J319=24,J319=25),"+7",IF(OR(J319=26,J319=27),"+8",IF(OR(J319=28,J319=29),"+9",IF(J319=30,"+10"," "))))))))))))))))</f>
        <v>+2</v>
      </c>
      <c r="L319" s="3" t="n">
        <v>10</v>
      </c>
      <c r="M319" s="1" t="str">
        <f aca="false">IF(L319=1,"-5",IF(OR(L319=2,L319=3),"-4",IF(OR(L319=4,L319=5),"-3",IF(OR(L319=6,L319=7),"-2",IF(OR(L319=8,L319=9),"-1",IF(OR(L319=10,L319=11),"0",IF(OR(L319=12,L319=13),"+1",IF(OR(L319=14,L319=15),"+2",IF(OR(L319=16,L319=17),"+3",IF(OR(L319=18,L319=19),"+4",IF(OR(L319=20,L319=21),"+5",IF(OR(L319=22,L319=23),"+6",IF(OR(L319=24,L319=25),"+7",IF(OR(L319=26,L319=27),"+8",IF(OR(L319=28,L319=29),"+9",IF(L319=30,"+10"," "))))))))))))))))</f>
        <v>0</v>
      </c>
      <c r="N319" s="3" t="n">
        <v>13</v>
      </c>
      <c r="O319" s="1" t="str">
        <f aca="false">IF(N319=1,"-5",IF(OR(N319=2,N319=3),"-4",IF(OR(N319=4,N319=5),"-3",IF(OR(N319=6,N319=7),"-2",IF(OR(N319=8,N319=9),"-1",IF(OR(N319=10,N319=11),"0",IF(OR(N319=12,N319=13),"+1",IF(OR(N319=14,N319=15),"+2",IF(OR(N319=16,N319=17),"+3",IF(OR(N319=18,N319=19),"+4",IF(OR(N319=20,N319=21),"+5",IF(OR(N319=22,N319=23),"+6",IF(OR(N319=24,N319=25),"+7",IF(OR(N319=26,N319=27),"+8",IF(OR(N319=28,N319=29),"+9",IF(N319=30,"+10"," "))))))))))))))))</f>
        <v>+1</v>
      </c>
      <c r="P319" s="3" t="n">
        <v>10</v>
      </c>
      <c r="Q319" s="1" t="str">
        <f aca="false">IF(P319=1,"-5",IF(OR(P319=2,P319=3),"-4",IF(OR(P319=4,P319=5),"-3",IF(OR(P319=6,P319=7),"-2",IF(OR(P319=8,P319=9),"-1",IF(OR(P319=10,P319=11),"0",IF(OR(P319=12,P319=13),"+1",IF(OR(P319=14,P319=15),"+2",IF(OR(P319=16,P319=17),"+3",IF(OR(P319=18,P319=19),"+4",IF(OR(P319=20,P319=21),"+5",IF(OR(P319=22,P319=23),"+6",IF(OR(P319=24,P319=25),"+7",IF(OR(P319=26,P319=27),"+8",IF(OR(P319=28,P319=29),"+9",IF(P319=30,"+10"," "))))))))))))))))</f>
        <v>0</v>
      </c>
      <c r="R319" s="3" t="n">
        <v>15</v>
      </c>
      <c r="S319" s="1" t="str">
        <f aca="false">IF(R319=1,"-5",IF(OR(R319=2,R319=3),"-4",IF(OR(R319=4,R319=5),"-3",IF(OR(R319=6,R319=7),"-2",IF(OR(R319=8,R319=9),"-1",IF(OR(R319=10,R319=11),"0",IF(OR(R319=12,R319=13),"+1",IF(OR(R319=14,R319=15),"+2",IF(OR(R319=16,R319=17),"+3",IF(OR(R319=18,R319=19),"+4",IF(OR(R319=20,R319=21),"+5",IF(OR(R319=22,R319=23),"+6",IF(OR(R319=24,R319=25),"+7",IF(OR(R319=26,R319=27),"+8",IF(OR(R319=28,R319=29),"+9",IF(R319=30,"+10"," "))))))))))))))))</f>
        <v>+2</v>
      </c>
      <c r="T319" s="3" t="n">
        <v>8</v>
      </c>
      <c r="U319" s="1" t="str">
        <f aca="false">IF(T319=1,"-5",IF(OR(T319=2,T319=3),"-4",IF(OR(T319=4,T319=5),"-3",IF(OR(T319=6,T319=7),"-2",IF(OR(T319=8,T319=9),"-1",IF(OR(T319=10,T319=11),"0",IF(OR(T319=12,T319=13),"+1",IF(OR(T319=14,T319=15),"+2",IF(OR(T319=16,T319=17),"+3",IF(OR(T319=18,T319=19),"+4",IF(OR(T319=20,T319=21),"+5",IF(OR(T319=22,T319=23),"+6",IF(OR(T319=24,T319=25),"+7",IF(OR(T319=26,T319=27),"+8",IF(OR(T319=28,T319=29),"+9",IF(T319=30,"+10"," "))))))))))))))))</f>
        <v>-1</v>
      </c>
      <c r="V319" s="3" t="s">
        <v>1635</v>
      </c>
      <c r="W319" s="3" t="s">
        <v>311</v>
      </c>
      <c r="X319" s="11" t="s">
        <v>1636</v>
      </c>
      <c r="Y319" s="11" t="s">
        <v>1637</v>
      </c>
      <c r="Z319" s="11" t="s">
        <v>37</v>
      </c>
      <c r="AA319" s="12" t="s">
        <v>37</v>
      </c>
    </row>
    <row r="320" customFormat="false" ht="16.4" hidden="false" customHeight="false" outlineLevel="0" collapsed="false">
      <c r="A320" s="15" t="s">
        <v>1638</v>
      </c>
      <c r="B320" s="3" t="s">
        <v>1639</v>
      </c>
      <c r="C320" s="3" t="s">
        <v>230</v>
      </c>
      <c r="D320" s="16" t="n">
        <v>0.125</v>
      </c>
      <c r="E320" s="3" t="n">
        <f aca="false">VLOOKUP(D320,'[1]REF Tables'!$A$2:$B$40,2)</f>
        <v>25</v>
      </c>
      <c r="F320" s="3" t="s">
        <v>30</v>
      </c>
      <c r="G320" s="3" t="n">
        <v>11</v>
      </c>
      <c r="H320" s="3" t="s">
        <v>152</v>
      </c>
      <c r="I320" s="3" t="s">
        <v>52</v>
      </c>
      <c r="J320" s="3" t="n">
        <v>10</v>
      </c>
      <c r="K320" s="1" t="str">
        <f aca="false">IF(J320=1,"-5",IF(OR(J320=2,J320=3),"-4",IF(OR(J320=4,J320=5),"-3",IF(OR(J320=6,J320=7),"-2",IF(OR(J320=8,J320=9),"-1",IF(OR(J320=10,J320=11),"0",IF(OR(J320=12,J320=13),"+1",IF(OR(J320=14,J320=15),"+2",IF(OR(J320=16,J320=17),"+3",IF(OR(J320=18,J320=19),"+4",IF(OR(J320=20,J320=21),"+5",IF(OR(J320=22,J320=23),"+6",IF(OR(J320=24,J320=25),"+7",IF(OR(J320=26,J320=27),"+8",IF(OR(J320=28,J320=29),"+9",IF(J320=30,"+10"," "))))))))))))))))</f>
        <v>0</v>
      </c>
      <c r="L320" s="3" t="n">
        <v>13</v>
      </c>
      <c r="M320" s="1" t="str">
        <f aca="false">IF(L320=1,"-5",IF(OR(L320=2,L320=3),"-4",IF(OR(L320=4,L320=5),"-3",IF(OR(L320=6,L320=7),"-2",IF(OR(L320=8,L320=9),"-1",IF(OR(L320=10,L320=11),"0",IF(OR(L320=12,L320=13),"+1",IF(OR(L320=14,L320=15),"+2",IF(OR(L320=16,L320=17),"+3",IF(OR(L320=18,L320=19),"+4",IF(OR(L320=20,L320=21),"+5",IF(OR(L320=22,L320=23),"+6",IF(OR(L320=24,L320=25),"+7",IF(OR(L320=26,L320=27),"+8",IF(OR(L320=28,L320=29),"+9",IF(L320=30,"+10"," "))))))))))))))))</f>
        <v>+1</v>
      </c>
      <c r="N320" s="3" t="n">
        <v>12</v>
      </c>
      <c r="O320" s="1" t="str">
        <f aca="false">IF(N320=1,"-5",IF(OR(N320=2,N320=3),"-4",IF(OR(N320=4,N320=5),"-3",IF(OR(N320=6,N320=7),"-2",IF(OR(N320=8,N320=9),"-1",IF(OR(N320=10,N320=11),"0",IF(OR(N320=12,N320=13),"+1",IF(OR(N320=14,N320=15),"+2",IF(OR(N320=16,N320=17),"+3",IF(OR(N320=18,N320=19),"+4",IF(OR(N320=20,N320=21),"+5",IF(OR(N320=22,N320=23),"+6",IF(OR(N320=24,N320=25),"+7",IF(OR(N320=26,N320=27),"+8",IF(OR(N320=28,N320=29),"+9",IF(N320=30,"+10"," "))))))))))))))))</f>
        <v>+1</v>
      </c>
      <c r="P320" s="3" t="n">
        <v>11</v>
      </c>
      <c r="Q320" s="1" t="str">
        <f aca="false">IF(P320=1,"-5",IF(OR(P320=2,P320=3),"-4",IF(OR(P320=4,P320=5),"-3",IF(OR(P320=6,P320=7),"-2",IF(OR(P320=8,P320=9),"-1",IF(OR(P320=10,P320=11),"0",IF(OR(P320=12,P320=13),"+1",IF(OR(P320=14,P320=15),"+2",IF(OR(P320=16,P320=17),"+3",IF(OR(P320=18,P320=19),"+4",IF(OR(P320=20,P320=21),"+5",IF(OR(P320=22,P320=23),"+6",IF(OR(P320=24,P320=25),"+7",IF(OR(P320=26,P320=27),"+8",IF(OR(P320=28,P320=29),"+9",IF(P320=30,"+10"," "))))))))))))))))</f>
        <v>0</v>
      </c>
      <c r="R320" s="3" t="n">
        <v>11</v>
      </c>
      <c r="S320" s="1" t="str">
        <f aca="false">IF(R320=1,"-5",IF(OR(R320=2,R320=3),"-4",IF(OR(R320=4,R320=5),"-3",IF(OR(R320=6,R320=7),"-2",IF(OR(R320=8,R320=9),"-1",IF(OR(R320=10,R320=11),"0",IF(OR(R320=12,R320=13),"+1",IF(OR(R320=14,R320=15),"+2",IF(OR(R320=16,R320=17),"+3",IF(OR(R320=18,R320=19),"+4",IF(OR(R320=20,R320=21),"+5",IF(OR(R320=22,R320=23),"+6",IF(OR(R320=24,R320=25),"+7",IF(OR(R320=26,R320=27),"+8",IF(OR(R320=28,R320=29),"+9",IF(R320=30,"+10"," "))))))))))))))))</f>
        <v>0</v>
      </c>
      <c r="T320" s="3" t="n">
        <v>12</v>
      </c>
      <c r="U320" s="1" t="str">
        <f aca="false">IF(T320=1,"-5",IF(OR(T320=2,T320=3),"-4",IF(OR(T320=4,T320=5),"-3",IF(OR(T320=6,T320=7),"-2",IF(OR(T320=8,T320=9),"-1",IF(OR(T320=10,T320=11),"0",IF(OR(T320=12,T320=13),"+1",IF(OR(T320=14,T320=15),"+2",IF(OR(T320=16,T320=17),"+3",IF(OR(T320=18,T320=19),"+4",IF(OR(T320=20,T320=21),"+5",IF(OR(T320=22,T320=23),"+6",IF(OR(T320=24,T320=25),"+7",IF(OR(T320=26,T320=27),"+8",IF(OR(T320=28,T320=29),"+9",IF(T320=30,"+10"," "))))))))))))))))</f>
        <v>+1</v>
      </c>
      <c r="V320" s="3" t="s">
        <v>1039</v>
      </c>
      <c r="W320" s="3" t="s">
        <v>1640</v>
      </c>
      <c r="X320" s="11" t="s">
        <v>1641</v>
      </c>
      <c r="Y320" s="11" t="s">
        <v>1642</v>
      </c>
      <c r="Z320" s="11" t="s">
        <v>37</v>
      </c>
      <c r="AA320" s="12" t="s">
        <v>37</v>
      </c>
    </row>
    <row r="321" customFormat="false" ht="16.4" hidden="false" customHeight="false" outlineLevel="0" collapsed="false">
      <c r="A321" s="15" t="s">
        <v>1643</v>
      </c>
      <c r="B321" s="3" t="s">
        <v>197</v>
      </c>
      <c r="C321" s="3" t="s">
        <v>230</v>
      </c>
      <c r="D321" s="16" t="n">
        <v>0</v>
      </c>
      <c r="E321" s="3" t="n">
        <f aca="false">VLOOKUP(D321,'[1]REF Tables'!$A$2:$B$40,2)</f>
        <v>10</v>
      </c>
      <c r="F321" s="3" t="s">
        <v>315</v>
      </c>
      <c r="G321" s="3" t="n">
        <v>13</v>
      </c>
      <c r="H321" s="3" t="s">
        <v>1644</v>
      </c>
      <c r="I321" s="3" t="s">
        <v>540</v>
      </c>
      <c r="J321" s="3" t="n">
        <v>4</v>
      </c>
      <c r="K321" s="1" t="str">
        <f aca="false">IF(J321=1,"-5",IF(OR(J321=2,J321=3),"-4",IF(OR(J321=4,J321=5),"-3",IF(OR(J321=6,J321=7),"-2",IF(OR(J321=8,J321=9),"-1",IF(OR(J321=10,J321=11),"0",IF(OR(J321=12,J321=13),"+1",IF(OR(J321=14,J321=15),"+2",IF(OR(J321=16,J321=17),"+3",IF(OR(J321=18,J321=19),"+4",IF(OR(J321=20,J321=21),"+5",IF(OR(J321=22,J321=23),"+6",IF(OR(J321=24,J321=25),"+7",IF(OR(J321=26,J321=27),"+8",IF(OR(J321=28,J321=29),"+9",IF(J321=30,"+10"," "))))))))))))))))</f>
        <v>-3</v>
      </c>
      <c r="L321" s="3" t="n">
        <v>15</v>
      </c>
      <c r="M321" s="1" t="str">
        <f aca="false">IF(L321=1,"-5",IF(OR(L321=2,L321=3),"-4",IF(OR(L321=4,L321=5),"-3",IF(OR(L321=6,L321=7),"-2",IF(OR(L321=8,L321=9),"-1",IF(OR(L321=10,L321=11),"0",IF(OR(L321=12,L321=13),"+1",IF(OR(L321=14,L321=15),"+2",IF(OR(L321=16,L321=17),"+3",IF(OR(L321=18,L321=19),"+4",IF(OR(L321=20,L321=21),"+5",IF(OR(L321=22,L321=23),"+6",IF(OR(L321=24,L321=25),"+7",IF(OR(L321=26,L321=27),"+8",IF(OR(L321=28,L321=29),"+9",IF(L321=30,"+10"," "))))))))))))))))</f>
        <v>+2</v>
      </c>
      <c r="N321" s="3" t="n">
        <v>11</v>
      </c>
      <c r="O321" s="1" t="str">
        <f aca="false">IF(N321=1,"-5",IF(OR(N321=2,N321=3),"-4",IF(OR(N321=4,N321=5),"-3",IF(OR(N321=6,N321=7),"-2",IF(OR(N321=8,N321=9),"-1",IF(OR(N321=10,N321=11),"0",IF(OR(N321=12,N321=13),"+1",IF(OR(N321=14,N321=15),"+2",IF(OR(N321=16,N321=17),"+3",IF(OR(N321=18,N321=19),"+4",IF(OR(N321=20,N321=21),"+5",IF(OR(N321=22,N321=23),"+6",IF(OR(N321=24,N321=25),"+7",IF(OR(N321=26,N321=27),"+8",IF(OR(N321=28,N321=29),"+9",IF(N321=30,"+10"," "))))))))))))))))</f>
        <v>0</v>
      </c>
      <c r="P321" s="3" t="n">
        <v>10</v>
      </c>
      <c r="Q321" s="1" t="str">
        <f aca="false">IF(P321=1,"-5",IF(OR(P321=2,P321=3),"-4",IF(OR(P321=4,P321=5),"-3",IF(OR(P321=6,P321=7),"-2",IF(OR(P321=8,P321=9),"-1",IF(OR(P321=10,P321=11),"0",IF(OR(P321=12,P321=13),"+1",IF(OR(P321=14,P321=15),"+2",IF(OR(P321=16,P321=17),"+3",IF(OR(P321=18,P321=19),"+4",IF(OR(P321=20,P321=21),"+5",IF(OR(P321=22,P321=23),"+6",IF(OR(P321=24,P321=25),"+7",IF(OR(P321=26,P321=27),"+8",IF(OR(P321=28,P321=29),"+9",IF(P321=30,"+10"," "))))))))))))))))</f>
        <v>0</v>
      </c>
      <c r="R321" s="3" t="n">
        <v>10</v>
      </c>
      <c r="S321" s="1" t="str">
        <f aca="false">IF(R321=1,"-5",IF(OR(R321=2,R321=3),"-4",IF(OR(R321=4,R321=5),"-3",IF(OR(R321=6,R321=7),"-2",IF(OR(R321=8,R321=9),"-1",IF(OR(R321=10,R321=11),"0",IF(OR(R321=12,R321=13),"+1",IF(OR(R321=14,R321=15),"+2",IF(OR(R321=16,R321=17),"+3",IF(OR(R321=18,R321=19),"+4",IF(OR(R321=20,R321=21),"+5",IF(OR(R321=22,R321=23),"+6",IF(OR(R321=24,R321=25),"+7",IF(OR(R321=26,R321=27),"+8",IF(OR(R321=28,R321=29),"+9",IF(R321=30,"+10"," "))))))))))))))))</f>
        <v>0</v>
      </c>
      <c r="T321" s="3" t="n">
        <v>7</v>
      </c>
      <c r="U321" s="1" t="str">
        <f aca="false">IF(T321=1,"-5",IF(OR(T321=2,T321=3),"-4",IF(OR(T321=4,T321=5),"-3",IF(OR(T321=6,T321=7),"-2",IF(OR(T321=8,T321=9),"-1",IF(OR(T321=10,T321=11),"0",IF(OR(T321=12,T321=13),"+1",IF(OR(T321=14,T321=15),"+2",IF(OR(T321=16,T321=17),"+3",IF(OR(T321=18,T321=19),"+4",IF(OR(T321=20,T321=21),"+5",IF(OR(T321=22,T321=23),"+6",IF(OR(T321=24,T321=25),"+7",IF(OR(T321=26,T321=27),"+8",IF(OR(T321=28,T321=29),"+9",IF(T321=30,"+10"," "))))))))))))))))</f>
        <v>-2</v>
      </c>
      <c r="V321" s="3" t="s">
        <v>37</v>
      </c>
      <c r="W321" s="3" t="s">
        <v>1197</v>
      </c>
      <c r="X321" s="11" t="s">
        <v>1645</v>
      </c>
      <c r="Y321" s="11" t="s">
        <v>1646</v>
      </c>
      <c r="Z321" s="11" t="s">
        <v>37</v>
      </c>
      <c r="AA321" s="12" t="s">
        <v>37</v>
      </c>
    </row>
    <row r="322" customFormat="false" ht="16.4" hidden="false" customHeight="false" outlineLevel="0" collapsed="false">
      <c r="A322" s="15" t="s">
        <v>1647</v>
      </c>
      <c r="B322" s="3" t="s">
        <v>197</v>
      </c>
      <c r="C322" s="3" t="s">
        <v>230</v>
      </c>
      <c r="D322" s="16" t="n">
        <v>4</v>
      </c>
      <c r="E322" s="6" t="n">
        <f aca="false">VLOOKUP(D322,'[1]REF Tables'!$A$2:$B$40,2)</f>
        <v>1100</v>
      </c>
      <c r="F322" s="3" t="s">
        <v>30</v>
      </c>
      <c r="G322" s="3" t="n">
        <v>20</v>
      </c>
      <c r="H322" s="3" t="s">
        <v>954</v>
      </c>
      <c r="I322" s="3" t="s">
        <v>665</v>
      </c>
      <c r="J322" s="3" t="n">
        <v>18</v>
      </c>
      <c r="K322" s="1" t="str">
        <f aca="false">IF(J322=1,"-5",IF(OR(J322=2,J322=3),"-4",IF(OR(J322=4,J322=5),"-3",IF(OR(J322=6,J322=7),"-2",IF(OR(J322=8,J322=9),"-1",IF(OR(J322=10,J322=11),"0",IF(OR(J322=12,J322=13),"+1",IF(OR(J322=14,J322=15),"+2",IF(OR(J322=16,J322=17),"+3",IF(OR(J322=18,J322=19),"+4",IF(OR(J322=20,J322=21),"+5",IF(OR(J322=22,J322=23),"+6",IF(OR(J322=24,J322=25),"+7",IF(OR(J322=26,J322=27),"+8",IF(OR(J322=28,J322=29),"+9",IF(J322=30,"+10"," "))))))))))))))))</f>
        <v>+4</v>
      </c>
      <c r="L322" s="3" t="n">
        <v>13</v>
      </c>
      <c r="M322" s="1" t="str">
        <f aca="false">IF(L322=1,"-5",IF(OR(L322=2,L322=3),"-4",IF(OR(L322=4,L322=5),"-3",IF(OR(L322=6,L322=7),"-2",IF(OR(L322=8,L322=9),"-1",IF(OR(L322=10,L322=11),"0",IF(OR(L322=12,L322=13),"+1",IF(OR(L322=14,L322=15),"+2",IF(OR(L322=16,L322=17),"+3",IF(OR(L322=18,L322=19),"+4",IF(OR(L322=20,L322=21),"+5",IF(OR(L322=22,L322=23),"+6",IF(OR(L322=24,L322=25),"+7",IF(OR(L322=26,L322=27),"+8",IF(OR(L322=28,L322=29),"+9",IF(L322=30,"+10"," "))))))))))))))))</f>
        <v>+1</v>
      </c>
      <c r="N322" s="3" t="n">
        <v>16</v>
      </c>
      <c r="O322" s="1" t="str">
        <f aca="false">IF(N322=1,"-5",IF(OR(N322=2,N322=3),"-4",IF(OR(N322=4,N322=5),"-3",IF(OR(N322=6,N322=7),"-2",IF(OR(N322=8,N322=9),"-1",IF(OR(N322=10,N322=11),"0",IF(OR(N322=12,N322=13),"+1",IF(OR(N322=14,N322=15),"+2",IF(OR(N322=16,N322=17),"+3",IF(OR(N322=18,N322=19),"+4",IF(OR(N322=20,N322=21),"+5",IF(OR(N322=22,N322=23),"+6",IF(OR(N322=24,N322=25),"+7",IF(OR(N322=26,N322=27),"+8",IF(OR(N322=28,N322=29),"+9",IF(N322=30,"+10"," "))))))))))))))))</f>
        <v>+3</v>
      </c>
      <c r="P322" s="3" t="n">
        <v>10</v>
      </c>
      <c r="Q322" s="1" t="str">
        <f aca="false">IF(P322=1,"-5",IF(OR(P322=2,P322=3),"-4",IF(OR(P322=4,P322=5),"-3",IF(OR(P322=6,P322=7),"-2",IF(OR(P322=8,P322=9),"-1",IF(OR(P322=10,P322=11),"0",IF(OR(P322=12,P322=13),"+1",IF(OR(P322=14,P322=15),"+2",IF(OR(P322=16,P322=17),"+3",IF(OR(P322=18,P322=19),"+4",IF(OR(P322=20,P322=21),"+5",IF(OR(P322=22,P322=23),"+6",IF(OR(P322=24,P322=25),"+7",IF(OR(P322=26,P322=27),"+8",IF(OR(P322=28,P322=29),"+9",IF(P322=30,"+10"," "))))))))))))))))</f>
        <v>0</v>
      </c>
      <c r="R322" s="3" t="n">
        <v>10</v>
      </c>
      <c r="S322" s="1" t="str">
        <f aca="false">IF(R322=1,"-5",IF(OR(R322=2,R322=3),"-4",IF(OR(R322=4,R322=5),"-3",IF(OR(R322=6,R322=7),"-2",IF(OR(R322=8,R322=9),"-1",IF(OR(R322=10,R322=11),"0",IF(OR(R322=12,R322=13),"+1",IF(OR(R322=14,R322=15),"+2",IF(OR(R322=16,R322=17),"+3",IF(OR(R322=18,R322=19),"+4",IF(OR(R322=20,R322=21),"+5",IF(OR(R322=22,R322=23),"+6",IF(OR(R322=24,R322=25),"+7",IF(OR(R322=26,R322=27),"+8",IF(OR(R322=28,R322=29),"+9",IF(R322=30,"+10"," "))))))))))))))))</f>
        <v>0</v>
      </c>
      <c r="T322" s="3" t="n">
        <v>10</v>
      </c>
      <c r="U322" s="1" t="str">
        <f aca="false">IF(T322=1,"-5",IF(OR(T322=2,T322=3),"-4",IF(OR(T322=4,T322=5),"-3",IF(OR(T322=6,T322=7),"-2",IF(OR(T322=8,T322=9),"-1",IF(OR(T322=10,T322=11),"0",IF(OR(T322=12,T322=13),"+1",IF(OR(T322=14,T322=15),"+2",IF(OR(T322=16,T322=17),"+3",IF(OR(T322=18,T322=19),"+4",IF(OR(T322=20,T322=21),"+5",IF(OR(T322=22,T322=23),"+6",IF(OR(T322=24,T322=25),"+7",IF(OR(T322=26,T322=27),"+8",IF(OR(T322=28,T322=29),"+9",IF(T322=30,"+10"," "))))))))))))))))</f>
        <v>0</v>
      </c>
      <c r="V322" s="3" t="s">
        <v>72</v>
      </c>
      <c r="W322" s="3" t="s">
        <v>1197</v>
      </c>
      <c r="X322" s="11" t="s">
        <v>1648</v>
      </c>
      <c r="Y322" s="11" t="s">
        <v>1649</v>
      </c>
      <c r="Z322" s="11" t="s">
        <v>37</v>
      </c>
      <c r="AA322" s="12" t="s">
        <v>37</v>
      </c>
    </row>
    <row r="323" customFormat="false" ht="16.4" hidden="false" customHeight="false" outlineLevel="0" collapsed="false">
      <c r="A323" s="15" t="s">
        <v>1650</v>
      </c>
      <c r="B323" s="3" t="s">
        <v>105</v>
      </c>
      <c r="C323" s="3" t="s">
        <v>230</v>
      </c>
      <c r="D323" s="16" t="n">
        <v>3</v>
      </c>
      <c r="E323" s="3" t="n">
        <f aca="false">VLOOKUP(D323,'[1]REF Tables'!$A$2:$B$40,2)</f>
        <v>700</v>
      </c>
      <c r="F323" s="3" t="s">
        <v>50</v>
      </c>
      <c r="G323" s="3" t="n">
        <v>15</v>
      </c>
      <c r="H323" s="3" t="s">
        <v>1527</v>
      </c>
      <c r="I323" s="3" t="s">
        <v>131</v>
      </c>
      <c r="J323" s="3" t="n">
        <v>18</v>
      </c>
      <c r="K323" s="1" t="str">
        <f aca="false">IF(J323=1,"-5",IF(OR(J323=2,J323=3),"-4",IF(OR(J323=4,J323=5),"-3",IF(OR(J323=6,J323=7),"-2",IF(OR(J323=8,J323=9),"-1",IF(OR(J323=10,J323=11),"0",IF(OR(J323=12,J323=13),"+1",IF(OR(J323=14,J323=15),"+2",IF(OR(J323=16,J323=17),"+3",IF(OR(J323=18,J323=19),"+4",IF(OR(J323=20,J323=21),"+5",IF(OR(J323=22,J323=23),"+6",IF(OR(J323=24,J323=25),"+7",IF(OR(J323=26,J323=27),"+8",IF(OR(J323=28,J323=29),"+9",IF(J323=30,"+10"," "))))))))))))))))</f>
        <v>+4</v>
      </c>
      <c r="L323" s="3" t="n">
        <v>10</v>
      </c>
      <c r="M323" s="1" t="str">
        <f aca="false">IF(L323=1,"-5",IF(OR(L323=2,L323=3),"-4",IF(OR(L323=4,L323=5),"-3",IF(OR(L323=6,L323=7),"-2",IF(OR(L323=8,L323=9),"-1",IF(OR(L323=10,L323=11),"0",IF(OR(L323=12,L323=13),"+1",IF(OR(L323=14,L323=15),"+2",IF(OR(L323=16,L323=17),"+3",IF(OR(L323=18,L323=19),"+4",IF(OR(L323=20,L323=21),"+5",IF(OR(L323=22,L323=23),"+6",IF(OR(L323=24,L323=25),"+7",IF(OR(L323=26,L323=27),"+8",IF(OR(L323=28,L323=29),"+9",IF(L323=30,"+10"," "))))))))))))))))</f>
        <v>0</v>
      </c>
      <c r="N323" s="3" t="n">
        <v>15</v>
      </c>
      <c r="O323" s="1" t="str">
        <f aca="false">IF(N323=1,"-5",IF(OR(N323=2,N323=3),"-4",IF(OR(N323=4,N323=5),"-3",IF(OR(N323=6,N323=7),"-2",IF(OR(N323=8,N323=9),"-1",IF(OR(N323=10,N323=11),"0",IF(OR(N323=12,N323=13),"+1",IF(OR(N323=14,N323=15),"+2",IF(OR(N323=16,N323=17),"+3",IF(OR(N323=18,N323=19),"+4",IF(OR(N323=20,N323=21),"+5",IF(OR(N323=22,N323=23),"+6",IF(OR(N323=24,N323=25),"+7",IF(OR(N323=26,N323=27),"+8",IF(OR(N323=28,N323=29),"+9",IF(N323=30,"+10"," "))))))))))))))))</f>
        <v>+2</v>
      </c>
      <c r="P323" s="3" t="n">
        <v>6</v>
      </c>
      <c r="Q323" s="1" t="str">
        <f aca="false">IF(P323=1,"-5",IF(OR(P323=2,P323=3),"-4",IF(OR(P323=4,P323=5),"-3",IF(OR(P323=6,P323=7),"-2",IF(OR(P323=8,P323=9),"-1",IF(OR(P323=10,P323=11),"0",IF(OR(P323=12,P323=13),"+1",IF(OR(P323=14,P323=15),"+2",IF(OR(P323=16,P323=17),"+3",IF(OR(P323=18,P323=19),"+4",IF(OR(P323=20,P323=21),"+5",IF(OR(P323=22,P323=23),"+6",IF(OR(P323=24,P323=25),"+7",IF(OR(P323=26,P323=27),"+8",IF(OR(P323=28,P323=29),"+9",IF(P323=30,"+10"," "))))))))))))))))</f>
        <v>-2</v>
      </c>
      <c r="R323" s="3" t="n">
        <v>12</v>
      </c>
      <c r="S323" s="1" t="str">
        <f aca="false">IF(R323=1,"-5",IF(OR(R323=2,R323=3),"-4",IF(OR(R323=4,R323=5),"-3",IF(OR(R323=6,R323=7),"-2",IF(OR(R323=8,R323=9),"-1",IF(OR(R323=10,R323=11),"0",IF(OR(R323=12,R323=13),"+1",IF(OR(R323=14,R323=15),"+2",IF(OR(R323=16,R323=17),"+3",IF(OR(R323=18,R323=19),"+4",IF(OR(R323=20,R323=21),"+5",IF(OR(R323=22,R323=23),"+6",IF(OR(R323=24,R323=25),"+7",IF(OR(R323=26,R323=27),"+8",IF(OR(R323=28,R323=29),"+9",IF(R323=30,"+10"," "))))))))))))))))</f>
        <v>+1</v>
      </c>
      <c r="T323" s="3" t="n">
        <v>7</v>
      </c>
      <c r="U323" s="1" t="str">
        <f aca="false">IF(T323=1,"-5",IF(OR(T323=2,T323=3),"-4",IF(OR(T323=4,T323=5),"-3",IF(OR(T323=6,T323=7),"-2",IF(OR(T323=8,T323=9),"-1",IF(OR(T323=10,T323=11),"0",IF(OR(T323=12,T323=13),"+1",IF(OR(T323=14,T323=15),"+2",IF(OR(T323=16,T323=17),"+3",IF(OR(T323=18,T323=19),"+4",IF(OR(T323=20,T323=21),"+5",IF(OR(T323=22,T323=23),"+6",IF(OR(T323=24,T323=25),"+7",IF(OR(T323=26,T323=27),"+8",IF(OR(T323=28,T323=29),"+9",IF(T323=30,"+10"," "))))))))))))))))</f>
        <v>-2</v>
      </c>
      <c r="V323" s="3" t="s">
        <v>416</v>
      </c>
      <c r="W323" s="3" t="s">
        <v>1651</v>
      </c>
      <c r="X323" s="11" t="s">
        <v>1652</v>
      </c>
      <c r="Y323" s="11" t="s">
        <v>1653</v>
      </c>
      <c r="Z323" s="11" t="s">
        <v>37</v>
      </c>
      <c r="AA323" s="12" t="s">
        <v>37</v>
      </c>
    </row>
    <row r="324" customFormat="false" ht="434.3" hidden="false" customHeight="false" outlineLevel="0" collapsed="false">
      <c r="A324" s="15" t="s">
        <v>1654</v>
      </c>
      <c r="B324" s="3" t="s">
        <v>39</v>
      </c>
      <c r="C324" s="3" t="s">
        <v>230</v>
      </c>
      <c r="D324" s="16" t="n">
        <v>0.5</v>
      </c>
      <c r="E324" s="3" t="n">
        <f aca="false">VLOOKUP(D324,'[1]REF Tables'!$A$2:$B$40,2)</f>
        <v>100</v>
      </c>
      <c r="F324" s="3" t="s">
        <v>30</v>
      </c>
      <c r="G324" s="3" t="n">
        <v>14</v>
      </c>
      <c r="H324" s="3" t="s">
        <v>790</v>
      </c>
      <c r="I324" s="3" t="s">
        <v>42</v>
      </c>
      <c r="J324" s="3" t="n">
        <v>15</v>
      </c>
      <c r="K324" s="3" t="str">
        <f aca="false">IF(J324=1,"-5",IF(OR(J324=2,J324=3),"-4",IF(OR(J324=4,J324=5),"-3",IF(OR(J324=6,J324=7),"-2",IF(OR(J324=8,J324=9),"-1",IF(OR(J324=10,J324=11),"0",IF(OR(J324=12,J324=13),"+1",IF(OR(J324=14,J324=15),"+2",IF(OR(J324=16,J324=17),"+3",IF(OR(J324=18,J324=19),"+4",IF(OR(J324=20,J324=21),"+5",IF(OR(J324=22,J324=23),"+6",IF(OR(J324=24,J324=25),"+7",IF(OR(J324=26,J324=27),"+8",IF(OR(J324=28,J324=29),"+9",IF(J324=30,"+10"," "))))))))))))))))</f>
        <v>+2</v>
      </c>
      <c r="L324" s="3" t="n">
        <v>14</v>
      </c>
      <c r="M324" s="3" t="str">
        <f aca="false">IF(L324=1,"-5",IF(OR(L324=2,L324=3),"-4",IF(OR(L324=4,L324=5),"-3",IF(OR(L324=6,L324=7),"-2",IF(OR(L324=8,L324=9),"-1",IF(OR(L324=10,L324=11),"0",IF(OR(L324=12,L324=13),"+1",IF(OR(L324=14,L324=15),"+2",IF(OR(L324=16,L324=17),"+3",IF(OR(L324=18,L324=19),"+4",IF(OR(L324=20,L324=21),"+5",IF(OR(L324=22,L324=23),"+6",IF(OR(L324=24,L324=25),"+7",IF(OR(L324=26,L324=27),"+8",IF(OR(L324=28,L324=29),"+9",IF(L324=30,"+10"," "))))))))))))))))</f>
        <v>+2</v>
      </c>
      <c r="N324" s="3" t="n">
        <v>14</v>
      </c>
      <c r="O324" s="3" t="str">
        <f aca="false">IF(N324=1,"-5",IF(OR(N324=2,N324=3),"-4",IF(OR(N324=4,N324=5),"-3",IF(OR(N324=6,N324=7),"-2",IF(OR(N324=8,N324=9),"-1",IF(OR(N324=10,N324=11),"0",IF(OR(N324=12,N324=13),"+1",IF(OR(N324=14,N324=15),"+2",IF(OR(N324=16,N324=17),"+3",IF(OR(N324=18,N324=19),"+4",IF(OR(N324=20,N324=21),"+5",IF(OR(N324=22,N324=23),"+6",IF(OR(N324=24,N324=25),"+7",IF(OR(N324=26,N324=27),"+8",IF(OR(N324=28,N324=29),"+9",IF(N324=30,"+10"," "))))))))))))))))</f>
        <v>+2</v>
      </c>
      <c r="P324" s="3" t="n">
        <v>10</v>
      </c>
      <c r="Q324" s="3" t="str">
        <f aca="false">IF(P324=1,"-5",IF(OR(P324=2,P324=3),"-4",IF(OR(P324=4,P324=5),"-3",IF(OR(P324=6,P324=7),"-2",IF(OR(P324=8,P324=9),"-1",IF(OR(P324=10,P324=11),"0",IF(OR(P324=12,P324=13),"+1",IF(OR(P324=14,P324=15),"+2",IF(OR(P324=16,P324=17),"+3",IF(OR(P324=18,P324=19),"+4",IF(OR(P324=20,P324=21),"+5",IF(OR(P324=22,P324=23),"+6",IF(OR(P324=24,P324=25),"+7",IF(OR(P324=26,P324=27),"+8",IF(OR(P324=28,P324=29),"+9",IF(P324=30,"+10"," "))))))))))))))))</f>
        <v>0</v>
      </c>
      <c r="R324" s="3" t="n">
        <v>10</v>
      </c>
      <c r="S324" s="3" t="str">
        <f aca="false">IF(R324=1,"-5",IF(OR(R324=2,R324=3),"-4",IF(OR(R324=4,R324=5),"-3",IF(OR(R324=6,R324=7),"-2",IF(OR(R324=8,R324=9),"-1",IF(OR(R324=10,R324=11),"0",IF(OR(R324=12,R324=13),"+1",IF(OR(R324=14,R324=15),"+2",IF(OR(R324=16,R324=17),"+3",IF(OR(R324=18,R324=19),"+4",IF(OR(R324=20,R324=21),"+5",IF(OR(R324=22,R324=23),"+6",IF(OR(R324=24,R324=25),"+7",IF(OR(R324=26,R324=27),"+8",IF(OR(R324=28,R324=29),"+9",IF(R324=30,"+10"," "))))))))))))))))</f>
        <v>0</v>
      </c>
      <c r="T324" s="3" t="n">
        <v>11</v>
      </c>
      <c r="U324" s="3" t="str">
        <f aca="false">IF(T324=1,"-5",IF(OR(T324=2,T324=3),"-4",IF(OR(T324=4,T324=5),"-3",IF(OR(T324=6,T324=7),"-2",IF(OR(T324=8,T324=9),"-1",IF(OR(T324=10,T324=11),"0",IF(OR(T324=12,T324=13),"+1",IF(OR(T324=14,T324=15),"+2",IF(OR(T324=16,T324=17),"+3",IF(OR(T324=18,T324=19),"+4",IF(OR(T324=20,T324=21),"+5",IF(OR(T324=22,T324=23),"+6",IF(OR(T324=24,T324=25),"+7",IF(OR(T324=26,T324=27),"+8",IF(OR(T324=28,T324=29),"+9",IF(T324=30,"+10"," "))))))))))))))))</f>
        <v>0</v>
      </c>
      <c r="V324" s="3" t="s">
        <v>1655</v>
      </c>
      <c r="W324" s="3" t="s">
        <v>271</v>
      </c>
      <c r="X324" s="19" t="s">
        <v>1656</v>
      </c>
      <c r="Y324" s="19" t="s">
        <v>1657</v>
      </c>
      <c r="Z324" s="11"/>
      <c r="AA324" s="12"/>
    </row>
    <row r="325" customFormat="false" ht="1717.15" hidden="false" customHeight="false" outlineLevel="0" collapsed="false">
      <c r="A325" s="15" t="s">
        <v>1658</v>
      </c>
      <c r="B325" s="3" t="s">
        <v>105</v>
      </c>
      <c r="C325" s="3" t="s">
        <v>37</v>
      </c>
      <c r="D325" s="16" t="n">
        <v>8</v>
      </c>
      <c r="E325" s="6" t="n">
        <f aca="false">VLOOKUP(D325,'[1]REF Tables'!$A$2:$B$40,2)</f>
        <v>3900</v>
      </c>
      <c r="F325" s="3" t="s">
        <v>121</v>
      </c>
      <c r="G325" s="3" t="n">
        <v>15</v>
      </c>
      <c r="H325" s="3" t="s">
        <v>833</v>
      </c>
      <c r="I325" s="3" t="s">
        <v>534</v>
      </c>
      <c r="J325" s="3" t="n">
        <v>20</v>
      </c>
      <c r="K325" s="1" t="str">
        <f aca="false">IF(J325=1,"-5",IF(OR(J325=2,J325=3),"-4",IF(OR(J325=4,J325=5),"-3",IF(OR(J325=6,J325=7),"-2",IF(OR(J325=8,J325=9),"-1",IF(OR(J325=10,J325=11),"0",IF(OR(J325=12,J325=13),"+1",IF(OR(J325=14,J325=15),"+2",IF(OR(J325=16,J325=17),"+3",IF(OR(J325=18,J325=19),"+4",IF(OR(J325=20,J325=21),"+5",IF(OR(J325=22,J325=23),"+6",IF(OR(J325=24,J325=25),"+7",IF(OR(J325=26,J325=27),"+8",IF(OR(J325=28,J325=29),"+9",IF(J325=30,"+10"," "))))))))))))))))</f>
        <v>+5</v>
      </c>
      <c r="L325" s="3" t="n">
        <v>12</v>
      </c>
      <c r="M325" s="1" t="str">
        <f aca="false">IF(L325=1,"-5",IF(OR(L325=2,L325=3),"-4",IF(OR(L325=4,L325=5),"-3",IF(OR(L325=6,L325=7),"-2",IF(OR(L325=8,L325=9),"-1",IF(OR(L325=10,L325=11),"0",IF(OR(L325=12,L325=13),"+1",IF(OR(L325=14,L325=15),"+2",IF(OR(L325=16,L325=17),"+3",IF(OR(L325=18,L325=19),"+4",IF(OR(L325=20,L325=21),"+5",IF(OR(L325=22,L325=23),"+6",IF(OR(L325=24,L325=25),"+7",IF(OR(L325=26,L325=27),"+8",IF(OR(L325=28,L325=29),"+9",IF(L325=30,"+10"," "))))))))))))))))</f>
        <v>+1</v>
      </c>
      <c r="N325" s="3" t="n">
        <v>20</v>
      </c>
      <c r="O325" s="1" t="str">
        <f aca="false">IF(N325=1,"-5",IF(OR(N325=2,N325=3),"-4",IF(OR(N325=4,N325=5),"-3",IF(OR(N325=6,N325=7),"-2",IF(OR(N325=8,N325=9),"-1",IF(OR(N325=10,N325=11),"0",IF(OR(N325=12,N325=13),"+1",IF(OR(N325=14,N325=15),"+2",IF(OR(N325=16,N325=17),"+3",IF(OR(N325=18,N325=19),"+4",IF(OR(N325=20,N325=21),"+5",IF(OR(N325=22,N325=23),"+6",IF(OR(N325=24,N325=25),"+7",IF(OR(N325=26,N325=27),"+8",IF(OR(N325=28,N325=29),"+9",IF(N325=30,"+10"," "))))))))))))))))</f>
        <v>+5</v>
      </c>
      <c r="P325" s="3" t="n">
        <v>2</v>
      </c>
      <c r="Q325" s="1" t="str">
        <f aca="false">IF(P325=1,"-5",IF(OR(P325=2,P325=3),"-4",IF(OR(P325=4,P325=5),"-3",IF(OR(P325=6,P325=7),"-2",IF(OR(P325=8,P325=9),"-1",IF(OR(P325=10,P325=11),"0",IF(OR(P325=12,P325=13),"+1",IF(OR(P325=14,P325=15),"+2",IF(OR(P325=16,P325=17),"+3",IF(OR(P325=18,P325=19),"+4",IF(OR(P325=20,P325=21),"+5",IF(OR(P325=22,P325=23),"+6",IF(OR(P325=24,P325=25),"+7",IF(OR(P325=26,P325=27),"+8",IF(OR(P325=28,P325=29),"+9",IF(P325=30,"+10"," "))))))))))))))))</f>
        <v>-4</v>
      </c>
      <c r="R325" s="3" t="n">
        <v>10</v>
      </c>
      <c r="S325" s="1" t="str">
        <f aca="false">IF(R325=1,"-5",IF(OR(R325=2,R325=3),"-4",IF(OR(R325=4,R325=5),"-3",IF(OR(R325=6,R325=7),"-2",IF(OR(R325=8,R325=9),"-1",IF(OR(R325=10,R325=11),"0",IF(OR(R325=12,R325=13),"+1",IF(OR(R325=14,R325=15),"+2",IF(OR(R325=16,R325=17),"+3",IF(OR(R325=18,R325=19),"+4",IF(OR(R325=20,R325=21),"+5",IF(OR(R325=22,R325=23),"+6",IF(OR(R325=24,R325=25),"+7",IF(OR(R325=26,R325=27),"+8",IF(OR(R325=28,R325=29),"+9",IF(R325=30,"+10"," "))))))))))))))))</f>
        <v>0</v>
      </c>
      <c r="T325" s="3" t="n">
        <v>7</v>
      </c>
      <c r="U325" s="1" t="str">
        <f aca="false">IF(T325=1,"-5",IF(OR(T325=2,T325=3),"-4",IF(OR(T325=4,T325=5),"-3",IF(OR(T325=6,T325=7),"-2",IF(OR(T325=8,T325=9),"-1",IF(OR(T325=10,T325=11),"0",IF(OR(T325=12,T325=13),"+1",IF(OR(T325=14,T325=15),"+2",IF(OR(T325=16,T325=17),"+3",IF(OR(T325=18,T325=19),"+4",IF(OR(T325=20,T325=21),"+5",IF(OR(T325=22,T325=23),"+6",IF(OR(T325=24,T325=25),"+7",IF(OR(T325=26,T325=27),"+8",IF(OR(T325=28,T325=29),"+9",IF(T325=30,"+10"," "))))))))))))))))</f>
        <v>-2</v>
      </c>
      <c r="V325" s="3" t="s">
        <v>382</v>
      </c>
      <c r="W325" s="3" t="s">
        <v>37</v>
      </c>
      <c r="X325" s="19" t="s">
        <v>1659</v>
      </c>
      <c r="Y325" s="11" t="s">
        <v>1660</v>
      </c>
      <c r="Z325" s="11" t="s">
        <v>37</v>
      </c>
      <c r="AA325" s="12" t="s">
        <v>37</v>
      </c>
    </row>
    <row r="326" customFormat="false" ht="16.4" hidden="false" customHeight="false" outlineLevel="0" collapsed="false">
      <c r="A326" s="15" t="s">
        <v>1661</v>
      </c>
      <c r="B326" s="3" t="s">
        <v>59</v>
      </c>
      <c r="C326" s="3" t="s">
        <v>37</v>
      </c>
      <c r="D326" s="16" t="n">
        <v>0</v>
      </c>
      <c r="E326" s="3" t="n">
        <f aca="false">VLOOKUP(D326,'[1]REF Tables'!$A$2:$B$40,2)</f>
        <v>10</v>
      </c>
      <c r="F326" s="3" t="s">
        <v>30</v>
      </c>
      <c r="G326" s="3" t="n">
        <v>11</v>
      </c>
      <c r="H326" s="3" t="s">
        <v>1662</v>
      </c>
      <c r="I326" s="3" t="s">
        <v>210</v>
      </c>
      <c r="J326" s="3" t="n">
        <v>11</v>
      </c>
      <c r="K326" s="1" t="str">
        <f aca="false">IF(J326=1,"-5",IF(OR(J326=2,J326=3),"-4",IF(OR(J326=4,J326=5),"-3",IF(OR(J326=6,J326=7),"-2",IF(OR(J326=8,J326=9),"-1",IF(OR(J326=10,J326=11),"0",IF(OR(J326=12,J326=13),"+1",IF(OR(J326=14,J326=15),"+2",IF(OR(J326=16,J326=17),"+3",IF(OR(J326=18,J326=19),"+4",IF(OR(J326=20,J326=21),"+5",IF(OR(J326=22,J326=23),"+6",IF(OR(J326=24,J326=25),"+7",IF(OR(J326=26,J326=27),"+8",IF(OR(J326=28,J326=29),"+9",IF(J326=30,"+10"," "))))))))))))))))</f>
        <v>0</v>
      </c>
      <c r="L326" s="3" t="n">
        <v>13</v>
      </c>
      <c r="M326" s="1" t="str">
        <f aca="false">IF(L326=1,"-5",IF(OR(L326=2,L326=3),"-4",IF(OR(L326=4,L326=5),"-3",IF(OR(L326=6,L326=7),"-2",IF(OR(L326=8,L326=9),"-1",IF(OR(L326=10,L326=11),"0",IF(OR(L326=12,L326=13),"+1",IF(OR(L326=14,L326=15),"+2",IF(OR(L326=16,L326=17),"+3",IF(OR(L326=18,L326=19),"+4",IF(OR(L326=20,L326=21),"+5",IF(OR(L326=22,L326=23),"+6",IF(OR(L326=24,L326=25),"+7",IF(OR(L326=26,L326=27),"+8",IF(OR(L326=28,L326=29),"+9",IF(L326=30,"+10"," "))))))))))))))))</f>
        <v>+1</v>
      </c>
      <c r="N326" s="3" t="n">
        <v>12</v>
      </c>
      <c r="O326" s="1" t="str">
        <f aca="false">IF(N326=1,"-5",IF(OR(N326=2,N326=3),"-4",IF(OR(N326=4,N326=5),"-3",IF(OR(N326=6,N326=7),"-2",IF(OR(N326=8,N326=9),"-1",IF(OR(N326=10,N326=11),"0",IF(OR(N326=12,N326=13),"+1",IF(OR(N326=14,N326=15),"+2",IF(OR(N326=16,N326=17),"+3",IF(OR(N326=18,N326=19),"+4",IF(OR(N326=20,N326=21),"+5",IF(OR(N326=22,N326=23),"+6",IF(OR(N326=24,N326=25),"+7",IF(OR(N326=26,N326=27),"+8",IF(OR(N326=28,N326=29),"+9",IF(N326=30,"+10"," "))))))))))))))))</f>
        <v>+1</v>
      </c>
      <c r="P326" s="3" t="n">
        <v>2</v>
      </c>
      <c r="Q326" s="1" t="str">
        <f aca="false">IF(P326=1,"-5",IF(OR(P326=2,P326=3),"-4",IF(OR(P326=4,P326=5),"-3",IF(OR(P326=6,P326=7),"-2",IF(OR(P326=8,P326=9),"-1",IF(OR(P326=10,P326=11),"0",IF(OR(P326=12,P326=13),"+1",IF(OR(P326=14,P326=15),"+2",IF(OR(P326=16,P326=17),"+3",IF(OR(P326=18,P326=19),"+4",IF(OR(P326=20,P326=21),"+5",IF(OR(P326=22,P326=23),"+6",IF(OR(P326=24,P326=25),"+7",IF(OR(P326=26,P326=27),"+8",IF(OR(P326=28,P326=29),"+9",IF(P326=30,"+10"," "))))))))))))))))</f>
        <v>-4</v>
      </c>
      <c r="R326" s="3" t="n">
        <v>12</v>
      </c>
      <c r="S326" s="1" t="str">
        <f aca="false">IF(R326=1,"-5",IF(OR(R326=2,R326=3),"-4",IF(OR(R326=4,R326=5),"-3",IF(OR(R326=6,R326=7),"-2",IF(OR(R326=8,R326=9),"-1",IF(OR(R326=10,R326=11),"0",IF(OR(R326=12,R326=13),"+1",IF(OR(R326=14,R326=15),"+2",IF(OR(R326=16,R326=17),"+3",IF(OR(R326=18,R326=19),"+4",IF(OR(R326=20,R326=21),"+5",IF(OR(R326=22,R326=23),"+6",IF(OR(R326=24,R326=25),"+7",IF(OR(R326=26,R326=27),"+8",IF(OR(R326=28,R326=29),"+9",IF(R326=30,"+10"," "))))))))))))))))</f>
        <v>+1</v>
      </c>
      <c r="T326" s="3" t="n">
        <v>5</v>
      </c>
      <c r="U326" s="1" t="str">
        <f aca="false">IF(T326=1,"-5",IF(OR(T326=2,T326=3),"-4",IF(OR(T326=4,T326=5),"-3",IF(OR(T326=6,T326=7),"-2",IF(OR(T326=8,T326=9),"-1",IF(OR(T326=10,T326=11),"0",IF(OR(T326=12,T326=13),"+1",IF(OR(T326=14,T326=15),"+2",IF(OR(T326=16,T326=17),"+3",IF(OR(T326=18,T326=19),"+4",IF(OR(T326=20,T326=21),"+5",IF(OR(T326=22,T326=23),"+6",IF(OR(T326=24,T326=25),"+7",IF(OR(T326=26,T326=27),"+8",IF(OR(T326=28,T326=29),"+9",IF(T326=30,"+10"," "))))))))))))))))</f>
        <v>-3</v>
      </c>
      <c r="V326" s="3" t="s">
        <v>416</v>
      </c>
      <c r="W326" s="3" t="s">
        <v>37</v>
      </c>
      <c r="X326" s="11" t="s">
        <v>1663</v>
      </c>
      <c r="Y326" s="11" t="s">
        <v>1664</v>
      </c>
      <c r="Z326" s="11" t="s">
        <v>37</v>
      </c>
      <c r="AA326" s="12" t="s">
        <v>37</v>
      </c>
    </row>
    <row r="327" customFormat="false" ht="16.4" hidden="false" customHeight="false" outlineLevel="0" collapsed="false">
      <c r="A327" s="15" t="s">
        <v>1665</v>
      </c>
      <c r="B327" s="3" t="s">
        <v>59</v>
      </c>
      <c r="C327" s="3" t="s">
        <v>37</v>
      </c>
      <c r="D327" s="16" t="n">
        <v>1</v>
      </c>
      <c r="E327" s="3" t="n">
        <f aca="false">VLOOKUP(D327,'[1]REF Tables'!$A$2:$B$40,2)</f>
        <v>200</v>
      </c>
      <c r="F327" s="3" t="s">
        <v>50</v>
      </c>
      <c r="G327" s="3" t="n">
        <v>12</v>
      </c>
      <c r="H327" s="3" t="s">
        <v>398</v>
      </c>
      <c r="I327" s="3" t="s">
        <v>210</v>
      </c>
      <c r="J327" s="3" t="n">
        <v>16</v>
      </c>
      <c r="K327" s="1" t="str">
        <f aca="false">IF(J327=1,"-5",IF(OR(J327=2,J327=3),"-4",IF(OR(J327=4,J327=5),"-3",IF(OR(J327=6,J327=7),"-2",IF(OR(J327=8,J327=9),"-1",IF(OR(J327=10,J327=11),"0",IF(OR(J327=12,J327=13),"+1",IF(OR(J327=14,J327=15),"+2",IF(OR(J327=16,J327=17),"+3",IF(OR(J327=18,J327=19),"+4",IF(OR(J327=20,J327=21),"+5",IF(OR(J327=22,J327=23),"+6",IF(OR(J327=24,J327=25),"+7",IF(OR(J327=26,J327=27),"+8",IF(OR(J327=28,J327=29),"+9",IF(J327=30,"+10"," "))))))))))))))))</f>
        <v>+3</v>
      </c>
      <c r="L327" s="3" t="n">
        <v>14</v>
      </c>
      <c r="M327" s="1" t="str">
        <f aca="false">IF(L327=1,"-5",IF(OR(L327=2,L327=3),"-4",IF(OR(L327=4,L327=5),"-3",IF(OR(L327=6,L327=7),"-2",IF(OR(L327=8,L327=9),"-1",IF(OR(L327=10,L327=11),"0",IF(OR(L327=12,L327=13),"+1",IF(OR(L327=14,L327=15),"+2",IF(OR(L327=16,L327=17),"+3",IF(OR(L327=18,L327=19),"+4",IF(OR(L327=20,L327=21),"+5",IF(OR(L327=22,L327=23),"+6",IF(OR(L327=24,L327=25),"+7",IF(OR(L327=26,L327=27),"+8",IF(OR(L327=28,L327=29),"+9",IF(L327=30,"+10"," "))))))))))))))))</f>
        <v>+2</v>
      </c>
      <c r="N327" s="3" t="n">
        <v>14</v>
      </c>
      <c r="O327" s="1" t="str">
        <f aca="false">IF(N327=1,"-5",IF(OR(N327=2,N327=3),"-4",IF(OR(N327=4,N327=5),"-3",IF(OR(N327=6,N327=7),"-2",IF(OR(N327=8,N327=9),"-1",IF(OR(N327=10,N327=11),"0",IF(OR(N327=12,N327=13),"+1",IF(OR(N327=14,N327=15),"+2",IF(OR(N327=16,N327=17),"+3",IF(OR(N327=18,N327=19),"+4",IF(OR(N327=20,N327=21),"+5",IF(OR(N327=22,N327=23),"+6",IF(OR(N327=24,N327=25),"+7",IF(OR(N327=26,N327=27),"+8",IF(OR(N327=28,N327=29),"+9",IF(N327=30,"+10"," "))))))))))))))))</f>
        <v>+2</v>
      </c>
      <c r="P327" s="3" t="n">
        <v>2</v>
      </c>
      <c r="Q327" s="1" t="str">
        <f aca="false">IF(P327=1,"-5",IF(OR(P327=2,P327=3),"-4",IF(OR(P327=4,P327=5),"-3",IF(OR(P327=6,P327=7),"-2",IF(OR(P327=8,P327=9),"-1",IF(OR(P327=10,P327=11),"0",IF(OR(P327=12,P327=13),"+1",IF(OR(P327=14,P327=15),"+2",IF(OR(P327=16,P327=17),"+3",IF(OR(P327=18,P327=19),"+4",IF(OR(P327=20,P327=21),"+5",IF(OR(P327=22,P327=23),"+6",IF(OR(P327=24,P327=25),"+7",IF(OR(P327=26,P327=27),"+8",IF(OR(P327=28,P327=29),"+9",IF(P327=30,"+10"," "))))))))))))))))</f>
        <v>-4</v>
      </c>
      <c r="R327" s="3" t="n">
        <v>12</v>
      </c>
      <c r="S327" s="1" t="str">
        <f aca="false">IF(R327=1,"-5",IF(OR(R327=2,R327=3),"-4",IF(OR(R327=4,R327=5),"-3",IF(OR(R327=6,R327=7),"-2",IF(OR(R327=8,R327=9),"-1",IF(OR(R327=10,R327=11),"0",IF(OR(R327=12,R327=13),"+1",IF(OR(R327=14,R327=15),"+2",IF(OR(R327=16,R327=17),"+3",IF(OR(R327=18,R327=19),"+4",IF(OR(R327=20,R327=21),"+5",IF(OR(R327=22,R327=23),"+6",IF(OR(R327=24,R327=25),"+7",IF(OR(R327=26,R327=27),"+8",IF(OR(R327=28,R327=29),"+9",IF(R327=30,"+10"," "))))))))))))))))</f>
        <v>+1</v>
      </c>
      <c r="T327" s="3" t="n">
        <v>7</v>
      </c>
      <c r="U327" s="1" t="str">
        <f aca="false">IF(T327=1,"-5",IF(OR(T327=2,T327=3),"-4",IF(OR(T327=4,T327=5),"-3",IF(OR(T327=6,T327=7),"-2",IF(OR(T327=8,T327=9),"-1",IF(OR(T327=10,T327=11),"0",IF(OR(T327=12,T327=13),"+1",IF(OR(T327=14,T327=15),"+2",IF(OR(T327=16,T327=17),"+3",IF(OR(T327=18,T327=19),"+4",IF(OR(T327=20,T327=21),"+5",IF(OR(T327=22,T327=23),"+6",IF(OR(T327=24,T327=25),"+7",IF(OR(T327=26,T327=27),"+8",IF(OR(T327=28,T327=29),"+9",IF(T327=30,"+10"," "))))))))))))))))</f>
        <v>-2</v>
      </c>
      <c r="V327" s="3" t="s">
        <v>416</v>
      </c>
      <c r="W327" s="3" t="s">
        <v>37</v>
      </c>
      <c r="X327" s="11" t="s">
        <v>1666</v>
      </c>
      <c r="Y327" s="11" t="s">
        <v>1667</v>
      </c>
      <c r="Z327" s="11" t="s">
        <v>37</v>
      </c>
      <c r="AA327" s="12" t="s">
        <v>37</v>
      </c>
    </row>
    <row r="328" customFormat="false" ht="16.4" hidden="false" customHeight="false" outlineLevel="0" collapsed="false">
      <c r="A328" s="15" t="s">
        <v>1668</v>
      </c>
      <c r="B328" s="3" t="s">
        <v>39</v>
      </c>
      <c r="C328" s="3" t="s">
        <v>40</v>
      </c>
      <c r="D328" s="16" t="n">
        <v>3</v>
      </c>
      <c r="E328" s="3" t="n">
        <f aca="false">VLOOKUP(D328,'[1]REF Tables'!$A$2:$B$40,2)</f>
        <v>700</v>
      </c>
      <c r="F328" s="3" t="s">
        <v>30</v>
      </c>
      <c r="G328" s="3" t="n">
        <v>12</v>
      </c>
      <c r="H328" s="3" t="s">
        <v>1022</v>
      </c>
      <c r="I328" s="3" t="s">
        <v>42</v>
      </c>
      <c r="J328" s="3" t="n">
        <v>9</v>
      </c>
      <c r="K328" s="1" t="str">
        <f aca="false">IF(J328=1,"-5",IF(OR(J328=2,J328=3),"-4",IF(OR(J328=4,J328=5),"-3",IF(OR(J328=6,J328=7),"-2",IF(OR(J328=8,J328=9),"-1",IF(OR(J328=10,J328=11),"0",IF(OR(J328=12,J328=13),"+1",IF(OR(J328=14,J328=15),"+2",IF(OR(J328=16,J328=17),"+3",IF(OR(J328=18,J328=19),"+4",IF(OR(J328=20,J328=21),"+5",IF(OR(J328=22,J328=23),"+6",IF(OR(J328=24,J328=25),"+7",IF(OR(J328=26,J328=27),"+8",IF(OR(J328=28,J328=29),"+9",IF(J328=30,"+10"," "))))))))))))))))</f>
        <v>-1</v>
      </c>
      <c r="L328" s="3" t="n">
        <v>14</v>
      </c>
      <c r="M328" s="1" t="str">
        <f aca="false">IF(L328=1,"-5",IF(OR(L328=2,L328=3),"-4",IF(OR(L328=4,L328=5),"-3",IF(OR(L328=6,L328=7),"-2",IF(OR(L328=8,L328=9),"-1",IF(OR(L328=10,L328=11),"0",IF(OR(L328=12,L328=13),"+1",IF(OR(L328=14,L328=15),"+2",IF(OR(L328=16,L328=17),"+3",IF(OR(L328=18,L328=19),"+4",IF(OR(L328=20,L328=21),"+5",IF(OR(L328=22,L328=23),"+6",IF(OR(L328=24,L328=25),"+7",IF(OR(L328=26,L328=27),"+8",IF(OR(L328=28,L328=29),"+9",IF(L328=30,"+10"," "))))))))))))))))</f>
        <v>+2</v>
      </c>
      <c r="N328" s="3" t="n">
        <v>13</v>
      </c>
      <c r="O328" s="1" t="str">
        <f aca="false">IF(N328=1,"-5",IF(OR(N328=2,N328=3),"-4",IF(OR(N328=4,N328=5),"-3",IF(OR(N328=6,N328=7),"-2",IF(OR(N328=8,N328=9),"-1",IF(OR(N328=10,N328=11),"0",IF(OR(N328=12,N328=13),"+1",IF(OR(N328=14,N328=15),"+2",IF(OR(N328=16,N328=17),"+3",IF(OR(N328=18,N328=19),"+4",IF(OR(N328=20,N328=21),"+5",IF(OR(N328=22,N328=23),"+6",IF(OR(N328=24,N328=25),"+7",IF(OR(N328=26,N328=27),"+8",IF(OR(N328=28,N328=29),"+9",IF(N328=30,"+10"," "))))))))))))))))</f>
        <v>+1</v>
      </c>
      <c r="P328" s="3" t="n">
        <v>16</v>
      </c>
      <c r="Q328" s="1" t="str">
        <f aca="false">IF(P328=1,"-5",IF(OR(P328=2,P328=3),"-4",IF(OR(P328=4,P328=5),"-3",IF(OR(P328=6,P328=7),"-2",IF(OR(P328=8,P328=9),"-1",IF(OR(P328=10,P328=11),"0",IF(OR(P328=12,P328=13),"+1",IF(OR(P328=14,P328=15),"+2",IF(OR(P328=16,P328=17),"+3",IF(OR(P328=18,P328=19),"+4",IF(OR(P328=20,P328=21),"+5",IF(OR(P328=22,P328=23),"+6",IF(OR(P328=24,P328=25),"+7",IF(OR(P328=26,P328=27),"+8",IF(OR(P328=28,P328=29),"+9",IF(P328=30,"+10"," "))))))))))))))))</f>
        <v>+3</v>
      </c>
      <c r="R328" s="3" t="n">
        <v>11</v>
      </c>
      <c r="S328" s="1" t="str">
        <f aca="false">IF(R328=1,"-5",IF(OR(R328=2,R328=3),"-4",IF(OR(R328=4,R328=5),"-3",IF(OR(R328=6,R328=7),"-2",IF(OR(R328=8,R328=9),"-1",IF(OR(R328=10,R328=11),"0",IF(OR(R328=12,R328=13),"+1",IF(OR(R328=14,R328=15),"+2",IF(OR(R328=16,R328=17),"+3",IF(OR(R328=18,R328=19),"+4",IF(OR(R328=20,R328=21),"+5",IF(OR(R328=22,R328=23),"+6",IF(OR(R328=24,R328=25),"+7",IF(OR(R328=26,R328=27),"+8",IF(OR(R328=28,R328=29),"+9",IF(R328=30,"+10"," "))))))))))))))))</f>
        <v>0</v>
      </c>
      <c r="T328" s="3" t="n">
        <v>12</v>
      </c>
      <c r="U328" s="1" t="str">
        <f aca="false">IF(T328=1,"-5",IF(OR(T328=2,T328=3),"-4",IF(OR(T328=4,T328=5),"-3",IF(OR(T328=6,T328=7),"-2",IF(OR(T328=8,T328=9),"-1",IF(OR(T328=10,T328=11),"0",IF(OR(T328=12,T328=13),"+1",IF(OR(T328=14,T328=15),"+2",IF(OR(T328=16,T328=17),"+3",IF(OR(T328=18,T328=19),"+4",IF(OR(T328=20,T328=21),"+5",IF(OR(T328=22,T328=23),"+6",IF(OR(T328=24,T328=25),"+7",IF(OR(T328=26,T328=27),"+8",IF(OR(T328=28,T328=29),"+9",IF(T328=30,"+10"," "))))))))))))))))</f>
        <v>+1</v>
      </c>
      <c r="V328" s="3" t="s">
        <v>1669</v>
      </c>
      <c r="W328" s="3" t="s">
        <v>44</v>
      </c>
      <c r="X328" s="11" t="s">
        <v>1670</v>
      </c>
      <c r="Y328" s="11" t="s">
        <v>1671</v>
      </c>
      <c r="Z328" s="11" t="s">
        <v>37</v>
      </c>
      <c r="AA328" s="12" t="s">
        <v>37</v>
      </c>
    </row>
    <row r="329" customFormat="false" ht="16.4" hidden="false" customHeight="false" outlineLevel="0" collapsed="false">
      <c r="A329" s="15" t="s">
        <v>1672</v>
      </c>
      <c r="B329" s="3" t="s">
        <v>39</v>
      </c>
      <c r="C329" s="3" t="s">
        <v>40</v>
      </c>
      <c r="D329" s="16" t="n">
        <v>6</v>
      </c>
      <c r="E329" s="6" t="n">
        <f aca="false">VLOOKUP(D329,'[1]REF Tables'!$A$2:$B$40,2)</f>
        <v>2300</v>
      </c>
      <c r="F329" s="3" t="s">
        <v>30</v>
      </c>
      <c r="G329" s="3" t="n">
        <v>12</v>
      </c>
      <c r="H329" s="3" t="s">
        <v>1173</v>
      </c>
      <c r="I329" s="3" t="s">
        <v>42</v>
      </c>
      <c r="J329" s="3" t="n">
        <v>9</v>
      </c>
      <c r="K329" s="1" t="str">
        <f aca="false">IF(J329=1,"-5",IF(OR(J329=2,J329=3),"-4",IF(OR(J329=4,J329=5),"-3",IF(OR(J329=6,J329=7),"-2",IF(OR(J329=8,J329=9),"-1",IF(OR(J329=10,J329=11),"0",IF(OR(J329=12,J329=13),"+1",IF(OR(J329=14,J329=15),"+2",IF(OR(J329=16,J329=17),"+3",IF(OR(J329=18,J329=19),"+4",IF(OR(J329=20,J329=21),"+5",IF(OR(J329=22,J329=23),"+6",IF(OR(J329=24,J329=25),"+7",IF(OR(J329=26,J329=27),"+8",IF(OR(J329=28,J329=29),"+9",IF(J329=30,"+10"," "))))))))))))))))</f>
        <v>-1</v>
      </c>
      <c r="L329" s="3" t="n">
        <v>14</v>
      </c>
      <c r="M329" s="1" t="str">
        <f aca="false">IF(L329=1,"-5",IF(OR(L329=2,L329=3),"-4",IF(OR(L329=4,L329=5),"-3",IF(OR(L329=6,L329=7),"-2",IF(OR(L329=8,L329=9),"-1",IF(OR(L329=10,L329=11),"0",IF(OR(L329=12,L329=13),"+1",IF(OR(L329=14,L329=15),"+2",IF(OR(L329=16,L329=17),"+3",IF(OR(L329=18,L329=19),"+4",IF(OR(L329=20,L329=21),"+5",IF(OR(L329=22,L329=23),"+6",IF(OR(L329=24,L329=25),"+7",IF(OR(L329=26,L329=27),"+8",IF(OR(L329=28,L329=29),"+9",IF(L329=30,"+10"," "))))))))))))))))</f>
        <v>+2</v>
      </c>
      <c r="N329" s="3" t="n">
        <v>11</v>
      </c>
      <c r="O329" s="1" t="str">
        <f aca="false">IF(N329=1,"-5",IF(OR(N329=2,N329=3),"-4",IF(OR(N329=4,N329=5),"-3",IF(OR(N329=6,N329=7),"-2",IF(OR(N329=8,N329=9),"-1",IF(OR(N329=10,N329=11),"0",IF(OR(N329=12,N329=13),"+1",IF(OR(N329=14,N329=15),"+2",IF(OR(N329=16,N329=17),"+3",IF(OR(N329=18,N329=19),"+4",IF(OR(N329=20,N329=21),"+5",IF(OR(N329=22,N329=23),"+6",IF(OR(N329=24,N329=25),"+7",IF(OR(N329=26,N329=27),"+8",IF(OR(N329=28,N329=29),"+9",IF(N329=30,"+10"," "))))))))))))))))</f>
        <v>0</v>
      </c>
      <c r="P329" s="3" t="n">
        <v>17</v>
      </c>
      <c r="Q329" s="1" t="str">
        <f aca="false">IF(P329=1,"-5",IF(OR(P329=2,P329=3),"-4",IF(OR(P329=4,P329=5),"-3",IF(OR(P329=6,P329=7),"-2",IF(OR(P329=8,P329=9),"-1",IF(OR(P329=10,P329=11),"0",IF(OR(P329=12,P329=13),"+1",IF(OR(P329=14,P329=15),"+2",IF(OR(P329=16,P329=17),"+3",IF(OR(P329=18,P329=19),"+4",IF(OR(P329=20,P329=21),"+5",IF(OR(P329=22,P329=23),"+6",IF(OR(P329=24,P329=25),"+7",IF(OR(P329=26,P329=27),"+8",IF(OR(P329=28,P329=29),"+9",IF(P329=30,"+10"," "))))))))))))))))</f>
        <v>+3</v>
      </c>
      <c r="R329" s="3" t="n">
        <v>12</v>
      </c>
      <c r="S329" s="1" t="str">
        <f aca="false">IF(R329=1,"-5",IF(OR(R329=2,R329=3),"-4",IF(OR(R329=4,R329=5),"-3",IF(OR(R329=6,R329=7),"-2",IF(OR(R329=8,R329=9),"-1",IF(OR(R329=10,R329=11),"0",IF(OR(R329=12,R329=13),"+1",IF(OR(R329=14,R329=15),"+2",IF(OR(R329=16,R329=17),"+3",IF(OR(R329=18,R329=19),"+4",IF(OR(R329=20,R329=21),"+5",IF(OR(R329=22,R329=23),"+6",IF(OR(R329=24,R329=25),"+7",IF(OR(R329=26,R329=27),"+8",IF(OR(R329=28,R329=29),"+9",IF(R329=30,"+10"," "))))))))))))))))</f>
        <v>+1</v>
      </c>
      <c r="T329" s="3" t="n">
        <v>11</v>
      </c>
      <c r="U329" s="1" t="str">
        <f aca="false">IF(T329=1,"-5",IF(OR(T329=2,T329=3),"-4",IF(OR(T329=4,T329=5),"-3",IF(OR(T329=6,T329=7),"-2",IF(OR(T329=8,T329=9),"-1",IF(OR(T329=10,T329=11),"0",IF(OR(T329=12,T329=13),"+1",IF(OR(T329=14,T329=15),"+2",IF(OR(T329=16,T329=17),"+3",IF(OR(T329=18,T329=19),"+4",IF(OR(T329=20,T329=21),"+5",IF(OR(T329=22,T329=23),"+6",IF(OR(T329=24,T329=25),"+7",IF(OR(T329=26,T329=27),"+8",IF(OR(T329=28,T329=29),"+9",IF(T329=30,"+10"," "))))))))))))))))</f>
        <v>0</v>
      </c>
      <c r="V329" s="3" t="s">
        <v>1174</v>
      </c>
      <c r="W329" s="3" t="s">
        <v>44</v>
      </c>
      <c r="X329" s="11" t="s">
        <v>1673</v>
      </c>
      <c r="Y329" s="11" t="s">
        <v>1674</v>
      </c>
      <c r="Z329" s="11" t="s">
        <v>37</v>
      </c>
      <c r="AA329" s="12" t="s">
        <v>37</v>
      </c>
    </row>
    <row r="330" customFormat="false" ht="16.4" hidden="false" customHeight="false" outlineLevel="0" collapsed="false">
      <c r="A330" s="15" t="s">
        <v>1675</v>
      </c>
      <c r="B330" s="3" t="s">
        <v>1676</v>
      </c>
      <c r="C330" s="3" t="s">
        <v>590</v>
      </c>
      <c r="D330" s="16" t="n">
        <v>0.25</v>
      </c>
      <c r="E330" s="3" t="n">
        <f aca="false">VLOOKUP(D330,'[1]REF Tables'!$A$2:$B$40,2)</f>
        <v>50</v>
      </c>
      <c r="F330" s="3" t="s">
        <v>30</v>
      </c>
      <c r="G330" s="3" t="n">
        <v>13</v>
      </c>
      <c r="H330" s="3" t="s">
        <v>1677</v>
      </c>
      <c r="I330" s="3" t="s">
        <v>42</v>
      </c>
      <c r="J330" s="3" t="n">
        <v>10</v>
      </c>
      <c r="K330" s="1" t="str">
        <f aca="false">IF(J330=1,"-5",IF(OR(J330=2,J330=3),"-4",IF(OR(J330=4,J330=5),"-3",IF(OR(J330=6,J330=7),"-2",IF(OR(J330=8,J330=9),"-1",IF(OR(J330=10,J330=11),"0",IF(OR(J330=12,J330=13),"+1",IF(OR(J330=14,J330=15),"+2",IF(OR(J330=16,J330=17),"+3",IF(OR(J330=18,J330=19),"+4",IF(OR(J330=20,J330=21),"+5",IF(OR(J330=22,J330=23),"+6",IF(OR(J330=24,J330=25),"+7",IF(OR(J330=26,J330=27),"+8",IF(OR(J330=28,J330=29),"+9",IF(J330=30,"+10"," "))))))))))))))))</f>
        <v>0</v>
      </c>
      <c r="L330" s="3" t="n">
        <v>16</v>
      </c>
      <c r="M330" s="1" t="str">
        <f aca="false">IF(L330=1,"-5",IF(OR(L330=2,L330=3),"-4",IF(OR(L330=4,L330=5),"-3",IF(OR(L330=6,L330=7),"-2",IF(OR(L330=8,L330=9),"-1",IF(OR(L330=10,L330=11),"0",IF(OR(L330=12,L330=13),"+1",IF(OR(L330=14,L330=15),"+2",IF(OR(L330=16,L330=17),"+3",IF(OR(L330=18,L330=19),"+4",IF(OR(L330=20,L330=21),"+5",IF(OR(L330=22,L330=23),"+6",IF(OR(L330=24,L330=25),"+7",IF(OR(L330=26,L330=27),"+8",IF(OR(L330=28,L330=29),"+9",IF(L330=30,"+10"," "))))))))))))))))</f>
        <v>+3</v>
      </c>
      <c r="N330" s="3" t="n">
        <v>10</v>
      </c>
      <c r="O330" s="1" t="str">
        <f aca="false">IF(N330=1,"-5",IF(OR(N330=2,N330=3),"-4",IF(OR(N330=4,N330=5),"-3",IF(OR(N330=6,N330=7),"-2",IF(OR(N330=8,N330=9),"-1",IF(OR(N330=10,N330=11),"0",IF(OR(N330=12,N330=13),"+1",IF(OR(N330=14,N330=15),"+2",IF(OR(N330=16,N330=17),"+3",IF(OR(N330=18,N330=19),"+4",IF(OR(N330=20,N330=21),"+5",IF(OR(N330=22,N330=23),"+6",IF(OR(N330=24,N330=25),"+7",IF(OR(N330=26,N330=27),"+8",IF(OR(N330=28,N330=29),"+9",IF(N330=30,"+10"," "))))))))))))))))</f>
        <v>0</v>
      </c>
      <c r="P330" s="3" t="n">
        <v>11</v>
      </c>
      <c r="Q330" s="1" t="str">
        <f aca="false">IF(P330=1,"-5",IF(OR(P330=2,P330=3),"-4",IF(OR(P330=4,P330=5),"-3",IF(OR(P330=6,P330=7),"-2",IF(OR(P330=8,P330=9),"-1",IF(OR(P330=10,P330=11),"0",IF(OR(P330=12,P330=13),"+1",IF(OR(P330=14,P330=15),"+2",IF(OR(P330=16,P330=17),"+3",IF(OR(P330=18,P330=19),"+4",IF(OR(P330=20,P330=21),"+5",IF(OR(P330=22,P330=23),"+6",IF(OR(P330=24,P330=25),"+7",IF(OR(P330=26,P330=27),"+8",IF(OR(P330=28,P330=29),"+9",IF(P330=30,"+10"," "))))))))))))))))</f>
        <v>0</v>
      </c>
      <c r="R330" s="3" t="n">
        <v>10</v>
      </c>
      <c r="S330" s="1" t="str">
        <f aca="false">IF(R330=1,"-5",IF(OR(R330=2,R330=3),"-4",IF(OR(R330=4,R330=5),"-3",IF(OR(R330=6,R330=7),"-2",IF(OR(R330=8,R330=9),"-1",IF(OR(R330=10,R330=11),"0",IF(OR(R330=12,R330=13),"+1",IF(OR(R330=14,R330=15),"+2",IF(OR(R330=16,R330=17),"+3",IF(OR(R330=18,R330=19),"+4",IF(OR(R330=20,R330=21),"+5",IF(OR(R330=22,R330=23),"+6",IF(OR(R330=24,R330=25),"+7",IF(OR(R330=26,R330=27),"+8",IF(OR(R330=28,R330=29),"+9",IF(R330=30,"+10"," "))))))))))))))))</f>
        <v>0</v>
      </c>
      <c r="T330" s="3" t="n">
        <v>10</v>
      </c>
      <c r="U330" s="1" t="str">
        <f aca="false">IF(T330=1,"-5",IF(OR(T330=2,T330=3),"-4",IF(OR(T330=4,T330=5),"-3",IF(OR(T330=6,T330=7),"-2",IF(OR(T330=8,T330=9),"-1",IF(OR(T330=10,T330=11),"0",IF(OR(T330=12,T330=13),"+1",IF(OR(T330=14,T330=15),"+2",IF(OR(T330=16,T330=17),"+3",IF(OR(T330=18,T330=19),"+4",IF(OR(T330=20,T330=21),"+5",IF(OR(T330=22,T330=23),"+6",IF(OR(T330=24,T330=25),"+7",IF(OR(T330=26,T330=27),"+8",IF(OR(T330=28,T330=29),"+9",IF(T330=30,"+10"," "))))))))))))))))</f>
        <v>0</v>
      </c>
      <c r="V330" s="3" t="s">
        <v>1678</v>
      </c>
      <c r="W330" s="3" t="s">
        <v>1679</v>
      </c>
      <c r="X330" s="11" t="s">
        <v>1680</v>
      </c>
      <c r="Y330" s="11" t="s">
        <v>1681</v>
      </c>
      <c r="Z330" s="11" t="s">
        <v>37</v>
      </c>
      <c r="AA330" s="12" t="s">
        <v>37</v>
      </c>
    </row>
    <row r="331" customFormat="false" ht="16.4" hidden="false" customHeight="false" outlineLevel="0" collapsed="false">
      <c r="A331" s="15" t="s">
        <v>1682</v>
      </c>
      <c r="B331" s="3" t="s">
        <v>548</v>
      </c>
      <c r="C331" s="3" t="s">
        <v>502</v>
      </c>
      <c r="D331" s="16" t="n">
        <v>12</v>
      </c>
      <c r="E331" s="6" t="n">
        <f aca="false">VLOOKUP(D331,'[1]REF Tables'!$A$2:$B$40,2)</f>
        <v>8400</v>
      </c>
      <c r="F331" s="3" t="s">
        <v>121</v>
      </c>
      <c r="G331" s="3" t="n">
        <v>20</v>
      </c>
      <c r="H331" s="3" t="s">
        <v>1683</v>
      </c>
      <c r="I331" s="3" t="s">
        <v>1684</v>
      </c>
      <c r="J331" s="3" t="n">
        <v>21</v>
      </c>
      <c r="K331" s="1" t="str">
        <f aca="false">IF(J331=1,"-5",IF(OR(J331=2,J331=3),"-4",IF(OR(J331=4,J331=5),"-3",IF(OR(J331=6,J331=7),"-2",IF(OR(J331=8,J331=9),"-1",IF(OR(J331=10,J331=11),"0",IF(OR(J331=12,J331=13),"+1",IF(OR(J331=14,J331=15),"+2",IF(OR(J331=16,J331=17),"+3",IF(OR(J331=18,J331=19),"+4",IF(OR(J331=20,J331=21),"+5",IF(OR(J331=22,J331=23),"+6",IF(OR(J331=24,J331=25),"+7",IF(OR(J331=26,J331=27),"+8",IF(OR(J331=28,J331=29),"+9",IF(J331=30,"+10"," "))))))))))))))))</f>
        <v>+5</v>
      </c>
      <c r="L331" s="3" t="n">
        <v>16</v>
      </c>
      <c r="M331" s="1" t="str">
        <f aca="false">IF(L331=1,"-5",IF(OR(L331=2,L331=3),"-4",IF(OR(L331=4,L331=5),"-3",IF(OR(L331=6,L331=7),"-2",IF(OR(L331=8,L331=9),"-1",IF(OR(L331=10,L331=11),"0",IF(OR(L331=12,L331=13),"+1",IF(OR(L331=14,L331=15),"+2",IF(OR(L331=16,L331=17),"+3",IF(OR(L331=18,L331=19),"+4",IF(OR(L331=20,L331=21),"+5",IF(OR(L331=22,L331=23),"+6",IF(OR(L331=24,L331=25),"+7",IF(OR(L331=26,L331=27),"+8",IF(OR(L331=28,L331=29),"+9",IF(L331=30,"+10"," "))))))))))))))))</f>
        <v>+3</v>
      </c>
      <c r="N331" s="3" t="n">
        <v>16</v>
      </c>
      <c r="O331" s="1" t="str">
        <f aca="false">IF(N331=1,"-5",IF(OR(N331=2,N331=3),"-4",IF(OR(N331=4,N331=5),"-3",IF(OR(N331=6,N331=7),"-2",IF(OR(N331=8,N331=9),"-1",IF(OR(N331=10,N331=11),"0",IF(OR(N331=12,N331=13),"+1",IF(OR(N331=14,N331=15),"+2",IF(OR(N331=16,N331=17),"+3",IF(OR(N331=18,N331=19),"+4",IF(OR(N331=20,N331=21),"+5",IF(OR(N331=22,N331=23),"+6",IF(OR(N331=24,N331=25),"+7",IF(OR(N331=26,N331=27),"+8",IF(OR(N331=28,N331=29),"+9",IF(N331=30,"+10"," "))))))))))))))))</f>
        <v>+3</v>
      </c>
      <c r="P331" s="3" t="n">
        <v>19</v>
      </c>
      <c r="Q331" s="1" t="str">
        <f aca="false">IF(P331=1,"-5",IF(OR(P331=2,P331=3),"-4",IF(OR(P331=4,P331=5),"-3",IF(OR(P331=6,P331=7),"-2",IF(OR(P331=8,P331=9),"-1",IF(OR(P331=10,P331=11),"0",IF(OR(P331=12,P331=13),"+1",IF(OR(P331=14,P331=15),"+2",IF(OR(P331=16,P331=17),"+3",IF(OR(P331=18,P331=19),"+4",IF(OR(P331=20,P331=21),"+5",IF(OR(P331=22,P331=23),"+6",IF(OR(P331=24,P331=25),"+7",IF(OR(P331=26,P331=27),"+8",IF(OR(P331=28,P331=29),"+9",IF(P331=30,"+10"," "))))))))))))))))</f>
        <v>+4</v>
      </c>
      <c r="R331" s="3" t="n">
        <v>20</v>
      </c>
      <c r="S331" s="1" t="str">
        <f aca="false">IF(R331=1,"-5",IF(OR(R331=2,R331=3),"-4",IF(OR(R331=4,R331=5),"-3",IF(OR(R331=6,R331=7),"-2",IF(OR(R331=8,R331=9),"-1",IF(OR(R331=10,R331=11),"0",IF(OR(R331=12,R331=13),"+1",IF(OR(R331=14,R331=15),"+2",IF(OR(R331=16,R331=17),"+3",IF(OR(R331=18,R331=19),"+4",IF(OR(R331=20,R331=21),"+5",IF(OR(R331=22,R331=23),"+6",IF(OR(R331=24,R331=25),"+7",IF(OR(R331=26,R331=27),"+8",IF(OR(R331=28,R331=29),"+9",IF(R331=30,"+10"," "))))))))))))))))</f>
        <v>+5</v>
      </c>
      <c r="T331" s="3" t="n">
        <v>20</v>
      </c>
      <c r="U331" s="1" t="str">
        <f aca="false">IF(T331=1,"-5",IF(OR(T331=2,T331=3),"-4",IF(OR(T331=4,T331=5),"-3",IF(OR(T331=6,T331=7),"-2",IF(OR(T331=8,T331=9),"-1",IF(OR(T331=10,T331=11),"0",IF(OR(T331=12,T331=13),"+1",IF(OR(T331=14,T331=15),"+2",IF(OR(T331=16,T331=17),"+3",IF(OR(T331=18,T331=19),"+4",IF(OR(T331=20,T331=21),"+5",IF(OR(T331=22,T331=23),"+6",IF(OR(T331=24,T331=25),"+7",IF(OR(T331=26,T331=27),"+8",IF(OR(T331=28,T331=29),"+9",IF(T331=30,"+10"," "))))))))))))))))</f>
        <v>+5</v>
      </c>
      <c r="V331" s="3" t="s">
        <v>1685</v>
      </c>
      <c r="W331" s="3" t="s">
        <v>174</v>
      </c>
      <c r="X331" s="11" t="s">
        <v>1686</v>
      </c>
      <c r="Y331" s="11" t="s">
        <v>1687</v>
      </c>
      <c r="Z331" s="11" t="s">
        <v>37</v>
      </c>
      <c r="AA331" s="11" t="s">
        <v>1688</v>
      </c>
    </row>
    <row r="332" customFormat="false" ht="16.4" hidden="false" customHeight="false" outlineLevel="0" collapsed="false">
      <c r="A332" s="15" t="s">
        <v>1689</v>
      </c>
      <c r="B332" s="3" t="s">
        <v>1690</v>
      </c>
      <c r="C332" s="3" t="s">
        <v>49</v>
      </c>
      <c r="D332" s="16" t="n">
        <v>0.125</v>
      </c>
      <c r="E332" s="3" t="n">
        <f aca="false">VLOOKUP(D332,'[1]REF Tables'!$A$2:$B$40,2)</f>
        <v>25</v>
      </c>
      <c r="F332" s="3" t="s">
        <v>165</v>
      </c>
      <c r="G332" s="3" t="n">
        <v>12</v>
      </c>
      <c r="H332" s="3" t="s">
        <v>1691</v>
      </c>
      <c r="I332" s="3" t="s">
        <v>42</v>
      </c>
      <c r="J332" s="3" t="n">
        <v>7</v>
      </c>
      <c r="K332" s="1" t="str">
        <f aca="false">IF(J332=1,"-5",IF(OR(J332=2,J332=3),"-4",IF(OR(J332=4,J332=5),"-3",IF(OR(J332=6,J332=7),"-2",IF(OR(J332=8,J332=9),"-1",IF(OR(J332=10,J332=11),"0",IF(OR(J332=12,J332=13),"+1",IF(OR(J332=14,J332=15),"+2",IF(OR(J332=16,J332=17),"+3",IF(OR(J332=18,J332=19),"+4",IF(OR(J332=20,J332=21),"+5",IF(OR(J332=22,J332=23),"+6",IF(OR(J332=24,J332=25),"+7",IF(OR(J332=26,J332=27),"+8",IF(OR(J332=28,J332=29),"+9",IF(J332=30,"+10"," "))))))))))))))))</f>
        <v>-2</v>
      </c>
      <c r="L332" s="3" t="n">
        <v>15</v>
      </c>
      <c r="M332" s="1" t="str">
        <f aca="false">IF(L332=1,"-5",IF(OR(L332=2,L332=3),"-4",IF(OR(L332=4,L332=5),"-3",IF(OR(L332=6,L332=7),"-2",IF(OR(L332=8,L332=9),"-1",IF(OR(L332=10,L332=11),"0",IF(OR(L332=12,L332=13),"+1",IF(OR(L332=14,L332=15),"+2",IF(OR(L332=16,L332=17),"+3",IF(OR(L332=18,L332=19),"+4",IF(OR(L332=20,L332=21),"+5",IF(OR(L332=22,L332=23),"+6",IF(OR(L332=24,L332=25),"+7",IF(OR(L332=26,L332=27),"+8",IF(OR(L332=28,L332=29),"+9",IF(L332=30,"+10"," "))))))))))))))))</f>
        <v>+2</v>
      </c>
      <c r="N332" s="3" t="n">
        <v>9</v>
      </c>
      <c r="O332" s="1" t="str">
        <f aca="false">IF(N332=1,"-5",IF(OR(N332=2,N332=3),"-4",IF(OR(N332=4,N332=5),"-3",IF(OR(N332=6,N332=7),"-2",IF(OR(N332=8,N332=9),"-1",IF(OR(N332=10,N332=11),"0",IF(OR(N332=12,N332=13),"+1",IF(OR(N332=14,N332=15),"+2",IF(OR(N332=16,N332=17),"+3",IF(OR(N332=18,N332=19),"+4",IF(OR(N332=20,N332=21),"+5",IF(OR(N332=22,N332=23),"+6",IF(OR(N332=24,N332=25),"+7",IF(OR(N332=26,N332=27),"+8",IF(OR(N332=28,N332=29),"+9",IF(N332=30,"+10"," "))))))))))))))))</f>
        <v>-1</v>
      </c>
      <c r="P332" s="3" t="n">
        <v>8</v>
      </c>
      <c r="Q332" s="1" t="str">
        <f aca="false">IF(P332=1,"-5",IF(OR(P332=2,P332=3),"-4",IF(OR(P332=4,P332=5),"-3",IF(OR(P332=6,P332=7),"-2",IF(OR(P332=8,P332=9),"-1",IF(OR(P332=10,P332=11),"0",IF(OR(P332=12,P332=13),"+1",IF(OR(P332=14,P332=15),"+2",IF(OR(P332=16,P332=17),"+3",IF(OR(P332=18,P332=19),"+4",IF(OR(P332=20,P332=21),"+5",IF(OR(P332=22,P332=23),"+6",IF(OR(P332=24,P332=25),"+7",IF(OR(P332=26,P332=27),"+8",IF(OR(P332=28,P332=29),"+9",IF(P332=30,"+10"," "))))))))))))))))</f>
        <v>-1</v>
      </c>
      <c r="R332" s="3" t="n">
        <v>7</v>
      </c>
      <c r="S332" s="1" t="str">
        <f aca="false">IF(R332=1,"-5",IF(OR(R332=2,R332=3),"-4",IF(OR(R332=4,R332=5),"-3",IF(OR(R332=6,R332=7),"-2",IF(OR(R332=8,R332=9),"-1",IF(OR(R332=10,R332=11),"0",IF(OR(R332=12,R332=13),"+1",IF(OR(R332=14,R332=15),"+2",IF(OR(R332=16,R332=17),"+3",IF(OR(R332=18,R332=19),"+4",IF(OR(R332=20,R332=21),"+5",IF(OR(R332=22,R332=23),"+6",IF(OR(R332=24,R332=25),"+7",IF(OR(R332=26,R332=27),"+8",IF(OR(R332=28,R332=29),"+9",IF(R332=30,"+10"," "))))))))))))))))</f>
        <v>-2</v>
      </c>
      <c r="T332" s="3" t="n">
        <v>8</v>
      </c>
      <c r="U332" s="1" t="str">
        <f aca="false">IF(T332=1,"-5",IF(OR(T332=2,T332=3),"-4",IF(OR(T332=4,T332=5),"-3",IF(OR(T332=6,T332=7),"-2",IF(OR(T332=8,T332=9),"-1",IF(OR(T332=10,T332=11),"0",IF(OR(T332=12,T332=13),"+1",IF(OR(T332=14,T332=15),"+2",IF(OR(T332=16,T332=17),"+3",IF(OR(T332=18,T332=19),"+4",IF(OR(T332=20,T332=21),"+5",IF(OR(T332=22,T332=23),"+6",IF(OR(T332=24,T332=25),"+7",IF(OR(T332=26,T332=27),"+8",IF(OR(T332=28,T332=29),"+9",IF(T332=30,"+10"," "))))))))))))))))</f>
        <v>-1</v>
      </c>
      <c r="V332" s="3" t="s">
        <v>37</v>
      </c>
      <c r="W332" s="3" t="s">
        <v>643</v>
      </c>
      <c r="X332" s="11" t="s">
        <v>1692</v>
      </c>
      <c r="Y332" s="11" t="s">
        <v>1693</v>
      </c>
      <c r="Z332" s="11" t="s">
        <v>37</v>
      </c>
      <c r="AA332" s="12" t="s">
        <v>37</v>
      </c>
    </row>
    <row r="333" customFormat="false" ht="16.4" hidden="false" customHeight="false" outlineLevel="0" collapsed="false">
      <c r="A333" s="15" t="s">
        <v>1694</v>
      </c>
      <c r="B333" s="3" t="s">
        <v>1690</v>
      </c>
      <c r="C333" s="3" t="s">
        <v>49</v>
      </c>
      <c r="D333" s="16" t="n">
        <v>0.25</v>
      </c>
      <c r="E333" s="3" t="n">
        <f aca="false">VLOOKUP(D333,'[1]REF Tables'!$A$2:$B$40,2)</f>
        <v>50</v>
      </c>
      <c r="F333" s="3" t="s">
        <v>165</v>
      </c>
      <c r="G333" s="3" t="n">
        <v>13</v>
      </c>
      <c r="H333" s="3" t="s">
        <v>1695</v>
      </c>
      <c r="I333" s="3" t="s">
        <v>665</v>
      </c>
      <c r="J333" s="3" t="n">
        <v>7</v>
      </c>
      <c r="K333" s="1" t="str">
        <f aca="false">IF(J333=1,"-5",IF(OR(J333=2,J333=3),"-4",IF(OR(J333=4,J333=5),"-3",IF(OR(J333=6,J333=7),"-2",IF(OR(J333=8,J333=9),"-1",IF(OR(J333=10,J333=11),"0",IF(OR(J333=12,J333=13),"+1",IF(OR(J333=14,J333=15),"+2",IF(OR(J333=16,J333=17),"+3",IF(OR(J333=18,J333=19),"+4",IF(OR(J333=20,J333=21),"+5",IF(OR(J333=22,J333=23),"+6",IF(OR(J333=24,J333=25),"+7",IF(OR(J333=26,J333=27),"+8",IF(OR(J333=28,J333=29),"+9",IF(J333=30,"+10"," "))))))))))))))))</f>
        <v>-2</v>
      </c>
      <c r="L333" s="3" t="n">
        <v>16</v>
      </c>
      <c r="M333" s="1" t="str">
        <f aca="false">IF(L333=1,"-5",IF(OR(L333=2,L333=3),"-4",IF(OR(L333=4,L333=5),"-3",IF(OR(L333=6,L333=7),"-2",IF(OR(L333=8,L333=9),"-1",IF(OR(L333=10,L333=11),"0",IF(OR(L333=12,L333=13),"+1",IF(OR(L333=14,L333=15),"+2",IF(OR(L333=16,L333=17),"+3",IF(OR(L333=18,L333=19),"+4",IF(OR(L333=20,L333=21),"+5",IF(OR(L333=22,L333=23),"+6",IF(OR(L333=24,L333=25),"+7",IF(OR(L333=26,L333=27),"+8",IF(OR(L333=28,L333=29),"+9",IF(L333=30,"+10"," "))))))))))))))))</f>
        <v>+3</v>
      </c>
      <c r="N333" s="3" t="n">
        <v>9</v>
      </c>
      <c r="O333" s="1" t="str">
        <f aca="false">IF(N333=1,"-5",IF(OR(N333=2,N333=3),"-4",IF(OR(N333=4,N333=5),"-3",IF(OR(N333=6,N333=7),"-2",IF(OR(N333=8,N333=9),"-1",IF(OR(N333=10,N333=11),"0",IF(OR(N333=12,N333=13),"+1",IF(OR(N333=14,N333=15),"+2",IF(OR(N333=16,N333=17),"+3",IF(OR(N333=18,N333=19),"+4",IF(OR(N333=20,N333=21),"+5",IF(OR(N333=22,N333=23),"+6",IF(OR(N333=24,N333=25),"+7",IF(OR(N333=26,N333=27),"+8",IF(OR(N333=28,N333=29),"+9",IF(N333=30,"+10"," "))))))))))))))))</f>
        <v>-1</v>
      </c>
      <c r="P333" s="3" t="n">
        <v>8</v>
      </c>
      <c r="Q333" s="1" t="str">
        <f aca="false">IF(P333=1,"-5",IF(OR(P333=2,P333=3),"-4",IF(OR(P333=4,P333=5),"-3",IF(OR(P333=6,P333=7),"-2",IF(OR(P333=8,P333=9),"-1",IF(OR(P333=10,P333=11),"0",IF(OR(P333=12,P333=13),"+1",IF(OR(P333=14,P333=15),"+2",IF(OR(P333=16,P333=17),"+3",IF(OR(P333=18,P333=19),"+4",IF(OR(P333=20,P333=21),"+5",IF(OR(P333=22,P333=23),"+6",IF(OR(P333=24,P333=25),"+7",IF(OR(P333=26,P333=27),"+8",IF(OR(P333=28,P333=29),"+9",IF(P333=30,"+10"," "))))))))))))))))</f>
        <v>-1</v>
      </c>
      <c r="R333" s="3" t="n">
        <v>7</v>
      </c>
      <c r="S333" s="1" t="str">
        <f aca="false">IF(R333=1,"-5",IF(OR(R333=2,R333=3),"-4",IF(OR(R333=4,R333=5),"-3",IF(OR(R333=6,R333=7),"-2",IF(OR(R333=8,R333=9),"-1",IF(OR(R333=10,R333=11),"0",IF(OR(R333=12,R333=13),"+1",IF(OR(R333=14,R333=15),"+2",IF(OR(R333=16,R333=17),"+3",IF(OR(R333=18,R333=19),"+4",IF(OR(R333=20,R333=21),"+5",IF(OR(R333=22,R333=23),"+6",IF(OR(R333=24,R333=25),"+7",IF(OR(R333=26,R333=27),"+8",IF(OR(R333=28,R333=29),"+9",IF(R333=30,"+10"," "))))))))))))))))</f>
        <v>-2</v>
      </c>
      <c r="T333" s="3" t="n">
        <v>8</v>
      </c>
      <c r="U333" s="1" t="str">
        <f aca="false">IF(T333=1,"-5",IF(OR(T333=2,T333=3),"-4",IF(OR(T333=4,T333=5),"-3",IF(OR(T333=6,T333=7),"-2",IF(OR(T333=8,T333=9),"-1",IF(OR(T333=10,T333=11),"0",IF(OR(T333=12,T333=13),"+1",IF(OR(T333=14,T333=15),"+2",IF(OR(T333=16,T333=17),"+3",IF(OR(T333=18,T333=19),"+4",IF(OR(T333=20,T333=21),"+5",IF(OR(T333=22,T333=23),"+6",IF(OR(T333=24,T333=25),"+7",IF(OR(T333=26,T333=27),"+8",IF(OR(T333=28,T333=29),"+9",IF(T333=30,"+10"," "))))))))))))))))</f>
        <v>-1</v>
      </c>
      <c r="V333" s="3" t="s">
        <v>37</v>
      </c>
      <c r="W333" s="3" t="s">
        <v>643</v>
      </c>
      <c r="X333" s="11" t="s">
        <v>1692</v>
      </c>
      <c r="Y333" s="11" t="s">
        <v>1696</v>
      </c>
      <c r="Z333" s="11" t="s">
        <v>37</v>
      </c>
      <c r="AA333" s="12" t="s">
        <v>37</v>
      </c>
    </row>
    <row r="334" customFormat="false" ht="16.4" hidden="false" customHeight="false" outlineLevel="0" collapsed="false">
      <c r="A334" s="15" t="s">
        <v>1697</v>
      </c>
      <c r="B334" s="3" t="s">
        <v>1690</v>
      </c>
      <c r="C334" s="3" t="s">
        <v>49</v>
      </c>
      <c r="D334" s="16" t="n">
        <v>1</v>
      </c>
      <c r="E334" s="3" t="n">
        <f aca="false">VLOOKUP(D334,'[1]REF Tables'!$A$2:$B$40,2)</f>
        <v>200</v>
      </c>
      <c r="F334" s="3" t="s">
        <v>165</v>
      </c>
      <c r="G334" s="3" t="n">
        <v>15</v>
      </c>
      <c r="H334" s="3" t="s">
        <v>1698</v>
      </c>
      <c r="I334" s="3" t="s">
        <v>160</v>
      </c>
      <c r="J334" s="3" t="n">
        <v>12</v>
      </c>
      <c r="K334" s="1" t="str">
        <f aca="false">IF(J334=1,"-5",IF(OR(J334=2,J334=3),"-4",IF(OR(J334=4,J334=5),"-3",IF(OR(J334=6,J334=7),"-2",IF(OR(J334=8,J334=9),"-1",IF(OR(J334=10,J334=11),"0",IF(OR(J334=12,J334=13),"+1",IF(OR(J334=14,J334=15),"+2",IF(OR(J334=16,J334=17),"+3",IF(OR(J334=18,J334=19),"+4",IF(OR(J334=20,J334=21),"+5",IF(OR(J334=22,J334=23),"+6",IF(OR(J334=24,J334=25),"+7",IF(OR(J334=26,J334=27),"+8",IF(OR(J334=28,J334=29),"+9",IF(J334=30,"+10"," "))))))))))))))))</f>
        <v>+1</v>
      </c>
      <c r="L334" s="3" t="n">
        <v>15</v>
      </c>
      <c r="M334" s="1" t="str">
        <f aca="false">IF(L334=1,"-5",IF(OR(L334=2,L334=3),"-4",IF(OR(L334=4,L334=5),"-3",IF(OR(L334=6,L334=7),"-2",IF(OR(L334=8,L334=9),"-1",IF(OR(L334=10,L334=11),"0",IF(OR(L334=12,L334=13),"+1",IF(OR(L334=14,L334=15),"+2",IF(OR(L334=16,L334=17),"+3",IF(OR(L334=18,L334=19),"+4",IF(OR(L334=20,L334=21),"+5",IF(OR(L334=22,L334=23),"+6",IF(OR(L334=24,L334=25),"+7",IF(OR(L334=26,L334=27),"+8",IF(OR(L334=28,L334=29),"+9",IF(L334=30,"+10"," "))))))))))))))))</f>
        <v>+2</v>
      </c>
      <c r="N334" s="3" t="n">
        <v>14</v>
      </c>
      <c r="O334" s="1" t="str">
        <f aca="false">IF(N334=1,"-5",IF(OR(N334=2,N334=3),"-4",IF(OR(N334=4,N334=5),"-3",IF(OR(N334=6,N334=7),"-2",IF(OR(N334=8,N334=9),"-1",IF(OR(N334=10,N334=11),"0",IF(OR(N334=12,N334=13),"+1",IF(OR(N334=14,N334=15),"+2",IF(OR(N334=16,N334=17),"+3",IF(OR(N334=18,N334=19),"+4",IF(OR(N334=20,N334=21),"+5",IF(OR(N334=22,N334=23),"+6",IF(OR(N334=24,N334=25),"+7",IF(OR(N334=26,N334=27),"+8",IF(OR(N334=28,N334=29),"+9",IF(N334=30,"+10"," "))))))))))))))))</f>
        <v>+2</v>
      </c>
      <c r="P334" s="3" t="n">
        <v>8</v>
      </c>
      <c r="Q334" s="1" t="str">
        <f aca="false">IF(P334=1,"-5",IF(OR(P334=2,P334=3),"-4",IF(OR(P334=4,P334=5),"-3",IF(OR(P334=6,P334=7),"-2",IF(OR(P334=8,P334=9),"-1",IF(OR(P334=10,P334=11),"0",IF(OR(P334=12,P334=13),"+1",IF(OR(P334=14,P334=15),"+2",IF(OR(P334=16,P334=17),"+3",IF(OR(P334=18,P334=19),"+4",IF(OR(P334=20,P334=21),"+5",IF(OR(P334=22,P334=23),"+6",IF(OR(P334=24,P334=25),"+7",IF(OR(P334=26,P334=27),"+8",IF(OR(P334=28,P334=29),"+9",IF(P334=30,"+10"," "))))))))))))))))</f>
        <v>-1</v>
      </c>
      <c r="R334" s="3" t="n">
        <v>9</v>
      </c>
      <c r="S334" s="1" t="str">
        <f aca="false">IF(R334=1,"-5",IF(OR(R334=2,R334=3),"-4",IF(OR(R334=4,R334=5),"-3",IF(OR(R334=6,R334=7),"-2",IF(OR(R334=8,R334=9),"-1",IF(OR(R334=10,R334=11),"0",IF(OR(R334=12,R334=13),"+1",IF(OR(R334=14,R334=15),"+2",IF(OR(R334=16,R334=17),"+3",IF(OR(R334=18,R334=19),"+4",IF(OR(R334=20,R334=21),"+5",IF(OR(R334=22,R334=23),"+6",IF(OR(R334=24,R334=25),"+7",IF(OR(R334=26,R334=27),"+8",IF(OR(R334=28,R334=29),"+9",IF(R334=30,"+10"," "))))))))))))))))</f>
        <v>-1</v>
      </c>
      <c r="T334" s="3" t="n">
        <v>10</v>
      </c>
      <c r="U334" s="1" t="str">
        <f aca="false">IF(T334=1,"-5",IF(OR(T334=2,T334=3),"-4",IF(OR(T334=4,T334=5),"-3",IF(OR(T334=6,T334=7),"-2",IF(OR(T334=8,T334=9),"-1",IF(OR(T334=10,T334=11),"0",IF(OR(T334=12,T334=13),"+1",IF(OR(T334=14,T334=15),"+2",IF(OR(T334=16,T334=17),"+3",IF(OR(T334=18,T334=19),"+4",IF(OR(T334=20,T334=21),"+5",IF(OR(T334=22,T334=23),"+6",IF(OR(T334=24,T334=25),"+7",IF(OR(T334=26,T334=27),"+8",IF(OR(T334=28,T334=29),"+9",IF(T334=30,"+10"," "))))))))))))))))</f>
        <v>0</v>
      </c>
      <c r="V334" s="3" t="s">
        <v>1491</v>
      </c>
      <c r="W334" s="3" t="s">
        <v>643</v>
      </c>
      <c r="X334" s="11" t="s">
        <v>1699</v>
      </c>
      <c r="Y334" s="11" t="s">
        <v>1700</v>
      </c>
      <c r="Z334" s="11" t="s">
        <v>37</v>
      </c>
      <c r="AA334" s="12" t="s">
        <v>37</v>
      </c>
    </row>
    <row r="335" customFormat="false" ht="16.4" hidden="false" customHeight="false" outlineLevel="0" collapsed="false">
      <c r="A335" s="15" t="s">
        <v>1701</v>
      </c>
      <c r="B335" s="3" t="s">
        <v>1690</v>
      </c>
      <c r="C335" s="3" t="s">
        <v>49</v>
      </c>
      <c r="D335" s="16" t="n">
        <v>1</v>
      </c>
      <c r="E335" s="3" t="n">
        <f aca="false">VLOOKUP(D335,'[1]REF Tables'!$A$2:$B$40,2)</f>
        <v>200</v>
      </c>
      <c r="F335" s="3" t="s">
        <v>165</v>
      </c>
      <c r="G335" s="3" t="n">
        <v>15</v>
      </c>
      <c r="H335" s="3" t="s">
        <v>1551</v>
      </c>
      <c r="I335" s="3" t="s">
        <v>42</v>
      </c>
      <c r="J335" s="3" t="n">
        <v>7</v>
      </c>
      <c r="K335" s="1" t="str">
        <f aca="false">IF(J335=1,"-5",IF(OR(J335=2,J335=3),"-4",IF(OR(J335=4,J335=5),"-3",IF(OR(J335=6,J335=7),"-2",IF(OR(J335=8,J335=9),"-1",IF(OR(J335=10,J335=11),"0",IF(OR(J335=12,J335=13),"+1",IF(OR(J335=14,J335=15),"+2",IF(OR(J335=16,J335=17),"+3",IF(OR(J335=18,J335=19),"+4",IF(OR(J335=20,J335=21),"+5",IF(OR(J335=22,J335=23),"+6",IF(OR(J335=24,J335=25),"+7",IF(OR(J335=26,J335=27),"+8",IF(OR(J335=28,J335=29),"+9",IF(J335=30,"+10"," "))))))))))))))))</f>
        <v>-2</v>
      </c>
      <c r="L335" s="3" t="n">
        <v>15</v>
      </c>
      <c r="M335" s="1" t="str">
        <f aca="false">IF(L335=1,"-5",IF(OR(L335=2,L335=3),"-4",IF(OR(L335=4,L335=5),"-3",IF(OR(L335=6,L335=7),"-2",IF(OR(L335=8,L335=9),"-1",IF(OR(L335=10,L335=11),"0",IF(OR(L335=12,L335=13),"+1",IF(OR(L335=14,L335=15),"+2",IF(OR(L335=16,L335=17),"+3",IF(OR(L335=18,L335=19),"+4",IF(OR(L335=20,L335=21),"+5",IF(OR(L335=22,L335=23),"+6",IF(OR(L335=24,L335=25),"+7",IF(OR(L335=26,L335=27),"+8",IF(OR(L335=28,L335=29),"+9",IF(L335=30,"+10"," "))))))))))))))))</f>
        <v>+2</v>
      </c>
      <c r="N335" s="3" t="n">
        <v>14</v>
      </c>
      <c r="O335" s="1" t="str">
        <f aca="false">IF(N335=1,"-5",IF(OR(N335=2,N335=3),"-4",IF(OR(N335=4,N335=5),"-3",IF(OR(N335=6,N335=7),"-2",IF(OR(N335=8,N335=9),"-1",IF(OR(N335=10,N335=11),"0",IF(OR(N335=12,N335=13),"+1",IF(OR(N335=14,N335=15),"+2",IF(OR(N335=16,N335=17),"+3",IF(OR(N335=18,N335=19),"+4",IF(OR(N335=20,N335=21),"+5",IF(OR(N335=22,N335=23),"+6",IF(OR(N335=24,N335=25),"+7",IF(OR(N335=26,N335=27),"+8",IF(OR(N335=28,N335=29),"+9",IF(N335=30,"+10"," "))))))))))))))))</f>
        <v>+2</v>
      </c>
      <c r="P335" s="3" t="n">
        <v>10</v>
      </c>
      <c r="Q335" s="1" t="str">
        <f aca="false">IF(P335=1,"-5",IF(OR(P335=2,P335=3),"-4",IF(OR(P335=4,P335=5),"-3",IF(OR(P335=6,P335=7),"-2",IF(OR(P335=8,P335=9),"-1",IF(OR(P335=10,P335=11),"0",IF(OR(P335=12,P335=13),"+1",IF(OR(P335=14,P335=15),"+2",IF(OR(P335=16,P335=17),"+3",IF(OR(P335=18,P335=19),"+4",IF(OR(P335=20,P335=21),"+5",IF(OR(P335=22,P335=23),"+6",IF(OR(P335=24,P335=25),"+7",IF(OR(P335=26,P335=27),"+8",IF(OR(P335=28,P335=29),"+9",IF(P335=30,"+10"," "))))))))))))))))</f>
        <v>0</v>
      </c>
      <c r="R335" s="3" t="n">
        <v>9</v>
      </c>
      <c r="S335" s="1" t="str">
        <f aca="false">IF(R335=1,"-5",IF(OR(R335=2,R335=3),"-4",IF(OR(R335=4,R335=5),"-3",IF(OR(R335=6,R335=7),"-2",IF(OR(R335=8,R335=9),"-1",IF(OR(R335=10,R335=11),"0",IF(OR(R335=12,R335=13),"+1",IF(OR(R335=14,R335=15),"+2",IF(OR(R335=16,R335=17),"+3",IF(OR(R335=18,R335=19),"+4",IF(OR(R335=20,R335=21),"+5",IF(OR(R335=22,R335=23),"+6",IF(OR(R335=24,R335=25),"+7",IF(OR(R335=26,R335=27),"+8",IF(OR(R335=28,R335=29),"+9",IF(R335=30,"+10"," "))))))))))))))))</f>
        <v>-1</v>
      </c>
      <c r="T335" s="3" t="n">
        <v>14</v>
      </c>
      <c r="U335" s="1" t="str">
        <f aca="false">IF(T335=1,"-5",IF(OR(T335=2,T335=3),"-4",IF(OR(T335=4,T335=5),"-3",IF(OR(T335=6,T335=7),"-2",IF(OR(T335=8,T335=9),"-1",IF(OR(T335=10,T335=11),"0",IF(OR(T335=12,T335=13),"+1",IF(OR(T335=14,T335=15),"+2",IF(OR(T335=16,T335=17),"+3",IF(OR(T335=18,T335=19),"+4",IF(OR(T335=20,T335=21),"+5",IF(OR(T335=22,T335=23),"+6",IF(OR(T335=24,T335=25),"+7",IF(OR(T335=26,T335=27),"+8",IF(OR(T335=28,T335=29),"+9",IF(T335=30,"+10"," "))))))))))))))))</f>
        <v>+2</v>
      </c>
      <c r="V335" s="3" t="s">
        <v>1702</v>
      </c>
      <c r="W335" s="3" t="s">
        <v>643</v>
      </c>
      <c r="X335" s="11" t="s">
        <v>1703</v>
      </c>
      <c r="Y335" s="11" t="s">
        <v>1704</v>
      </c>
      <c r="Z335" s="11"/>
      <c r="AA335" s="12"/>
    </row>
    <row r="336" customFormat="false" ht="16.4" hidden="false" customHeight="false" outlineLevel="0" collapsed="false">
      <c r="A336" s="15" t="s">
        <v>1705</v>
      </c>
      <c r="B336" s="3" t="s">
        <v>1690</v>
      </c>
      <c r="C336" s="3" t="s">
        <v>49</v>
      </c>
      <c r="D336" s="16" t="n">
        <v>0.25</v>
      </c>
      <c r="E336" s="3" t="n">
        <f aca="false">VLOOKUP(D336,'[1]REF Tables'!$A$2:$B$40,2)</f>
        <v>50</v>
      </c>
      <c r="F336" s="3" t="s">
        <v>165</v>
      </c>
      <c r="G336" s="3" t="n">
        <v>12</v>
      </c>
      <c r="H336" s="3" t="s">
        <v>1706</v>
      </c>
      <c r="I336" s="3" t="s">
        <v>42</v>
      </c>
      <c r="J336" s="3" t="n">
        <v>7</v>
      </c>
      <c r="K336" s="1" t="str">
        <f aca="false">IF(J336=1,"-5",IF(OR(J336=2,J336=3),"-4",IF(OR(J336=4,J336=5),"-3",IF(OR(J336=6,J336=7),"-2",IF(OR(J336=8,J336=9),"-1",IF(OR(J336=10,J336=11),"0",IF(OR(J336=12,J336=13),"+1",IF(OR(J336=14,J336=15),"+2",IF(OR(J336=16,J336=17),"+3",IF(OR(J336=18,J336=19),"+4",IF(OR(J336=20,J336=21),"+5",IF(OR(J336=22,J336=23),"+6",IF(OR(J336=24,J336=25),"+7",IF(OR(J336=26,J336=27),"+8",IF(OR(J336=28,J336=29),"+9",IF(J336=30,"+10"," "))))))))))))))))</f>
        <v>-2</v>
      </c>
      <c r="L336" s="3" t="n">
        <v>15</v>
      </c>
      <c r="M336" s="1" t="str">
        <f aca="false">IF(L336=1,"-5",IF(OR(L336=2,L336=3),"-4",IF(OR(L336=4,L336=5),"-3",IF(OR(L336=6,L336=7),"-2",IF(OR(L336=8,L336=9),"-1",IF(OR(L336=10,L336=11),"0",IF(OR(L336=12,L336=13),"+1",IF(OR(L336=14,L336=15),"+2",IF(OR(L336=16,L336=17),"+3",IF(OR(L336=18,L336=19),"+4",IF(OR(L336=20,L336=21),"+5",IF(OR(L336=22,L336=23),"+6",IF(OR(L336=24,L336=25),"+7",IF(OR(L336=26,L336=27),"+8",IF(OR(L336=28,L336=29),"+9",IF(L336=30,"+10"," "))))))))))))))))</f>
        <v>+2</v>
      </c>
      <c r="N336" s="3" t="n">
        <v>12</v>
      </c>
      <c r="O336" s="1" t="str">
        <f aca="false">IF(N336=1,"-5",IF(OR(N336=2,N336=3),"-4",IF(OR(N336=4,N336=5),"-3",IF(OR(N336=6,N336=7),"-2",IF(OR(N336=8,N336=9),"-1",IF(OR(N336=10,N336=11),"0",IF(OR(N336=12,N336=13),"+1",IF(OR(N336=14,N336=15),"+2",IF(OR(N336=16,N336=17),"+3",IF(OR(N336=18,N336=19),"+4",IF(OR(N336=20,N336=21),"+5",IF(OR(N336=22,N336=23),"+6",IF(OR(N336=24,N336=25),"+7",IF(OR(N336=26,N336=27),"+8",IF(OR(N336=28,N336=29),"+9",IF(N336=30,"+10"," "))))))))))))))))</f>
        <v>+1</v>
      </c>
      <c r="P336" s="3" t="n">
        <v>8</v>
      </c>
      <c r="Q336" s="1" t="str">
        <f aca="false">IF(P336=1,"-5",IF(OR(P336=2,P336=3),"-4",IF(OR(P336=4,P336=5),"-3",IF(OR(P336=6,P336=7),"-2",IF(OR(P336=8,P336=9),"-1",IF(OR(P336=10,P336=11),"0",IF(OR(P336=12,P336=13),"+1",IF(OR(P336=14,P336=15),"+2",IF(OR(P336=16,P336=17),"+3",IF(OR(P336=18,P336=19),"+4",IF(OR(P336=20,P336=21),"+5",IF(OR(P336=22,P336=23),"+6",IF(OR(P336=24,P336=25),"+7",IF(OR(P336=26,P336=27),"+8",IF(OR(P336=28,P336=29),"+9",IF(P336=30,"+10"," "))))))))))))))))</f>
        <v>-1</v>
      </c>
      <c r="R336" s="3" t="n">
        <v>7</v>
      </c>
      <c r="S336" s="1" t="str">
        <f aca="false">IF(R336=1,"-5",IF(OR(R336=2,R336=3),"-4",IF(OR(R336=4,R336=5),"-3",IF(OR(R336=6,R336=7),"-2",IF(OR(R336=8,R336=9),"-1",IF(OR(R336=10,R336=11),"0",IF(OR(R336=12,R336=13),"+1",IF(OR(R336=14,R336=15),"+2",IF(OR(R336=16,R336=17),"+3",IF(OR(R336=18,R336=19),"+4",IF(OR(R336=20,R336=21),"+5",IF(OR(R336=22,R336=23),"+6",IF(OR(R336=24,R336=25),"+7",IF(OR(R336=26,R336=27),"+8",IF(OR(R336=28,R336=29),"+9",IF(R336=30,"+10"," "))))))))))))))))</f>
        <v>-2</v>
      </c>
      <c r="T336" s="3" t="n">
        <v>8</v>
      </c>
      <c r="U336" s="1" t="str">
        <f aca="false">IF(T336=1,"-5",IF(OR(T336=2,T336=3),"-4",IF(OR(T336=4,T336=5),"-3",IF(OR(T336=6,T336=7),"-2",IF(OR(T336=8,T336=9),"-1",IF(OR(T336=10,T336=11),"0",IF(OR(T336=12,T336=13),"+1",IF(OR(T336=14,T336=15),"+2",IF(OR(T336=16,T336=17),"+3",IF(OR(T336=18,T336=19),"+4",IF(OR(T336=20,T336=21),"+5",IF(OR(T336=22,T336=23),"+6",IF(OR(T336=24,T336=25),"+7",IF(OR(T336=26,T336=27),"+8",IF(OR(T336=28,T336=29),"+9",IF(T336=30,"+10"," "))))))))))))))))</f>
        <v>-1</v>
      </c>
      <c r="V336" s="3" t="s">
        <v>1707</v>
      </c>
      <c r="W336" s="3" t="s">
        <v>643</v>
      </c>
      <c r="X336" s="11" t="s">
        <v>1708</v>
      </c>
      <c r="Y336" s="11" t="s">
        <v>1709</v>
      </c>
      <c r="Z336" s="11" t="s">
        <v>37</v>
      </c>
      <c r="AA336" s="12" t="s">
        <v>37</v>
      </c>
    </row>
    <row r="337" customFormat="false" ht="16.4" hidden="false" customHeight="false" outlineLevel="0" collapsed="false">
      <c r="A337" s="15" t="s">
        <v>1710</v>
      </c>
      <c r="B337" s="3" t="s">
        <v>356</v>
      </c>
      <c r="C337" s="3" t="s">
        <v>590</v>
      </c>
      <c r="D337" s="16" t="n">
        <v>7</v>
      </c>
      <c r="E337" s="6" t="n">
        <f aca="false">VLOOKUP(D337,'[1]REF Tables'!$A$2:$B$40,2)</f>
        <v>2900</v>
      </c>
      <c r="F337" s="3" t="s">
        <v>165</v>
      </c>
      <c r="G337" s="3" t="n">
        <v>17</v>
      </c>
      <c r="H337" s="3" t="s">
        <v>1711</v>
      </c>
      <c r="I337" s="3" t="s">
        <v>1146</v>
      </c>
      <c r="J337" s="3" t="n">
        <v>23</v>
      </c>
      <c r="K337" s="1" t="str">
        <f aca="false">IF(J337=1,"-5",IF(OR(J337=2,J337=3),"-4",IF(OR(J337=4,J337=5),"-3",IF(OR(J337=6,J337=7),"-2",IF(OR(J337=8,J337=9),"-1",IF(OR(J337=10,J337=11),"0",IF(OR(J337=12,J337=13),"+1",IF(OR(J337=14,J337=15),"+2",IF(OR(J337=16,J337=17),"+3",IF(OR(J337=18,J337=19),"+4",IF(OR(J337=20,J337=21),"+5",IF(OR(J337=22,J337=23),"+6",IF(OR(J337=24,J337=25),"+7",IF(OR(J337=26,J337=27),"+8",IF(OR(J337=28,J337=29),"+9",IF(J337=30,"+10"," "))))))))))))))))</f>
        <v>+6</v>
      </c>
      <c r="L337" s="3" t="n">
        <v>14</v>
      </c>
      <c r="M337" s="1" t="str">
        <f aca="false">IF(L337=1,"-5",IF(OR(L337=2,L337=3),"-4",IF(OR(L337=4,L337=5),"-3",IF(OR(L337=6,L337=7),"-2",IF(OR(L337=8,L337=9),"-1",IF(OR(L337=10,L337=11),"0",IF(OR(L337=12,L337=13),"+1",IF(OR(L337=14,L337=15),"+2",IF(OR(L337=16,L337=17),"+3",IF(OR(L337=18,L337=19),"+4",IF(OR(L337=20,L337=21),"+5",IF(OR(L337=22,L337=23),"+6",IF(OR(L337=24,L337=25),"+7",IF(OR(L337=26,L337=27),"+8",IF(OR(L337=28,L337=29),"+9",IF(L337=30,"+10"," "))))))))))))))))</f>
        <v>+2</v>
      </c>
      <c r="N337" s="3" t="n">
        <v>20</v>
      </c>
      <c r="O337" s="1" t="str">
        <f aca="false">IF(N337=1,"-5",IF(OR(N337=2,N337=3),"-4",IF(OR(N337=4,N337=5),"-3",IF(OR(N337=6,N337=7),"-2",IF(OR(N337=8,N337=9),"-1",IF(OR(N337=10,N337=11),"0",IF(OR(N337=12,N337=13),"+1",IF(OR(N337=14,N337=15),"+2",IF(OR(N337=16,N337=17),"+3",IF(OR(N337=18,N337=19),"+4",IF(OR(N337=20,N337=21),"+5",IF(OR(N337=22,N337=23),"+6",IF(OR(N337=24,N337=25),"+7",IF(OR(N337=26,N337=27),"+8",IF(OR(N337=28,N337=29),"+9",IF(N337=30,"+10"," "))))))))))))))))</f>
        <v>+5</v>
      </c>
      <c r="P337" s="3" t="n">
        <v>10</v>
      </c>
      <c r="Q337" s="1" t="str">
        <f aca="false">IF(P337=1,"-5",IF(OR(P337=2,P337=3),"-4",IF(OR(P337=4,P337=5),"-3",IF(OR(P337=6,P337=7),"-2",IF(OR(P337=8,P337=9),"-1",IF(OR(P337=10,P337=11),"0",IF(OR(P337=12,P337=13),"+1",IF(OR(P337=14,P337=15),"+2",IF(OR(P337=16,P337=17),"+3",IF(OR(P337=18,P337=19),"+4",IF(OR(P337=20,P337=21),"+5",IF(OR(P337=22,P337=23),"+6",IF(OR(P337=24,P337=25),"+7",IF(OR(P337=26,P337=27),"+8",IF(OR(P337=28,P337=29),"+9",IF(P337=30,"+10"," "))))))))))))))))</f>
        <v>0</v>
      </c>
      <c r="R337" s="3" t="n">
        <v>15</v>
      </c>
      <c r="S337" s="1" t="str">
        <f aca="false">IF(R337=1,"-5",IF(OR(R337=2,R337=3),"-4",IF(OR(R337=4,R337=5),"-3",IF(OR(R337=6,R337=7),"-2",IF(OR(R337=8,R337=9),"-1",IF(OR(R337=10,R337=11),"0",IF(OR(R337=12,R337=13),"+1",IF(OR(R337=14,R337=15),"+2",IF(OR(R337=16,R337=17),"+3",IF(OR(R337=18,R337=19),"+4",IF(OR(R337=20,R337=21),"+5",IF(OR(R337=22,R337=23),"+6",IF(OR(R337=24,R337=25),"+7",IF(OR(R337=26,R337=27),"+8",IF(OR(R337=28,R337=29),"+9",IF(R337=30,"+10"," "))))))))))))))))</f>
        <v>+2</v>
      </c>
      <c r="T337" s="3" t="n">
        <v>9</v>
      </c>
      <c r="U337" s="1" t="str">
        <f aca="false">IF(T337=1,"-5",IF(OR(T337=2,T337=3),"-4",IF(OR(T337=4,T337=5),"-3",IF(OR(T337=6,T337=7),"-2",IF(OR(T337=8,T337=9),"-1",IF(OR(T337=10,T337=11),"0",IF(OR(T337=12,T337=13),"+1",IF(OR(T337=14,T337=15),"+2",IF(OR(T337=16,T337=17),"+3",IF(OR(T337=18,T337=19),"+4",IF(OR(T337=20,T337=21),"+5",IF(OR(T337=22,T337=23),"+6",IF(OR(T337=24,T337=25),"+7",IF(OR(T337=26,T337=27),"+8",IF(OR(T337=28,T337=29),"+9",IF(T337=30,"+10"," "))))))))))))))))</f>
        <v>-1</v>
      </c>
      <c r="V337" s="3" t="s">
        <v>1712</v>
      </c>
      <c r="W337" s="3" t="s">
        <v>1713</v>
      </c>
      <c r="X337" s="11" t="s">
        <v>1714</v>
      </c>
      <c r="Y337" s="11" t="s">
        <v>1715</v>
      </c>
      <c r="Z337" s="11" t="s">
        <v>37</v>
      </c>
      <c r="AA337" s="12" t="s">
        <v>37</v>
      </c>
    </row>
    <row r="338" customFormat="false" ht="16.4" hidden="false" customHeight="false" outlineLevel="0" collapsed="false">
      <c r="A338" s="15" t="s">
        <v>1716</v>
      </c>
      <c r="B338" s="3" t="s">
        <v>600</v>
      </c>
      <c r="C338" s="3" t="s">
        <v>222</v>
      </c>
      <c r="D338" s="16" t="n">
        <v>23</v>
      </c>
      <c r="E338" s="6" t="n">
        <f aca="false">VLOOKUP(D338,'[1]REF Tables'!$A$2:$B$40,2)</f>
        <v>50000</v>
      </c>
      <c r="F338" s="3" t="s">
        <v>601</v>
      </c>
      <c r="G338" s="3" t="n">
        <v>18</v>
      </c>
      <c r="H338" s="3" t="s">
        <v>1717</v>
      </c>
      <c r="I338" s="3" t="s">
        <v>1718</v>
      </c>
      <c r="J338" s="3" t="n">
        <v>30</v>
      </c>
      <c r="K338" s="1" t="str">
        <f aca="false">IF(J338=1,"-5",IF(OR(J338=2,J338=3),"-4",IF(OR(J338=4,J338=5),"-3",IF(OR(J338=6,J338=7),"-2",IF(OR(J338=8,J338=9),"-1",IF(OR(J338=10,J338=11),"0",IF(OR(J338=12,J338=13),"+1",IF(OR(J338=14,J338=15),"+2",IF(OR(J338=16,J338=17),"+3",IF(OR(J338=18,J338=19),"+4",IF(OR(J338=20,J338=21),"+5",IF(OR(J338=22,J338=23),"+6",IF(OR(J338=24,J338=25),"+7",IF(OR(J338=26,J338=27),"+8",IF(OR(J338=28,J338=29),"+9",IF(J338=30,"+10"," "))))))))))))))))</f>
        <v>+10</v>
      </c>
      <c r="L338" s="3" t="n">
        <v>11</v>
      </c>
      <c r="M338" s="1" t="str">
        <f aca="false">IF(L338=1,"-5",IF(OR(L338=2,L338=3),"-4",IF(OR(L338=4,L338=5),"-3",IF(OR(L338=6,L338=7),"-2",IF(OR(L338=8,L338=9),"-1",IF(OR(L338=10,L338=11),"0",IF(OR(L338=12,L338=13),"+1",IF(OR(L338=14,L338=15),"+2",IF(OR(L338=16,L338=17),"+3",IF(OR(L338=18,L338=19),"+4",IF(OR(L338=20,L338=21),"+5",IF(OR(L338=22,L338=23),"+6",IF(OR(L338=24,L338=25),"+7",IF(OR(L338=26,L338=27),"+8",IF(OR(L338=28,L338=29),"+9",IF(L338=30,"+10"," "))))))))))))))))</f>
        <v>0</v>
      </c>
      <c r="N338" s="3" t="n">
        <v>25</v>
      </c>
      <c r="O338" s="1" t="str">
        <f aca="false">IF(N338=1,"-5",IF(OR(N338=2,N338=3),"-4",IF(OR(N338=4,N338=5),"-3",IF(OR(N338=6,N338=7),"-2",IF(OR(N338=8,N338=9),"-1",IF(OR(N338=10,N338=11),"0",IF(OR(N338=12,N338=13),"+1",IF(OR(N338=14,N338=15),"+2",IF(OR(N338=16,N338=17),"+3",IF(OR(N338=18,N338=19),"+4",IF(OR(N338=20,N338=21),"+5",IF(OR(N338=22,N338=23),"+6",IF(OR(N338=24,N338=25),"+7",IF(OR(N338=26,N338=27),"+8",IF(OR(N338=28,N338=29),"+9",IF(N338=30,"+10"," "))))))))))))))))</f>
        <v>+7</v>
      </c>
      <c r="P338" s="3" t="n">
        <v>22</v>
      </c>
      <c r="Q338" s="1" t="str">
        <f aca="false">IF(P338=1,"-5",IF(OR(P338=2,P338=3),"-4",IF(OR(P338=4,P338=5),"-3",IF(OR(P338=6,P338=7),"-2",IF(OR(P338=8,P338=9),"-1",IF(OR(P338=10,P338=11),"0",IF(OR(P338=12,P338=13),"+1",IF(OR(P338=14,P338=15),"+2",IF(OR(P338=16,P338=17),"+3",IF(OR(P338=18,P338=19),"+4",IF(OR(P338=20,P338=21),"+5",IF(OR(P338=22,P338=23),"+6",IF(OR(P338=24,P338=25),"+7",IF(OR(P338=26,P338=27),"+8",IF(OR(P338=28,P338=29),"+9",IF(P338=30,"+10"," "))))))))))))))))</f>
        <v>+6</v>
      </c>
      <c r="R338" s="3" t="n">
        <v>18</v>
      </c>
      <c r="S338" s="1" t="str">
        <f aca="false">IF(R338=1,"-5",IF(OR(R338=2,R338=3),"-4",IF(OR(R338=4,R338=5),"-3",IF(OR(R338=6,R338=7),"-2",IF(OR(R338=8,R338=9),"-1",IF(OR(R338=10,R338=11),"0",IF(OR(R338=12,R338=13),"+1",IF(OR(R338=14,R338=15),"+2",IF(OR(R338=16,R338=17),"+3",IF(OR(R338=18,R338=19),"+4",IF(OR(R338=20,R338=21),"+5",IF(OR(R338=22,R338=23),"+6",IF(OR(R338=24,R338=25),"+7",IF(OR(R338=26,R338=27),"+8",IF(OR(R338=28,R338=29),"+9",IF(R338=30,"+10"," "))))))))))))))))</f>
        <v>+4</v>
      </c>
      <c r="T338" s="3" t="n">
        <v>20</v>
      </c>
      <c r="U338" s="1" t="str">
        <f aca="false">IF(T338=1,"-5",IF(OR(T338=2,T338=3),"-4",IF(OR(T338=4,T338=5),"-3",IF(OR(T338=6,T338=7),"-2",IF(OR(T338=8,T338=9),"-1",IF(OR(T338=10,T338=11),"0",IF(OR(T338=12,T338=13),"+1",IF(OR(T338=14,T338=15),"+2",IF(OR(T338=16,T338=17),"+3",IF(OR(T338=18,T338=19),"+4",IF(OR(T338=20,T338=21),"+5",IF(OR(T338=22,T338=23),"+6",IF(OR(T338=24,T338=25),"+7",IF(OR(T338=26,T338=27),"+8",IF(OR(T338=28,T338=29),"+9",IF(T338=30,"+10"," "))))))))))))))))</f>
        <v>+5</v>
      </c>
      <c r="V338" s="3" t="s">
        <v>1719</v>
      </c>
      <c r="W338" s="3" t="s">
        <v>1720</v>
      </c>
      <c r="X338" s="11" t="s">
        <v>1721</v>
      </c>
      <c r="Y338" s="11" t="s">
        <v>1722</v>
      </c>
      <c r="Z338" s="11" t="s">
        <v>37</v>
      </c>
      <c r="AA338" s="12" t="s">
        <v>1723</v>
      </c>
    </row>
    <row r="339" customFormat="false" ht="16.4" hidden="false" customHeight="false" outlineLevel="0" collapsed="false">
      <c r="A339" s="15" t="s">
        <v>1724</v>
      </c>
      <c r="B339" s="3" t="s">
        <v>1725</v>
      </c>
      <c r="C339" s="3" t="s">
        <v>85</v>
      </c>
      <c r="D339" s="16" t="n">
        <v>0.25</v>
      </c>
      <c r="E339" s="3" t="n">
        <f aca="false">VLOOKUP(D339,'[1]REF Tables'!$A$2:$B$40,2)</f>
        <v>50</v>
      </c>
      <c r="F339" s="3" t="s">
        <v>30</v>
      </c>
      <c r="G339" s="3" t="n">
        <v>13</v>
      </c>
      <c r="H339" s="3" t="s">
        <v>1308</v>
      </c>
      <c r="I339" s="3" t="s">
        <v>534</v>
      </c>
      <c r="J339" s="3" t="n">
        <v>13</v>
      </c>
      <c r="K339" s="1" t="str">
        <f aca="false">IF(J339=1,"-5",IF(OR(J339=2,J339=3),"-4",IF(OR(J339=4,J339=5),"-3",IF(OR(J339=6,J339=7),"-2",IF(OR(J339=8,J339=9),"-1",IF(OR(J339=10,J339=11),"0",IF(OR(J339=12,J339=13),"+1",IF(OR(J339=14,J339=15),"+2",IF(OR(J339=16,J339=17),"+3",IF(OR(J339=18,J339=19),"+4",IF(OR(J339=20,J339=21),"+5",IF(OR(J339=22,J339=23),"+6",IF(OR(J339=24,J339=25),"+7",IF(OR(J339=26,J339=27),"+8",IF(OR(J339=28,J339=29),"+9",IF(J339=30,"+10"," "))))))))))))))))</f>
        <v>+1</v>
      </c>
      <c r="L339" s="3" t="n">
        <v>10</v>
      </c>
      <c r="M339" s="1" t="str">
        <f aca="false">IF(L339=1,"-5",IF(OR(L339=2,L339=3),"-4",IF(OR(L339=4,L339=5),"-3",IF(OR(L339=6,L339=7),"-2",IF(OR(L339=8,L339=9),"-1",IF(OR(L339=10,L339=11),"0",IF(OR(L339=12,L339=13),"+1",IF(OR(L339=14,L339=15),"+2",IF(OR(L339=16,L339=17),"+3",IF(OR(L339=18,L339=19),"+4",IF(OR(L339=20,L339=21),"+5",IF(OR(L339=22,L339=23),"+6",IF(OR(L339=24,L339=25),"+7",IF(OR(L339=26,L339=27),"+8",IF(OR(L339=28,L339=29),"+9",IF(L339=30,"+10"," "))))))))))))))))</f>
        <v>0</v>
      </c>
      <c r="N339" s="3" t="n">
        <v>11</v>
      </c>
      <c r="O339" s="1" t="str">
        <f aca="false">IF(N339=1,"-5",IF(OR(N339=2,N339=3),"-4",IF(OR(N339=4,N339=5),"-3",IF(OR(N339=6,N339=7),"-2",IF(OR(N339=8,N339=9),"-1",IF(OR(N339=10,N339=11),"0",IF(OR(N339=12,N339=13),"+1",IF(OR(N339=14,N339=15),"+2",IF(OR(N339=16,N339=17),"+3",IF(OR(N339=18,N339=19),"+4",IF(OR(N339=20,N339=21),"+5",IF(OR(N339=22,N339=23),"+6",IF(OR(N339=24,N339=25),"+7",IF(OR(N339=26,N339=27),"+8",IF(OR(N339=28,N339=29),"+9",IF(N339=30,"+10"," "))))))))))))))))</f>
        <v>0</v>
      </c>
      <c r="P339" s="3" t="n">
        <v>11</v>
      </c>
      <c r="Q339" s="1" t="str">
        <f aca="false">IF(P339=1,"-5",IF(OR(P339=2,P339=3),"-4",IF(OR(P339=4,P339=5),"-3",IF(OR(P339=6,P339=7),"-2",IF(OR(P339=8,P339=9),"-1",IF(OR(P339=10,P339=11),"0",IF(OR(P339=12,P339=13),"+1",IF(OR(P339=14,P339=15),"+2",IF(OR(P339=16,P339=17),"+3",IF(OR(P339=18,P339=19),"+4",IF(OR(P339=20,P339=21),"+5",IF(OR(P339=22,P339=23),"+6",IF(OR(P339=24,P339=25),"+7",IF(OR(P339=26,P339=27),"+8",IF(OR(P339=28,P339=29),"+9",IF(P339=30,"+10"," "))))))))))))))))</f>
        <v>0</v>
      </c>
      <c r="R339" s="3" t="n">
        <v>10</v>
      </c>
      <c r="S339" s="1" t="str">
        <f aca="false">IF(R339=1,"-5",IF(OR(R339=2,R339=3),"-4",IF(OR(R339=4,R339=5),"-3",IF(OR(R339=6,R339=7),"-2",IF(OR(R339=8,R339=9),"-1",IF(OR(R339=10,R339=11),"0",IF(OR(R339=12,R339=13),"+1",IF(OR(R339=14,R339=15),"+2",IF(OR(R339=16,R339=17),"+3",IF(OR(R339=18,R339=19),"+4",IF(OR(R339=20,R339=21),"+5",IF(OR(R339=22,R339=23),"+6",IF(OR(R339=24,R339=25),"+7",IF(OR(R339=26,R339=27),"+8",IF(OR(R339=28,R339=29),"+9",IF(R339=30,"+10"," "))))))))))))))))</f>
        <v>0</v>
      </c>
      <c r="T339" s="3" t="n">
        <v>8</v>
      </c>
      <c r="U339" s="1" t="str">
        <f aca="false">IF(T339=1,"-5",IF(OR(T339=2,T339=3),"-4",IF(OR(T339=4,T339=5),"-3",IF(OR(T339=6,T339=7),"-2",IF(OR(T339=8,T339=9),"-1",IF(OR(T339=10,T339=11),"0",IF(OR(T339=12,T339=13),"+1",IF(OR(T339=14,T339=15),"+2",IF(OR(T339=16,T339=17),"+3",IF(OR(T339=18,T339=19),"+4",IF(OR(T339=20,T339=21),"+5",IF(OR(T339=22,T339=23),"+6",IF(OR(T339=24,T339=25),"+7",IF(OR(T339=26,T339=27),"+8",IF(OR(T339=28,T339=29),"+9",IF(T339=30,"+10"," "))))))))))))))))</f>
        <v>-1</v>
      </c>
      <c r="V339" s="3" t="s">
        <v>1726</v>
      </c>
      <c r="W339" s="3" t="s">
        <v>516</v>
      </c>
      <c r="X339" s="11" t="s">
        <v>1727</v>
      </c>
      <c r="Y339" s="11" t="s">
        <v>1728</v>
      </c>
      <c r="Z339" s="11" t="s">
        <v>1729</v>
      </c>
      <c r="AA339" s="12" t="s">
        <v>37</v>
      </c>
    </row>
    <row r="340" customFormat="false" ht="16.4" hidden="false" customHeight="false" outlineLevel="0" collapsed="false">
      <c r="A340" s="15" t="s">
        <v>1730</v>
      </c>
      <c r="B340" s="3" t="s">
        <v>1725</v>
      </c>
      <c r="C340" s="3" t="s">
        <v>85</v>
      </c>
      <c r="D340" s="16" t="n">
        <v>6</v>
      </c>
      <c r="E340" s="6" t="n">
        <f aca="false">VLOOKUP(D340,'[1]REF Tables'!$A$2:$B$40,2)</f>
        <v>2300</v>
      </c>
      <c r="F340" s="3" t="s">
        <v>30</v>
      </c>
      <c r="G340" s="3" t="n">
        <v>13</v>
      </c>
      <c r="H340" s="3" t="s">
        <v>549</v>
      </c>
      <c r="I340" s="3" t="s">
        <v>534</v>
      </c>
      <c r="J340" s="3" t="n">
        <v>16</v>
      </c>
      <c r="K340" s="1" t="str">
        <f aca="false">IF(J340=1,"-5",IF(OR(J340=2,J340=3),"-4",IF(OR(J340=4,J340=5),"-3",IF(OR(J340=6,J340=7),"-2",IF(OR(J340=8,J340=9),"-1",IF(OR(J340=10,J340=11),"0",IF(OR(J340=12,J340=13),"+1",IF(OR(J340=14,J340=15),"+2",IF(OR(J340=16,J340=17),"+3",IF(OR(J340=18,J340=19),"+4",IF(OR(J340=20,J340=21),"+5",IF(OR(J340=22,J340=23),"+6",IF(OR(J340=24,J340=25),"+7",IF(OR(J340=26,J340=27),"+8",IF(OR(J340=28,J340=29),"+9",IF(J340=30,"+10"," "))))))))))))))))</f>
        <v>+3</v>
      </c>
      <c r="L340" s="3" t="n">
        <v>14</v>
      </c>
      <c r="M340" s="1" t="str">
        <f aca="false">IF(L340=1,"-5",IF(OR(L340=2,L340=3),"-4",IF(OR(L340=4,L340=5),"-3",IF(OR(L340=6,L340=7),"-2",IF(OR(L340=8,L340=9),"-1",IF(OR(L340=10,L340=11),"0",IF(OR(L340=12,L340=13),"+1",IF(OR(L340=14,L340=15),"+2",IF(OR(L340=16,L340=17),"+3",IF(OR(L340=18,L340=19),"+4",IF(OR(L340=20,L340=21),"+5",IF(OR(L340=22,L340=23),"+6",IF(OR(L340=24,L340=25),"+7",IF(OR(L340=26,L340=27),"+8",IF(OR(L340=28,L340=29),"+9",IF(L340=30,"+10"," "))))))))))))))))</f>
        <v>+2</v>
      </c>
      <c r="N340" s="3" t="n">
        <v>16</v>
      </c>
      <c r="O340" s="1" t="str">
        <f aca="false">IF(N340=1,"-5",IF(OR(N340=2,N340=3),"-4",IF(OR(N340=4,N340=5),"-3",IF(OR(N340=6,N340=7),"-2",IF(OR(N340=8,N340=9),"-1",IF(OR(N340=10,N340=11),"0",IF(OR(N340=12,N340=13),"+1",IF(OR(N340=14,N340=15),"+2",IF(OR(N340=16,N340=17),"+3",IF(OR(N340=18,N340=19),"+4",IF(OR(N340=20,N340=21),"+5",IF(OR(N340=22,N340=23),"+6",IF(OR(N340=24,N340=25),"+7",IF(OR(N340=26,N340=27),"+8",IF(OR(N340=28,N340=29),"+9",IF(N340=30,"+10"," "))))))))))))))))</f>
        <v>+3</v>
      </c>
      <c r="P340" s="3" t="n">
        <v>13</v>
      </c>
      <c r="Q340" s="1" t="str">
        <f aca="false">IF(P340=1,"-5",IF(OR(P340=2,P340=3),"-4",IF(OR(P340=4,P340=5),"-3",IF(OR(P340=6,P340=7),"-2",IF(OR(P340=8,P340=9),"-1",IF(OR(P340=10,P340=11),"0",IF(OR(P340=12,P340=13),"+1",IF(OR(P340=14,P340=15),"+2",IF(OR(P340=16,P340=17),"+3",IF(OR(P340=18,P340=19),"+4",IF(OR(P340=20,P340=21),"+5",IF(OR(P340=22,P340=23),"+6",IF(OR(P340=24,P340=25),"+7",IF(OR(P340=26,P340=27),"+8",IF(OR(P340=28,P340=29),"+9",IF(P340=30,"+10"," "))))))))))))))))</f>
        <v>+1</v>
      </c>
      <c r="R340" s="3" t="n">
        <v>16</v>
      </c>
      <c r="S340" s="1" t="str">
        <f aca="false">IF(R340=1,"-5",IF(OR(R340=2,R340=3),"-4",IF(OR(R340=4,R340=5),"-3",IF(OR(R340=6,R340=7),"-2",IF(OR(R340=8,R340=9),"-1",IF(OR(R340=10,R340=11),"0",IF(OR(R340=12,R340=13),"+1",IF(OR(R340=14,R340=15),"+2",IF(OR(R340=16,R340=17),"+3",IF(OR(R340=18,R340=19),"+4",IF(OR(R340=20,R340=21),"+5",IF(OR(R340=22,R340=23),"+6",IF(OR(R340=24,R340=25),"+7",IF(OR(R340=26,R340=27),"+8",IF(OR(R340=28,R340=29),"+9",IF(R340=30,"+10"," "))))))))))))))))</f>
        <v>+3</v>
      </c>
      <c r="T340" s="3" t="n">
        <v>14</v>
      </c>
      <c r="U340" s="1" t="str">
        <f aca="false">IF(T340=1,"-5",IF(OR(T340=2,T340=3),"-4",IF(OR(T340=4,T340=5),"-3",IF(OR(T340=6,T340=7),"-2",IF(OR(T340=8,T340=9),"-1",IF(OR(T340=10,T340=11),"0",IF(OR(T340=12,T340=13),"+1",IF(OR(T340=14,T340=15),"+2",IF(OR(T340=16,T340=17),"+3",IF(OR(T340=18,T340=19),"+4",IF(OR(T340=20,T340=21),"+5",IF(OR(T340=22,T340=23),"+6",IF(OR(T340=24,T340=25),"+7",IF(OR(T340=26,T340=27),"+8",IF(OR(T340=28,T340=29),"+9",IF(T340=30,"+10"," "))))))))))))))))</f>
        <v>+2</v>
      </c>
      <c r="V340" s="3" t="s">
        <v>1731</v>
      </c>
      <c r="W340" s="3" t="s">
        <v>516</v>
      </c>
      <c r="X340" s="11" t="s">
        <v>1732</v>
      </c>
      <c r="Y340" s="11" t="s">
        <v>1733</v>
      </c>
      <c r="Z340" s="11" t="s">
        <v>37</v>
      </c>
      <c r="AA340" s="12" t="s">
        <v>37</v>
      </c>
    </row>
    <row r="341" customFormat="false" ht="16.4" hidden="false" customHeight="false" outlineLevel="0" collapsed="false">
      <c r="A341" s="15" t="s">
        <v>1734</v>
      </c>
      <c r="B341" s="3" t="s">
        <v>1725</v>
      </c>
      <c r="C341" s="3" t="s">
        <v>85</v>
      </c>
      <c r="D341" s="16" t="n">
        <v>1</v>
      </c>
      <c r="E341" s="3" t="n">
        <f aca="false">VLOOKUP(D341,'[1]REF Tables'!$A$2:$B$40,2)</f>
        <v>200</v>
      </c>
      <c r="F341" s="3" t="s">
        <v>30</v>
      </c>
      <c r="G341" s="3" t="n">
        <v>11</v>
      </c>
      <c r="H341" s="3" t="s">
        <v>263</v>
      </c>
      <c r="I341" s="3" t="s">
        <v>534</v>
      </c>
      <c r="J341" s="3" t="n">
        <v>14</v>
      </c>
      <c r="K341" s="1" t="str">
        <f aca="false">IF(J341=1,"-5",IF(OR(J341=2,J341=3),"-4",IF(OR(J341=4,J341=5),"-3",IF(OR(J341=6,J341=7),"-2",IF(OR(J341=8,J341=9),"-1",IF(OR(J341=10,J341=11),"0",IF(OR(J341=12,J341=13),"+1",IF(OR(J341=14,J341=15),"+2",IF(OR(J341=16,J341=17),"+3",IF(OR(J341=18,J341=19),"+4",IF(OR(J341=20,J341=21),"+5",IF(OR(J341=22,J341=23),"+6",IF(OR(J341=24,J341=25),"+7",IF(OR(J341=26,J341=27),"+8",IF(OR(J341=28,J341=29),"+9",IF(J341=30,"+10"," "))))))))))))))))</f>
        <v>+2</v>
      </c>
      <c r="L341" s="3" t="n">
        <v>10</v>
      </c>
      <c r="M341" s="1" t="str">
        <f aca="false">IF(L341=1,"-5",IF(OR(L341=2,L341=3),"-4",IF(OR(L341=4,L341=5),"-3",IF(OR(L341=6,L341=7),"-2",IF(OR(L341=8,L341=9),"-1",IF(OR(L341=10,L341=11),"0",IF(OR(L341=12,L341=13),"+1",IF(OR(L341=14,L341=15),"+2",IF(OR(L341=16,L341=17),"+3",IF(OR(L341=18,L341=19),"+4",IF(OR(L341=20,L341=21),"+5",IF(OR(L341=22,L341=23),"+6",IF(OR(L341=24,L341=25),"+7",IF(OR(L341=26,L341=27),"+8",IF(OR(L341=28,L341=29),"+9",IF(L341=30,"+10"," "))))))))))))))))</f>
        <v>0</v>
      </c>
      <c r="N341" s="3" t="n">
        <v>14</v>
      </c>
      <c r="O341" s="1" t="str">
        <f aca="false">IF(N341=1,"-5",IF(OR(N341=2,N341=3),"-4",IF(OR(N341=4,N341=5),"-3",IF(OR(N341=6,N341=7),"-2",IF(OR(N341=8,N341=9),"-1",IF(OR(N341=10,N341=11),"0",IF(OR(N341=12,N341=13),"+1",IF(OR(N341=14,N341=15),"+2",IF(OR(N341=16,N341=17),"+3",IF(OR(N341=18,N341=19),"+4",IF(OR(N341=20,N341=21),"+5",IF(OR(N341=22,N341=23),"+6",IF(OR(N341=24,N341=25),"+7",IF(OR(N341=26,N341=27),"+8",IF(OR(N341=28,N341=29),"+9",IF(N341=30,"+10"," "))))))))))))))))</f>
        <v>+2</v>
      </c>
      <c r="P341" s="3" t="n">
        <v>12</v>
      </c>
      <c r="Q341" s="1" t="str">
        <f aca="false">IF(P341=1,"-5",IF(OR(P341=2,P341=3),"-4",IF(OR(P341=4,P341=5),"-3",IF(OR(P341=6,P341=7),"-2",IF(OR(P341=8,P341=9),"-1",IF(OR(P341=10,P341=11),"0",IF(OR(P341=12,P341=13),"+1",IF(OR(P341=14,P341=15),"+2",IF(OR(P341=16,P341=17),"+3",IF(OR(P341=18,P341=19),"+4",IF(OR(P341=20,P341=21),"+5",IF(OR(P341=22,P341=23),"+6",IF(OR(P341=24,P341=25),"+7",IF(OR(P341=26,P341=27),"+8",IF(OR(P341=28,P341=29),"+9",IF(P341=30,"+10"," "))))))))))))))))</f>
        <v>+1</v>
      </c>
      <c r="R341" s="3" t="n">
        <v>14</v>
      </c>
      <c r="S341" s="1" t="str">
        <f aca="false">IF(R341=1,"-5",IF(OR(R341=2,R341=3),"-4",IF(OR(R341=4,R341=5),"-3",IF(OR(R341=6,R341=7),"-2",IF(OR(R341=8,R341=9),"-1",IF(OR(R341=10,R341=11),"0",IF(OR(R341=12,R341=13),"+1",IF(OR(R341=14,R341=15),"+2",IF(OR(R341=16,R341=17),"+3",IF(OR(R341=18,R341=19),"+4",IF(OR(R341=20,R341=21),"+5",IF(OR(R341=22,R341=23),"+6",IF(OR(R341=24,R341=25),"+7",IF(OR(R341=26,R341=27),"+8",IF(OR(R341=28,R341=29),"+9",IF(R341=30,"+10"," "))))))))))))))))</f>
        <v>+2</v>
      </c>
      <c r="T341" s="3" t="n">
        <v>11</v>
      </c>
      <c r="U341" s="1" t="str">
        <f aca="false">IF(T341=1,"-5",IF(OR(T341=2,T341=3),"-4",IF(OR(T341=4,T341=5),"-3",IF(OR(T341=6,T341=7),"-2",IF(OR(T341=8,T341=9),"-1",IF(OR(T341=10,T341=11),"0",IF(OR(T341=12,T341=13),"+1",IF(OR(T341=14,T341=15),"+2",IF(OR(T341=16,T341=17),"+3",IF(OR(T341=18,T341=19),"+4",IF(OR(T341=20,T341=21),"+5",IF(OR(T341=22,T341=23),"+6",IF(OR(T341=24,T341=25),"+7",IF(OR(T341=26,T341=27),"+8",IF(OR(T341=28,T341=29),"+9",IF(T341=30,"+10"," "))))))))))))))))</f>
        <v>0</v>
      </c>
      <c r="V341" s="3" t="s">
        <v>1735</v>
      </c>
      <c r="W341" s="3" t="s">
        <v>516</v>
      </c>
      <c r="X341" s="11" t="s">
        <v>1736</v>
      </c>
      <c r="Y341" s="11" t="s">
        <v>1737</v>
      </c>
      <c r="Z341" s="11" t="s">
        <v>37</v>
      </c>
      <c r="AA341" s="12" t="s">
        <v>37</v>
      </c>
    </row>
    <row r="342" customFormat="false" ht="16.4" hidden="false" customHeight="false" outlineLevel="0" collapsed="false">
      <c r="A342" s="15" t="s">
        <v>1738</v>
      </c>
      <c r="B342" s="3" t="s">
        <v>105</v>
      </c>
      <c r="C342" s="3" t="s">
        <v>222</v>
      </c>
      <c r="D342" s="16" t="n">
        <v>4</v>
      </c>
      <c r="E342" s="6" t="n">
        <f aca="false">VLOOKUP(D342,'[1]REF Tables'!$A$2:$B$40,2)</f>
        <v>1100</v>
      </c>
      <c r="F342" s="3" t="s">
        <v>50</v>
      </c>
      <c r="G342" s="3" t="n">
        <v>13</v>
      </c>
      <c r="H342" s="3" t="s">
        <v>1739</v>
      </c>
      <c r="I342" s="3" t="s">
        <v>42</v>
      </c>
      <c r="J342" s="3" t="n">
        <v>16</v>
      </c>
      <c r="K342" s="1" t="str">
        <f aca="false">IF(J342=1,"-5",IF(OR(J342=2,J342=3),"-4",IF(OR(J342=4,J342=5),"-3",IF(OR(J342=6,J342=7),"-2",IF(OR(J342=8,J342=9),"-1",IF(OR(J342=10,J342=11),"0",IF(OR(J342=12,J342=13),"+1",IF(OR(J342=14,J342=15),"+2",IF(OR(J342=16,J342=17),"+3",IF(OR(J342=18,J342=19),"+4",IF(OR(J342=20,J342=21),"+5",IF(OR(J342=22,J342=23),"+6",IF(OR(J342=24,J342=25),"+7",IF(OR(J342=26,J342=27),"+8",IF(OR(J342=28,J342=29),"+9",IF(J342=30,"+10"," "))))))))))))))))</f>
        <v>+3</v>
      </c>
      <c r="L342" s="3" t="n">
        <v>13</v>
      </c>
      <c r="M342" s="1" t="str">
        <f aca="false">IF(L342=1,"-5",IF(OR(L342=2,L342=3),"-4",IF(OR(L342=4,L342=5),"-3",IF(OR(L342=6,L342=7),"-2",IF(OR(L342=8,L342=9),"-1",IF(OR(L342=10,L342=11),"0",IF(OR(L342=12,L342=13),"+1",IF(OR(L342=14,L342=15),"+2",IF(OR(L342=16,L342=17),"+3",IF(OR(L342=18,L342=19),"+4",IF(OR(L342=20,L342=21),"+5",IF(OR(L342=22,L342=23),"+6",IF(OR(L342=24,L342=25),"+7",IF(OR(L342=26,L342=27),"+8",IF(OR(L342=28,L342=29),"+9",IF(L342=30,"+10"," "))))))))))))))))</f>
        <v>+1</v>
      </c>
      <c r="N342" s="3" t="n">
        <v>15</v>
      </c>
      <c r="O342" s="1" t="str">
        <f aca="false">IF(N342=1,"-5",IF(OR(N342=2,N342=3),"-4",IF(OR(N342=4,N342=5),"-3",IF(OR(N342=6,N342=7),"-2",IF(OR(N342=8,N342=9),"-1",IF(OR(N342=10,N342=11),"0",IF(OR(N342=12,N342=13),"+1",IF(OR(N342=14,N342=15),"+2",IF(OR(N342=16,N342=17),"+3",IF(OR(N342=18,N342=19),"+4",IF(OR(N342=20,N342=21),"+5",IF(OR(N342=22,N342=23),"+6",IF(OR(N342=24,N342=25),"+7",IF(OR(N342=26,N342=27),"+8",IF(OR(N342=28,N342=29),"+9",IF(N342=30,"+10"," "))))))))))))))))</f>
        <v>+2</v>
      </c>
      <c r="P342" s="3" t="n">
        <v>14</v>
      </c>
      <c r="Q342" s="1" t="str">
        <f aca="false">IF(P342=1,"-5",IF(OR(P342=2,P342=3),"-4",IF(OR(P342=4,P342=5),"-3",IF(OR(P342=6,P342=7),"-2",IF(OR(P342=8,P342=9),"-1",IF(OR(P342=10,P342=11),"0",IF(OR(P342=12,P342=13),"+1",IF(OR(P342=14,P342=15),"+2",IF(OR(P342=16,P342=17),"+3",IF(OR(P342=18,P342=19),"+4",IF(OR(P342=20,P342=21),"+5",IF(OR(P342=22,P342=23),"+6",IF(OR(P342=24,P342=25),"+7",IF(OR(P342=26,P342=27),"+8",IF(OR(P342=28,P342=29),"+9",IF(P342=30,"+10"," "))))))))))))))))</f>
        <v>+2</v>
      </c>
      <c r="R342" s="3" t="n">
        <v>15</v>
      </c>
      <c r="S342" s="1" t="str">
        <f aca="false">IF(R342=1,"-5",IF(OR(R342=2,R342=3),"-4",IF(OR(R342=4,R342=5),"-3",IF(OR(R342=6,R342=7),"-2",IF(OR(R342=8,R342=9),"-1",IF(OR(R342=10,R342=11),"0",IF(OR(R342=12,R342=13),"+1",IF(OR(R342=14,R342=15),"+2",IF(OR(R342=16,R342=17),"+3",IF(OR(R342=18,R342=19),"+4",IF(OR(R342=20,R342=21),"+5",IF(OR(R342=22,R342=23),"+6",IF(OR(R342=24,R342=25),"+7",IF(OR(R342=26,R342=27),"+8",IF(OR(R342=28,R342=29),"+9",IF(R342=30,"+10"," "))))))))))))))))</f>
        <v>+2</v>
      </c>
      <c r="T342" s="3" t="n">
        <v>16</v>
      </c>
      <c r="U342" s="1" t="str">
        <f aca="false">IF(T342=1,"-5",IF(OR(T342=2,T342=3),"-4",IF(OR(T342=4,T342=5),"-3",IF(OR(T342=6,T342=7),"-2",IF(OR(T342=8,T342=9),"-1",IF(OR(T342=10,T342=11),"0",IF(OR(T342=12,T342=13),"+1",IF(OR(T342=14,T342=15),"+2",IF(OR(T342=16,T342=17),"+3",IF(OR(T342=18,T342=19),"+4",IF(OR(T342=20,T342=21),"+5",IF(OR(T342=22,T342=23),"+6",IF(OR(T342=24,T342=25),"+7",IF(OR(T342=26,T342=27),"+8",IF(OR(T342=28,T342=29),"+9",IF(T342=30,"+10"," "))))))))))))))))</f>
        <v>+3</v>
      </c>
      <c r="V342" s="3" t="s">
        <v>1740</v>
      </c>
      <c r="W342" s="3" t="s">
        <v>467</v>
      </c>
      <c r="X342" s="11" t="s">
        <v>1741</v>
      </c>
      <c r="Y342" s="11" t="s">
        <v>1742</v>
      </c>
      <c r="Z342" s="11" t="s">
        <v>37</v>
      </c>
      <c r="AA342" s="12" t="s">
        <v>37</v>
      </c>
    </row>
    <row r="343" customFormat="false" ht="16.4" hidden="false" customHeight="false" outlineLevel="0" collapsed="false">
      <c r="A343" s="15" t="s">
        <v>1743</v>
      </c>
      <c r="B343" s="3" t="s">
        <v>699</v>
      </c>
      <c r="C343" s="3" t="s">
        <v>49</v>
      </c>
      <c r="D343" s="16" t="n">
        <v>0</v>
      </c>
      <c r="E343" s="3" t="n">
        <f aca="false">VLOOKUP(D343,'[1]REF Tables'!$A$2:$B$40,2)</f>
        <v>10</v>
      </c>
      <c r="F343" s="3" t="s">
        <v>30</v>
      </c>
      <c r="G343" s="3" t="n">
        <v>7</v>
      </c>
      <c r="H343" s="3" t="s">
        <v>31</v>
      </c>
      <c r="I343" s="3" t="s">
        <v>596</v>
      </c>
      <c r="J343" s="3" t="n">
        <v>10</v>
      </c>
      <c r="K343" s="1" t="str">
        <f aca="false">IF(J343=1,"-5",IF(OR(J343=2,J343=3),"-4",IF(OR(J343=4,J343=5),"-3",IF(OR(J343=6,J343=7),"-2",IF(OR(J343=8,J343=9),"-1",IF(OR(J343=10,J343=11),"0",IF(OR(J343=12,J343=13),"+1",IF(OR(J343=14,J343=15),"+2",IF(OR(J343=16,J343=17),"+3",IF(OR(J343=18,J343=19),"+4",IF(OR(J343=20,J343=21),"+5",IF(OR(J343=22,J343=23),"+6",IF(OR(J343=24,J343=25),"+7",IF(OR(J343=26,J343=27),"+8",IF(OR(J343=28,J343=29),"+9",IF(J343=30,"+10"," "))))))))))))))))</f>
        <v>0</v>
      </c>
      <c r="L343" s="3" t="n">
        <v>5</v>
      </c>
      <c r="M343" s="1" t="str">
        <f aca="false">IF(L343=1,"-5",IF(OR(L343=2,L343=3),"-4",IF(OR(L343=4,L343=5),"-3",IF(OR(L343=6,L343=7),"-2",IF(OR(L343=8,L343=9),"-1",IF(OR(L343=10,L343=11),"0",IF(OR(L343=12,L343=13),"+1",IF(OR(L343=14,L343=15),"+2",IF(OR(L343=16,L343=17),"+3",IF(OR(L343=18,L343=19),"+4",IF(OR(L343=20,L343=21),"+5",IF(OR(L343=22,L343=23),"+6",IF(OR(L343=24,L343=25),"+7",IF(OR(L343=26,L343=27),"+8",IF(OR(L343=28,L343=29),"+9",IF(L343=30,"+10"," "))))))))))))))))</f>
        <v>-3</v>
      </c>
      <c r="N343" s="3" t="n">
        <v>11</v>
      </c>
      <c r="O343" s="1" t="str">
        <f aca="false">IF(N343=1,"-5",IF(OR(N343=2,N343=3),"-4",IF(OR(N343=4,N343=5),"-3",IF(OR(N343=6,N343=7),"-2",IF(OR(N343=8,N343=9),"-1",IF(OR(N343=10,N343=11),"0",IF(OR(N343=12,N343=13),"+1",IF(OR(N343=14,N343=15),"+2",IF(OR(N343=16,N343=17),"+3",IF(OR(N343=18,N343=19),"+4",IF(OR(N343=20,N343=21),"+5",IF(OR(N343=22,N343=23),"+6",IF(OR(N343=24,N343=25),"+7",IF(OR(N343=26,N343=27),"+8",IF(OR(N343=28,N343=29),"+9",IF(N343=30,"+10"," "))))))))))))))))</f>
        <v>0</v>
      </c>
      <c r="P343" s="3" t="n">
        <v>1</v>
      </c>
      <c r="Q343" s="1" t="str">
        <f aca="false">IF(P343=1,"-5",IF(OR(P343=2,P343=3),"-4",IF(OR(P343=4,P343=5),"-3",IF(OR(P343=6,P343=7),"-2",IF(OR(P343=8,P343=9),"-1",IF(OR(P343=10,P343=11),"0",IF(OR(P343=12,P343=13),"+1",IF(OR(P343=14,P343=15),"+2",IF(OR(P343=16,P343=17),"+3",IF(OR(P343=18,P343=19),"+4",IF(OR(P343=20,P343=21),"+5",IF(OR(P343=22,P343=23),"+6",IF(OR(P343=24,P343=25),"+7",IF(OR(P343=26,P343=27),"+8",IF(OR(P343=28,P343=29),"+9",IF(P343=30,"+10"," "))))))))))))))))</f>
        <v>-5</v>
      </c>
      <c r="R343" s="3" t="n">
        <v>11</v>
      </c>
      <c r="S343" s="1" t="str">
        <f aca="false">IF(R343=1,"-5",IF(OR(R343=2,R343=3),"-4",IF(OR(R343=4,R343=5),"-3",IF(OR(R343=6,R343=7),"-2",IF(OR(R343=8,R343=9),"-1",IF(OR(R343=10,R343=11),"0",IF(OR(R343=12,R343=13),"+1",IF(OR(R343=14,R343=15),"+2",IF(OR(R343=16,R343=17),"+3",IF(OR(R343=18,R343=19),"+4",IF(OR(R343=20,R343=21),"+5",IF(OR(R343=22,R343=23),"+6",IF(OR(R343=24,R343=25),"+7",IF(OR(R343=26,R343=27),"+8",IF(OR(R343=28,R343=29),"+9",IF(R343=30,"+10"," "))))))))))))))))</f>
        <v>0</v>
      </c>
      <c r="T343" s="3" t="n">
        <v>3</v>
      </c>
      <c r="U343" s="1" t="str">
        <f aca="false">IF(T343=1,"-5",IF(OR(T343=2,T343=3),"-4",IF(OR(T343=4,T343=5),"-3",IF(OR(T343=6,T343=7),"-2",IF(OR(T343=8,T343=9),"-1",IF(OR(T343=10,T343=11),"0",IF(OR(T343=12,T343=13),"+1",IF(OR(T343=14,T343=15),"+2",IF(OR(T343=16,T343=17),"+3",IF(OR(T343=18,T343=19),"+4",IF(OR(T343=20,T343=21),"+5",IF(OR(T343=22,T343=23),"+6",IF(OR(T343=24,T343=25),"+7",IF(OR(T343=26,T343=27),"+8",IF(OR(T343=28,T343=29),"+9",IF(T343=30,"+10"," "))))))))))))))))</f>
        <v>-4</v>
      </c>
      <c r="V343" s="3" t="s">
        <v>37</v>
      </c>
      <c r="W343" s="3" t="s">
        <v>489</v>
      </c>
      <c r="X343" s="11" t="s">
        <v>1744</v>
      </c>
      <c r="Y343" s="11" t="s">
        <v>1745</v>
      </c>
      <c r="Z343" s="11" t="s">
        <v>37</v>
      </c>
      <c r="AA343" s="12" t="s">
        <v>37</v>
      </c>
    </row>
    <row r="344" customFormat="false" ht="16.4" hidden="false" customHeight="false" outlineLevel="0" collapsed="false">
      <c r="A344" s="15" t="s">
        <v>1746</v>
      </c>
      <c r="B344" s="3" t="s">
        <v>105</v>
      </c>
      <c r="C344" s="3" t="s">
        <v>222</v>
      </c>
      <c r="D344" s="16" t="n">
        <v>3</v>
      </c>
      <c r="E344" s="3" t="n">
        <f aca="false">VLOOKUP(D344,'[1]REF Tables'!$A$2:$B$40,2)</f>
        <v>700</v>
      </c>
      <c r="F344" s="3" t="s">
        <v>50</v>
      </c>
      <c r="G344" s="3" t="n">
        <v>14</v>
      </c>
      <c r="H344" s="3" t="s">
        <v>1747</v>
      </c>
      <c r="I344" s="3" t="s">
        <v>210</v>
      </c>
      <c r="J344" s="3" t="n">
        <v>18</v>
      </c>
      <c r="K344" s="1" t="str">
        <f aca="false">IF(J344=1,"-5",IF(OR(J344=2,J344=3),"-4",IF(OR(J344=4,J344=5),"-3",IF(OR(J344=6,J344=7),"-2",IF(OR(J344=8,J344=9),"-1",IF(OR(J344=10,J344=11),"0",IF(OR(J344=12,J344=13),"+1",IF(OR(J344=14,J344=15),"+2",IF(OR(J344=16,J344=17),"+3",IF(OR(J344=18,J344=19),"+4",IF(OR(J344=20,J344=21),"+5",IF(OR(J344=22,J344=23),"+6",IF(OR(J344=24,J344=25),"+7",IF(OR(J344=26,J344=27),"+8",IF(OR(J344=28,J344=29),"+9",IF(J344=30,"+10"," "))))))))))))))))</f>
        <v>+4</v>
      </c>
      <c r="L344" s="3" t="n">
        <v>14</v>
      </c>
      <c r="M344" s="1" t="str">
        <f aca="false">IF(L344=1,"-5",IF(OR(L344=2,L344=3),"-4",IF(OR(L344=4,L344=5),"-3",IF(OR(L344=6,L344=7),"-2",IF(OR(L344=8,L344=9),"-1",IF(OR(L344=10,L344=11),"0",IF(OR(L344=12,L344=13),"+1",IF(OR(L344=14,L344=15),"+2",IF(OR(L344=16,L344=17),"+3",IF(OR(L344=18,L344=19),"+4",IF(OR(L344=20,L344=21),"+5",IF(OR(L344=22,L344=23),"+6",IF(OR(L344=24,L344=25),"+7",IF(OR(L344=26,L344=27),"+8",IF(OR(L344=28,L344=29),"+9",IF(L344=30,"+10"," "))))))))))))))))</f>
        <v>+2</v>
      </c>
      <c r="N344" s="3" t="n">
        <v>15</v>
      </c>
      <c r="O344" s="1" t="str">
        <f aca="false">IF(N344=1,"-5",IF(OR(N344=2,N344=3),"-4",IF(OR(N344=4,N344=5),"-3",IF(OR(N344=6,N344=7),"-2",IF(OR(N344=8,N344=9),"-1",IF(OR(N344=10,N344=11),"0",IF(OR(N344=12,N344=13),"+1",IF(OR(N344=14,N344=15),"+2",IF(OR(N344=16,N344=17),"+3",IF(OR(N344=18,N344=19),"+4",IF(OR(N344=20,N344=21),"+5",IF(OR(N344=22,N344=23),"+6",IF(OR(N344=24,N344=25),"+7",IF(OR(N344=26,N344=27),"+8",IF(OR(N344=28,N344=29),"+9",IF(N344=30,"+10"," "))))))))))))))))</f>
        <v>+2</v>
      </c>
      <c r="P344" s="3" t="n">
        <v>9</v>
      </c>
      <c r="Q344" s="1" t="str">
        <f aca="false">IF(P344=1,"-5",IF(OR(P344=2,P344=3),"-4",IF(OR(P344=4,P344=5),"-3",IF(OR(P344=6,P344=7),"-2",IF(OR(P344=8,P344=9),"-1",IF(OR(P344=10,P344=11),"0",IF(OR(P344=12,P344=13),"+1",IF(OR(P344=14,P344=15),"+2",IF(OR(P344=16,P344=17),"+3",IF(OR(P344=18,P344=19),"+4",IF(OR(P344=20,P344=21),"+5",IF(OR(P344=22,P344=23),"+6",IF(OR(P344=24,P344=25),"+7",IF(OR(P344=26,P344=27),"+8",IF(OR(P344=28,P344=29),"+9",IF(P344=30,"+10"," "))))))))))))))))</f>
        <v>-1</v>
      </c>
      <c r="R344" s="3" t="n">
        <v>12</v>
      </c>
      <c r="S344" s="1" t="str">
        <f aca="false">IF(R344=1,"-5",IF(OR(R344=2,R344=3),"-4",IF(OR(R344=4,R344=5),"-3",IF(OR(R344=6,R344=7),"-2",IF(OR(R344=8,R344=9),"-1",IF(OR(R344=10,R344=11),"0",IF(OR(R344=12,R344=13),"+1",IF(OR(R344=14,R344=15),"+2",IF(OR(R344=16,R344=17),"+3",IF(OR(R344=18,R344=19),"+4",IF(OR(R344=20,R344=21),"+5",IF(OR(R344=22,R344=23),"+6",IF(OR(R344=24,R344=25),"+7",IF(OR(R344=26,R344=27),"+8",IF(OR(R344=28,R344=29),"+9",IF(R344=30,"+10"," "))))))))))))))))</f>
        <v>+1</v>
      </c>
      <c r="T344" s="3" t="n">
        <v>6</v>
      </c>
      <c r="U344" s="1" t="str">
        <f aca="false">IF(T344=1,"-5",IF(OR(T344=2,T344=3),"-4",IF(OR(T344=4,T344=5),"-3",IF(OR(T344=6,T344=7),"-2",IF(OR(T344=8,T344=9),"-1",IF(OR(T344=10,T344=11),"0",IF(OR(T344=12,T344=13),"+1",IF(OR(T344=14,T344=15),"+2",IF(OR(T344=16,T344=17),"+3",IF(OR(T344=18,T344=19),"+4",IF(OR(T344=20,T344=21),"+5",IF(OR(T344=22,T344=23),"+6",IF(OR(T344=24,T344=25),"+7",IF(OR(T344=26,T344=27),"+8",IF(OR(T344=28,T344=29),"+9",IF(T344=30,"+10"," "))))))))))))))))</f>
        <v>-2</v>
      </c>
      <c r="V344" s="3" t="s">
        <v>1748</v>
      </c>
      <c r="W344" s="3" t="s">
        <v>1431</v>
      </c>
      <c r="X344" s="11" t="s">
        <v>1749</v>
      </c>
      <c r="Y344" s="11" t="s">
        <v>1750</v>
      </c>
      <c r="Z344" s="11" t="s">
        <v>37</v>
      </c>
      <c r="AA344" s="12" t="s">
        <v>37</v>
      </c>
    </row>
    <row r="345" customFormat="false" ht="16.4" hidden="false" customHeight="false" outlineLevel="0" collapsed="false">
      <c r="A345" s="15" t="s">
        <v>1751</v>
      </c>
      <c r="B345" s="3" t="s">
        <v>59</v>
      </c>
      <c r="C345" s="3" t="s">
        <v>37</v>
      </c>
      <c r="D345" s="16" t="n">
        <v>0</v>
      </c>
      <c r="E345" s="3" t="n">
        <f aca="false">VLOOKUP(D345,'[1]REF Tables'!$A$2:$B$40,2)</f>
        <v>10</v>
      </c>
      <c r="F345" s="3" t="s">
        <v>315</v>
      </c>
      <c r="G345" s="3" t="n">
        <v>10</v>
      </c>
      <c r="H345" s="3" t="s">
        <v>438</v>
      </c>
      <c r="I345" s="3" t="s">
        <v>563</v>
      </c>
      <c r="J345" s="3" t="n">
        <v>2</v>
      </c>
      <c r="K345" s="1" t="str">
        <f aca="false">IF(J345=1,"-5",IF(OR(J345=2,J345=3),"-4",IF(OR(J345=4,J345=5),"-3",IF(OR(J345=6,J345=7),"-2",IF(OR(J345=8,J345=9),"-1",IF(OR(J345=10,J345=11),"0",IF(OR(J345=12,J345=13),"+1",IF(OR(J345=14,J345=15),"+2",IF(OR(J345=16,J345=17),"+3",IF(OR(J345=18,J345=19),"+4",IF(OR(J345=20,J345=21),"+5",IF(OR(J345=22,J345=23),"+6",IF(OR(J345=24,J345=25),"+7",IF(OR(J345=26,J345=27),"+8",IF(OR(J345=28,J345=29),"+9",IF(J345=30,"+10"," "))))))))))))))))</f>
        <v>-4</v>
      </c>
      <c r="L345" s="3" t="n">
        <v>11</v>
      </c>
      <c r="M345" s="1" t="str">
        <f aca="false">IF(L345=1,"-5",IF(OR(L345=2,L345=3),"-4",IF(OR(L345=4,L345=5),"-3",IF(OR(L345=6,L345=7),"-2",IF(OR(L345=8,L345=9),"-1",IF(OR(L345=10,L345=11),"0",IF(OR(L345=12,L345=13),"+1",IF(OR(L345=14,L345=15),"+2",IF(OR(L345=16,L345=17),"+3",IF(OR(L345=18,L345=19),"+4",IF(OR(L345=20,L345=21),"+5",IF(OR(L345=22,L345=23),"+6",IF(OR(L345=24,L345=25),"+7",IF(OR(L345=26,L345=27),"+8",IF(OR(L345=28,L345=29),"+9",IF(L345=30,"+10"," "))))))))))))))))</f>
        <v>0</v>
      </c>
      <c r="N345" s="3" t="n">
        <v>10</v>
      </c>
      <c r="O345" s="1" t="str">
        <f aca="false">IF(N345=1,"-5",IF(OR(N345=2,N345=3),"-4",IF(OR(N345=4,N345=5),"-3",IF(OR(N345=6,N345=7),"-2",IF(OR(N345=8,N345=9),"-1",IF(OR(N345=10,N345=11),"0",IF(OR(N345=12,N345=13),"+1",IF(OR(N345=14,N345=15),"+2",IF(OR(N345=16,N345=17),"+3",IF(OR(N345=18,N345=19),"+4",IF(OR(N345=20,N345=21),"+5",IF(OR(N345=22,N345=23),"+6",IF(OR(N345=24,N345=25),"+7",IF(OR(N345=26,N345=27),"+8",IF(OR(N345=28,N345=29),"+9",IF(N345=30,"+10"," "))))))))))))))))</f>
        <v>0</v>
      </c>
      <c r="P345" s="3" t="n">
        <v>1</v>
      </c>
      <c r="Q345" s="1" t="str">
        <f aca="false">IF(P345=1,"-5",IF(OR(P345=2,P345=3),"-4",IF(OR(P345=4,P345=5),"-3",IF(OR(P345=6,P345=7),"-2",IF(OR(P345=8,P345=9),"-1",IF(OR(P345=10,P345=11),"0",IF(OR(P345=12,P345=13),"+1",IF(OR(P345=14,P345=15),"+2",IF(OR(P345=16,P345=17),"+3",IF(OR(P345=18,P345=19),"+4",IF(OR(P345=20,P345=21),"+5",IF(OR(P345=22,P345=23),"+6",IF(OR(P345=24,P345=25),"+7",IF(OR(P345=26,P345=27),"+8",IF(OR(P345=28,P345=29),"+9",IF(P345=30,"+10"," "))))))))))))))))</f>
        <v>-5</v>
      </c>
      <c r="R345" s="3" t="n">
        <v>8</v>
      </c>
      <c r="S345" s="1" t="str">
        <f aca="false">IF(R345=1,"-5",IF(OR(R345=2,R345=3),"-4",IF(OR(R345=4,R345=5),"-3",IF(OR(R345=6,R345=7),"-2",IF(OR(R345=8,R345=9),"-1",IF(OR(R345=10,R345=11),"0",IF(OR(R345=12,R345=13),"+1",IF(OR(R345=14,R345=15),"+2",IF(OR(R345=16,R345=17),"+3",IF(OR(R345=18,R345=19),"+4",IF(OR(R345=20,R345=21),"+5",IF(OR(R345=22,R345=23),"+6",IF(OR(R345=24,R345=25),"+7",IF(OR(R345=26,R345=27),"+8",IF(OR(R345=28,R345=29),"+9",IF(R345=30,"+10"," "))))))))))))))))</f>
        <v>-1</v>
      </c>
      <c r="T345" s="3" t="n">
        <v>3</v>
      </c>
      <c r="U345" s="1" t="str">
        <f aca="false">IF(T345=1,"-5",IF(OR(T345=2,T345=3),"-4",IF(OR(T345=4,T345=5),"-3",IF(OR(T345=6,T345=7),"-2",IF(OR(T345=8,T345=9),"-1",IF(OR(T345=10,T345=11),"0",IF(OR(T345=12,T345=13),"+1",IF(OR(T345=14,T345=15),"+2",IF(OR(T345=16,T345=17),"+3",IF(OR(T345=18,T345=19),"+4",IF(OR(T345=20,T345=21),"+5",IF(OR(T345=22,T345=23),"+6",IF(OR(T345=24,T345=25),"+7",IF(OR(T345=26,T345=27),"+8",IF(OR(T345=28,T345=29),"+9",IF(T345=30,"+10"," "))))))))))))))))</f>
        <v>-4</v>
      </c>
      <c r="V345" s="3" t="s">
        <v>37</v>
      </c>
      <c r="W345" s="3" t="s">
        <v>37</v>
      </c>
      <c r="X345" s="11" t="s">
        <v>1752</v>
      </c>
      <c r="Y345" s="11" t="s">
        <v>1753</v>
      </c>
      <c r="Z345" s="11" t="s">
        <v>37</v>
      </c>
      <c r="AA345" s="12" t="s">
        <v>37</v>
      </c>
    </row>
    <row r="346" customFormat="false" ht="16.4" hidden="false" customHeight="false" outlineLevel="0" collapsed="false">
      <c r="A346" s="15" t="s">
        <v>1754</v>
      </c>
      <c r="B346" s="3" t="s">
        <v>59</v>
      </c>
      <c r="C346" s="3" t="s">
        <v>37</v>
      </c>
      <c r="D346" s="16" t="n">
        <v>0.25</v>
      </c>
      <c r="E346" s="3" t="n">
        <f aca="false">VLOOKUP(D346,'[1]REF Tables'!$A$2:$B$40,2)</f>
        <v>50</v>
      </c>
      <c r="F346" s="3" t="s">
        <v>50</v>
      </c>
      <c r="G346" s="3" t="n">
        <v>12</v>
      </c>
      <c r="H346" s="3" t="s">
        <v>304</v>
      </c>
      <c r="I346" s="3" t="s">
        <v>131</v>
      </c>
      <c r="J346" s="3" t="n">
        <v>15</v>
      </c>
      <c r="K346" s="1" t="str">
        <f aca="false">IF(J346=1,"-5",IF(OR(J346=2,J346=3),"-4",IF(OR(J346=4,J346=5),"-3",IF(OR(J346=6,J346=7),"-2",IF(OR(J346=8,J346=9),"-1",IF(OR(J346=10,J346=11),"0",IF(OR(J346=12,J346=13),"+1",IF(OR(J346=14,J346=15),"+2",IF(OR(J346=16,J346=17),"+3",IF(OR(J346=18,J346=19),"+4",IF(OR(J346=20,J346=21),"+5",IF(OR(J346=22,J346=23),"+6",IF(OR(J346=24,J346=25),"+7",IF(OR(J346=26,J346=27),"+8",IF(OR(J346=28,J346=29),"+9",IF(J346=30,"+10"," "))))))))))))))))</f>
        <v>+2</v>
      </c>
      <c r="L346" s="3" t="n">
        <v>12</v>
      </c>
      <c r="M346" s="1" t="str">
        <f aca="false">IF(L346=1,"-5",IF(OR(L346=2,L346=3),"-4",IF(OR(L346=4,L346=5),"-3",IF(OR(L346=6,L346=7),"-2",IF(OR(L346=8,L346=9),"-1",IF(OR(L346=10,L346=11),"0",IF(OR(L346=12,L346=13),"+1",IF(OR(L346=14,L346=15),"+2",IF(OR(L346=16,L346=17),"+3",IF(OR(L346=18,L346=19),"+4",IF(OR(L346=20,L346=21),"+5",IF(OR(L346=22,L346=23),"+6",IF(OR(L346=24,L346=25),"+7",IF(OR(L346=26,L346=27),"+8",IF(OR(L346=28,L346=29),"+9",IF(L346=30,"+10"," "))))))))))))))))</f>
        <v>+1</v>
      </c>
      <c r="N346" s="3" t="n">
        <v>13</v>
      </c>
      <c r="O346" s="1" t="str">
        <f aca="false">IF(N346=1,"-5",IF(OR(N346=2,N346=3),"-4",IF(OR(N346=4,N346=5),"-3",IF(OR(N346=6,N346=7),"-2",IF(OR(N346=8,N346=9),"-1",IF(OR(N346=10,N346=11),"0",IF(OR(N346=12,N346=13),"+1",IF(OR(N346=14,N346=15),"+2",IF(OR(N346=16,N346=17),"+3",IF(OR(N346=18,N346=19),"+4",IF(OR(N346=20,N346=21),"+5",IF(OR(N346=22,N346=23),"+6",IF(OR(N346=24,N346=25),"+7",IF(OR(N346=26,N346=27),"+8",IF(OR(N346=28,N346=29),"+9",IF(N346=30,"+10"," "))))))))))))))))</f>
        <v>+1</v>
      </c>
      <c r="P346" s="3" t="n">
        <v>2</v>
      </c>
      <c r="Q346" s="1" t="str">
        <f aca="false">IF(P346=1,"-5",IF(OR(P346=2,P346=3),"-4",IF(OR(P346=4,P346=5),"-3",IF(OR(P346=6,P346=7),"-2",IF(OR(P346=8,P346=9),"-1",IF(OR(P346=10,P346=11),"0",IF(OR(P346=12,P346=13),"+1",IF(OR(P346=14,P346=15),"+2",IF(OR(P346=16,P346=17),"+3",IF(OR(P346=18,P346=19),"+4",IF(OR(P346=20,P346=21),"+5",IF(OR(P346=22,P346=23),"+6",IF(OR(P346=24,P346=25),"+7",IF(OR(P346=26,P346=27),"+8",IF(OR(P346=28,P346=29),"+9",IF(P346=30,"+10"," "))))))))))))))))</f>
        <v>-4</v>
      </c>
      <c r="R346" s="3" t="n">
        <v>10</v>
      </c>
      <c r="S346" s="1" t="str">
        <f aca="false">IF(R346=1,"-5",IF(OR(R346=2,R346=3),"-4",IF(OR(R346=4,R346=5),"-3",IF(OR(R346=6,R346=7),"-2",IF(OR(R346=8,R346=9),"-1",IF(OR(R346=10,R346=11),"0",IF(OR(R346=12,R346=13),"+1",IF(OR(R346=14,R346=15),"+2",IF(OR(R346=16,R346=17),"+3",IF(OR(R346=18,R346=19),"+4",IF(OR(R346=20,R346=21),"+5",IF(OR(R346=22,R346=23),"+6",IF(OR(R346=24,R346=25),"+7",IF(OR(R346=26,R346=27),"+8",IF(OR(R346=28,R346=29),"+9",IF(R346=30,"+10"," "))))))))))))))))</f>
        <v>0</v>
      </c>
      <c r="T346" s="3" t="n">
        <v>5</v>
      </c>
      <c r="U346" s="1" t="str">
        <f aca="false">IF(T346=1,"-5",IF(OR(T346=2,T346=3),"-4",IF(OR(T346=4,T346=5),"-3",IF(OR(T346=6,T346=7),"-2",IF(OR(T346=8,T346=9),"-1",IF(OR(T346=10,T346=11),"0",IF(OR(T346=12,T346=13),"+1",IF(OR(T346=14,T346=15),"+2",IF(OR(T346=16,T346=17),"+3",IF(OR(T346=18,T346=19),"+4",IF(OR(T346=20,T346=21),"+5",IF(OR(T346=22,T346=23),"+6",IF(OR(T346=24,T346=25),"+7",IF(OR(T346=26,T346=27),"+8",IF(OR(T346=28,T346=29),"+9",IF(T346=30,"+10"," "))))))))))))))))</f>
        <v>-3</v>
      </c>
      <c r="V346" s="3" t="s">
        <v>37</v>
      </c>
      <c r="W346" s="3" t="s">
        <v>37</v>
      </c>
      <c r="X346" s="11" t="s">
        <v>1755</v>
      </c>
      <c r="Y346" s="11" t="s">
        <v>1756</v>
      </c>
      <c r="Z346" s="11"/>
      <c r="AA346" s="12"/>
    </row>
    <row r="347" customFormat="false" ht="16.4" hidden="false" customHeight="false" outlineLevel="0" collapsed="false">
      <c r="A347" s="15" t="s">
        <v>1757</v>
      </c>
      <c r="B347" s="3" t="s">
        <v>77</v>
      </c>
      <c r="C347" s="3" t="s">
        <v>78</v>
      </c>
      <c r="D347" s="16" t="n">
        <v>21</v>
      </c>
      <c r="E347" s="6" t="n">
        <f aca="false">VLOOKUP(D347,'[1]REF Tables'!$A$2:$B$40,2)</f>
        <v>33000</v>
      </c>
      <c r="F347" s="3" t="s">
        <v>30</v>
      </c>
      <c r="G347" s="3" t="n">
        <v>17</v>
      </c>
      <c r="H347" s="3" t="s">
        <v>1758</v>
      </c>
      <c r="I347" s="3" t="s">
        <v>42</v>
      </c>
      <c r="J347" s="3" t="n">
        <v>11</v>
      </c>
      <c r="K347" s="1" t="str">
        <f aca="false">IF(J347=1,"-5",IF(OR(J347=2,J347=3),"-4",IF(OR(J347=4,J347=5),"-3",IF(OR(J347=6,J347=7),"-2",IF(OR(J347=8,J347=9),"-1",IF(OR(J347=10,J347=11),"0",IF(OR(J347=12,J347=13),"+1",IF(OR(J347=14,J347=15),"+2",IF(OR(J347=16,J347=17),"+3",IF(OR(J347=18,J347=19),"+4",IF(OR(J347=20,J347=21),"+5",IF(OR(J347=22,J347=23),"+6",IF(OR(J347=24,J347=25),"+7",IF(OR(J347=26,J347=27),"+8",IF(OR(J347=28,J347=29),"+9",IF(J347=30,"+10"," "))))))))))))))))</f>
        <v>0</v>
      </c>
      <c r="L347" s="3" t="n">
        <v>16</v>
      </c>
      <c r="M347" s="1" t="str">
        <f aca="false">IF(L347=1,"-5",IF(OR(L347=2,L347=3),"-4",IF(OR(L347=4,L347=5),"-3",IF(OR(L347=6,L347=7),"-2",IF(OR(L347=8,L347=9),"-1",IF(OR(L347=10,L347=11),"0",IF(OR(L347=12,L347=13),"+1",IF(OR(L347=14,L347=15),"+2",IF(OR(L347=16,L347=17),"+3",IF(OR(L347=18,L347=19),"+4",IF(OR(L347=20,L347=21),"+5",IF(OR(L347=22,L347=23),"+6",IF(OR(L347=24,L347=25),"+7",IF(OR(L347=26,L347=27),"+8",IF(OR(L347=28,L347=29),"+9",IF(L347=30,"+10"," "))))))))))))))))</f>
        <v>+3</v>
      </c>
      <c r="N347" s="3" t="n">
        <v>16</v>
      </c>
      <c r="O347" s="1" t="str">
        <f aca="false">IF(N347=1,"-5",IF(OR(N347=2,N347=3),"-4",IF(OR(N347=4,N347=5),"-3",IF(OR(N347=6,N347=7),"-2",IF(OR(N347=8,N347=9),"-1",IF(OR(N347=10,N347=11),"0",IF(OR(N347=12,N347=13),"+1",IF(OR(N347=14,N347=15),"+2",IF(OR(N347=16,N347=17),"+3",IF(OR(N347=18,N347=19),"+4",IF(OR(N347=20,N347=21),"+5",IF(OR(N347=22,N347=23),"+6",IF(OR(N347=24,N347=25),"+7",IF(OR(N347=26,N347=27),"+8",IF(OR(N347=28,N347=29),"+9",IF(N347=30,"+10"," "))))))))))))))))</f>
        <v>+3</v>
      </c>
      <c r="P347" s="3" t="n">
        <v>20</v>
      </c>
      <c r="Q347" s="1" t="str">
        <f aca="false">IF(P347=1,"-5",IF(OR(P347=2,P347=3),"-4",IF(OR(P347=4,P347=5),"-3",IF(OR(P347=6,P347=7),"-2",IF(OR(P347=8,P347=9),"-1",IF(OR(P347=10,P347=11),"0",IF(OR(P347=12,P347=13),"+1",IF(OR(P347=14,P347=15),"+2",IF(OR(P347=16,P347=17),"+3",IF(OR(P347=18,P347=19),"+4",IF(OR(P347=20,P347=21),"+5",IF(OR(P347=22,P347=23),"+6",IF(OR(P347=24,P347=25),"+7",IF(OR(P347=26,P347=27),"+8",IF(OR(P347=28,P347=29),"+9",IF(P347=30,"+10"," "))))))))))))))))</f>
        <v>+5</v>
      </c>
      <c r="R347" s="3" t="n">
        <v>14</v>
      </c>
      <c r="S347" s="1" t="str">
        <f aca="false">IF(R347=1,"-5",IF(OR(R347=2,R347=3),"-4",IF(OR(R347=4,R347=5),"-3",IF(OR(R347=6,R347=7),"-2",IF(OR(R347=8,R347=9),"-1",IF(OR(R347=10,R347=11),"0",IF(OR(R347=12,R347=13),"+1",IF(OR(R347=14,R347=15),"+2",IF(OR(R347=16,R347=17),"+3",IF(OR(R347=18,R347=19),"+4",IF(OR(R347=20,R347=21),"+5",IF(OR(R347=22,R347=23),"+6",IF(OR(R347=24,R347=25),"+7",IF(OR(R347=26,R347=27),"+8",IF(OR(R347=28,R347=29),"+9",IF(R347=30,"+10"," "))))))))))))))))</f>
        <v>+2</v>
      </c>
      <c r="T347" s="3" t="n">
        <v>16</v>
      </c>
      <c r="U347" s="1" t="str">
        <f aca="false">IF(T347=1,"-5",IF(OR(T347=2,T347=3),"-4",IF(OR(T347=4,T347=5),"-3",IF(OR(T347=6,T347=7),"-2",IF(OR(T347=8,T347=9),"-1",IF(OR(T347=10,T347=11),"0",IF(OR(T347=12,T347=13),"+1",IF(OR(T347=14,T347=15),"+2",IF(OR(T347=16,T347=17),"+3",IF(OR(T347=18,T347=19),"+4",IF(OR(T347=20,T347=21),"+5",IF(OR(T347=22,T347=23),"+6",IF(OR(T347=24,T347=25),"+7",IF(OR(T347=26,T347=27),"+8",IF(OR(T347=28,T347=29),"+9",IF(T347=30,"+10"," "))))))))))))))))</f>
        <v>+3</v>
      </c>
      <c r="V347" s="3" t="s">
        <v>1759</v>
      </c>
      <c r="W347" s="3" t="s">
        <v>1760</v>
      </c>
      <c r="X347" s="11" t="s">
        <v>1761</v>
      </c>
      <c r="Y347" s="11" t="s">
        <v>1762</v>
      </c>
      <c r="Z347" s="11" t="s">
        <v>37</v>
      </c>
      <c r="AA347" s="12" t="s">
        <v>1763</v>
      </c>
    </row>
    <row r="348" customFormat="false" ht="16.4" hidden="false" customHeight="false" outlineLevel="0" collapsed="false">
      <c r="A348" s="15" t="s">
        <v>1764</v>
      </c>
      <c r="B348" s="3" t="s">
        <v>548</v>
      </c>
      <c r="C348" s="3" t="s">
        <v>502</v>
      </c>
      <c r="D348" s="16" t="n">
        <v>5</v>
      </c>
      <c r="E348" s="6" t="n">
        <f aca="false">VLOOKUP(D348,'[1]REF Tables'!$A$2:$B$40,2)</f>
        <v>1800</v>
      </c>
      <c r="F348" s="3" t="s">
        <v>50</v>
      </c>
      <c r="G348" s="3" t="n">
        <v>12</v>
      </c>
      <c r="H348" s="3" t="s">
        <v>1747</v>
      </c>
      <c r="I348" s="3" t="s">
        <v>210</v>
      </c>
      <c r="J348" s="3" t="n">
        <v>18</v>
      </c>
      <c r="K348" s="1" t="str">
        <f aca="false">IF(J348=1,"-5",IF(OR(J348=2,J348=3),"-4",IF(OR(J348=4,J348=5),"-3",IF(OR(J348=6,J348=7),"-2",IF(OR(J348=8,J348=9),"-1",IF(OR(J348=10,J348=11),"0",IF(OR(J348=12,J348=13),"+1",IF(OR(J348=14,J348=15),"+2",IF(OR(J348=16,J348=17),"+3",IF(OR(J348=18,J348=19),"+4",IF(OR(J348=20,J348=21),"+5",IF(OR(J348=22,J348=23),"+6",IF(OR(J348=24,J348=25),"+7",IF(OR(J348=26,J348=27),"+8",IF(OR(J348=28,J348=29),"+9",IF(J348=30,"+10"," "))))))))))))))))</f>
        <v>+4</v>
      </c>
      <c r="L348" s="3" t="n">
        <v>14</v>
      </c>
      <c r="M348" s="1" t="str">
        <f aca="false">IF(L348=1,"-5",IF(OR(L348=2,L348=3),"-4",IF(OR(L348=4,L348=5),"-3",IF(OR(L348=6,L348=7),"-2",IF(OR(L348=8,L348=9),"-1",IF(OR(L348=10,L348=11),"0",IF(OR(L348=12,L348=13),"+1",IF(OR(L348=14,L348=15),"+2",IF(OR(L348=16,L348=17),"+3",IF(OR(L348=18,L348=19),"+4",IF(OR(L348=20,L348=21),"+5",IF(OR(L348=22,L348=23),"+6",IF(OR(L348=24,L348=25),"+7",IF(OR(L348=26,L348=27),"+8",IF(OR(L348=28,L348=29),"+9",IF(L348=30,"+10"," "))))))))))))))))</f>
        <v>+2</v>
      </c>
      <c r="N348" s="3" t="n">
        <v>15</v>
      </c>
      <c r="O348" s="1" t="str">
        <f aca="false">IF(N348=1,"-5",IF(OR(N348=2,N348=3),"-4",IF(OR(N348=4,N348=5),"-3",IF(OR(N348=6,N348=7),"-2",IF(OR(N348=8,N348=9),"-1",IF(OR(N348=10,N348=11),"0",IF(OR(N348=12,N348=13),"+1",IF(OR(N348=14,N348=15),"+2",IF(OR(N348=16,N348=17),"+3",IF(OR(N348=18,N348=19),"+4",IF(OR(N348=20,N348=21),"+5",IF(OR(N348=22,N348=23),"+6",IF(OR(N348=24,N348=25),"+7",IF(OR(N348=26,N348=27),"+8",IF(OR(N348=28,N348=29),"+9",IF(N348=30,"+10"," "))))))))))))))))</f>
        <v>+2</v>
      </c>
      <c r="P348" s="3" t="n">
        <v>11</v>
      </c>
      <c r="Q348" s="1" t="str">
        <f aca="false">IF(P348=1,"-5",IF(OR(P348=2,P348=3),"-4",IF(OR(P348=4,P348=5),"-3",IF(OR(P348=6,P348=7),"-2",IF(OR(P348=8,P348=9),"-1",IF(OR(P348=10,P348=11),"0",IF(OR(P348=12,P348=13),"+1",IF(OR(P348=14,P348=15),"+2",IF(OR(P348=16,P348=17),"+3",IF(OR(P348=18,P348=19),"+4",IF(OR(P348=20,P348=21),"+5",IF(OR(P348=22,P348=23),"+6",IF(OR(P348=24,P348=25),"+7",IF(OR(P348=26,P348=27),"+8",IF(OR(P348=28,P348=29),"+9",IF(P348=30,"+10"," "))))))))))))))))</f>
        <v>0</v>
      </c>
      <c r="R348" s="3" t="n">
        <v>17</v>
      </c>
      <c r="S348" s="1" t="str">
        <f aca="false">IF(R348=1,"-5",IF(OR(R348=2,R348=3),"-4",IF(OR(R348=4,R348=5),"-3",IF(OR(R348=6,R348=7),"-2",IF(OR(R348=8,R348=9),"-1",IF(OR(R348=10,R348=11),"0",IF(OR(R348=12,R348=13),"+1",IF(OR(R348=14,R348=15),"+2",IF(OR(R348=16,R348=17),"+3",IF(OR(R348=18,R348=19),"+4",IF(OR(R348=20,R348=21),"+5",IF(OR(R348=22,R348=23),"+6",IF(OR(R348=24,R348=25),"+7",IF(OR(R348=26,R348=27),"+8",IF(OR(R348=28,R348=29),"+9",IF(R348=30,"+10"," "))))))))))))))))</f>
        <v>+3</v>
      </c>
      <c r="T348" s="3" t="n">
        <v>16</v>
      </c>
      <c r="U348" s="1" t="str">
        <f aca="false">IF(T348=1,"-5",IF(OR(T348=2,T348=3),"-4",IF(OR(T348=4,T348=5),"-3",IF(OR(T348=6,T348=7),"-2",IF(OR(T348=8,T348=9),"-1",IF(OR(T348=10,T348=11),"0",IF(OR(T348=12,T348=13),"+1",IF(OR(T348=14,T348=15),"+2",IF(OR(T348=16,T348=17),"+3",IF(OR(T348=18,T348=19),"+4",IF(OR(T348=20,T348=21),"+5",IF(OR(T348=22,T348=23),"+6",IF(OR(T348=24,T348=25),"+7",IF(OR(T348=26,T348=27),"+8",IF(OR(T348=28,T348=29),"+9",IF(T348=30,"+10"," "))))))))))))))))</f>
        <v>+3</v>
      </c>
      <c r="V348" s="3" t="s">
        <v>37</v>
      </c>
      <c r="W348" s="3" t="s">
        <v>1765</v>
      </c>
      <c r="X348" s="11" t="s">
        <v>1766</v>
      </c>
      <c r="Y348" s="11" t="s">
        <v>1767</v>
      </c>
      <c r="Z348" s="11" t="s">
        <v>37</v>
      </c>
      <c r="AA348" s="12" t="s">
        <v>1768</v>
      </c>
    </row>
    <row r="349" customFormat="false" ht="16.4" hidden="false" customHeight="false" outlineLevel="0" collapsed="false">
      <c r="A349" s="15" t="s">
        <v>1769</v>
      </c>
      <c r="B349" s="3" t="s">
        <v>158</v>
      </c>
      <c r="C349" s="3" t="s">
        <v>85</v>
      </c>
      <c r="D349" s="16" t="n">
        <v>0.5</v>
      </c>
      <c r="E349" s="3" t="n">
        <f aca="false">VLOOKUP(D349,'[1]REF Tables'!$A$2:$B$40,2)</f>
        <v>100</v>
      </c>
      <c r="F349" s="3" t="s">
        <v>30</v>
      </c>
      <c r="G349" s="3" t="n">
        <v>12</v>
      </c>
      <c r="H349" s="3" t="s">
        <v>1092</v>
      </c>
      <c r="I349" s="3" t="s">
        <v>1770</v>
      </c>
      <c r="J349" s="3" t="n">
        <v>15</v>
      </c>
      <c r="K349" s="1" t="str">
        <f aca="false">IF(J349=1,"-5",IF(OR(J349=2,J349=3),"-4",IF(OR(J349=4,J349=5),"-3",IF(OR(J349=6,J349=7),"-2",IF(OR(J349=8,J349=9),"-1",IF(OR(J349=10,J349=11),"0",IF(OR(J349=12,J349=13),"+1",IF(OR(J349=14,J349=15),"+2",IF(OR(J349=16,J349=17),"+3",IF(OR(J349=18,J349=19),"+4",IF(OR(J349=20,J349=21),"+5",IF(OR(J349=22,J349=23),"+6",IF(OR(J349=24,J349=25),"+7",IF(OR(J349=26,J349=27),"+8",IF(OR(J349=28,J349=29),"+9",IF(J349=30,"+10"," "))))))))))))))))</f>
        <v>+2</v>
      </c>
      <c r="L349" s="3" t="n">
        <v>8</v>
      </c>
      <c r="M349" s="1" t="str">
        <f aca="false">IF(L349=1,"-5",IF(OR(L349=2,L349=3),"-4",IF(OR(L349=4,L349=5),"-3",IF(OR(L349=6,L349=7),"-2",IF(OR(L349=8,L349=9),"-1",IF(OR(L349=10,L349=11),"0",IF(OR(L349=12,L349=13),"+1",IF(OR(L349=14,L349=15),"+2",IF(OR(L349=16,L349=17),"+3",IF(OR(L349=18,L349=19),"+4",IF(OR(L349=20,L349=21),"+5",IF(OR(L349=22,L349=23),"+6",IF(OR(L349=24,L349=25),"+7",IF(OR(L349=26,L349=27),"+8",IF(OR(L349=28,L349=29),"+9",IF(L349=30,"+10"," "))))))))))))))))</f>
        <v>-1</v>
      </c>
      <c r="N349" s="3" t="n">
        <v>14</v>
      </c>
      <c r="O349" s="1" t="str">
        <f aca="false">IF(N349=1,"-5",IF(OR(N349=2,N349=3),"-4",IF(OR(N349=4,N349=5),"-3",IF(OR(N349=6,N349=7),"-2",IF(OR(N349=8,N349=9),"-1",IF(OR(N349=10,N349=11),"0",IF(OR(N349=12,N349=13),"+1",IF(OR(N349=14,N349=15),"+2",IF(OR(N349=16,N349=17),"+3",IF(OR(N349=18,N349=19),"+4",IF(OR(N349=20,N349=21),"+5",IF(OR(N349=22,N349=23),"+6",IF(OR(N349=24,N349=25),"+7",IF(OR(N349=26,N349=27),"+8",IF(OR(N349=28,N349=29),"+9",IF(N349=30,"+10"," "))))))))))))))))</f>
        <v>+2</v>
      </c>
      <c r="P349" s="3" t="n">
        <v>5</v>
      </c>
      <c r="Q349" s="1" t="str">
        <f aca="false">IF(P349=1,"-5",IF(OR(P349=2,P349=3),"-4",IF(OR(P349=4,P349=5),"-3",IF(OR(P349=6,P349=7),"-2",IF(OR(P349=8,P349=9),"-1",IF(OR(P349=10,P349=11),"0",IF(OR(P349=12,P349=13),"+1",IF(OR(P349=14,P349=15),"+2",IF(OR(P349=16,P349=17),"+3",IF(OR(P349=18,P349=19),"+4",IF(OR(P349=20,P349=21),"+5",IF(OR(P349=22,P349=23),"+6",IF(OR(P349=24,P349=25),"+7",IF(OR(P349=26,P349=27),"+8",IF(OR(P349=28,P349=29),"+9",IF(P349=30,"+10"," "))))))))))))))))</f>
        <v>-3</v>
      </c>
      <c r="R349" s="3" t="n">
        <v>10</v>
      </c>
      <c r="S349" s="1" t="str">
        <f aca="false">IF(R349=1,"-5",IF(OR(R349=2,R349=3),"-4",IF(OR(R349=4,R349=5),"-3",IF(OR(R349=6,R349=7),"-2",IF(OR(R349=8,R349=9),"-1",IF(OR(R349=10,R349=11),"0",IF(OR(R349=12,R349=13),"+1",IF(OR(R349=14,R349=15),"+2",IF(OR(R349=16,R349=17),"+3",IF(OR(R349=18,R349=19),"+4",IF(OR(R349=20,R349=21),"+5",IF(OR(R349=22,R349=23),"+6",IF(OR(R349=24,R349=25),"+7",IF(OR(R349=26,R349=27),"+8",IF(OR(R349=28,R349=29),"+9",IF(R349=30,"+10"," "))))))))))))))))</f>
        <v>0</v>
      </c>
      <c r="T349" s="3" t="n">
        <v>3</v>
      </c>
      <c r="U349" s="1" t="str">
        <f aca="false">IF(T349=1,"-5",IF(OR(T349=2,T349=3),"-4",IF(OR(T349=4,T349=5),"-3",IF(OR(T349=6,T349=7),"-2",IF(OR(T349=8,T349=9),"-1",IF(OR(T349=10,T349=11),"0",IF(OR(T349=12,T349=13),"+1",IF(OR(T349=14,T349=15),"+2",IF(OR(T349=16,T349=17),"+3",IF(OR(T349=18,T349=19),"+4",IF(OR(T349=20,T349=21),"+5",IF(OR(T349=22,T349=23),"+6",IF(OR(T349=24,T349=25),"+7",IF(OR(T349=26,T349=27),"+8",IF(OR(T349=28,T349=29),"+9",IF(T349=30,"+10"," "))))))))))))))))</f>
        <v>-4</v>
      </c>
      <c r="V349" s="3" t="s">
        <v>1771</v>
      </c>
      <c r="W349" s="3" t="s">
        <v>271</v>
      </c>
      <c r="X349" s="11" t="s">
        <v>1772</v>
      </c>
      <c r="Y349" s="11" t="s">
        <v>1773</v>
      </c>
      <c r="Z349" s="11" t="s">
        <v>37</v>
      </c>
      <c r="AA349" s="12" t="s">
        <v>37</v>
      </c>
    </row>
    <row r="350" customFormat="false" ht="16.4" hidden="false" customHeight="false" outlineLevel="0" collapsed="false">
      <c r="A350" s="15" t="s">
        <v>1774</v>
      </c>
      <c r="B350" s="3" t="s">
        <v>59</v>
      </c>
      <c r="C350" s="3" t="s">
        <v>37</v>
      </c>
      <c r="D350" s="16" t="n">
        <v>1</v>
      </c>
      <c r="E350" s="3" t="n">
        <f aca="false">VLOOKUP(D350,'[1]REF Tables'!$A$2:$B$40,2)</f>
        <v>200</v>
      </c>
      <c r="F350" s="3" t="s">
        <v>50</v>
      </c>
      <c r="G350" s="3" t="n">
        <v>12</v>
      </c>
      <c r="H350" s="3" t="s">
        <v>70</v>
      </c>
      <c r="I350" s="3" t="s">
        <v>210</v>
      </c>
      <c r="J350" s="3" t="n">
        <v>17</v>
      </c>
      <c r="K350" s="1" t="str">
        <f aca="false">IF(J350=1,"-5",IF(OR(J350=2,J350=3),"-4",IF(OR(J350=4,J350=5),"-3",IF(OR(J350=6,J350=7),"-2",IF(OR(J350=8,J350=9),"-1",IF(OR(J350=10,J350=11),"0",IF(OR(J350=12,J350=13),"+1",IF(OR(J350=14,J350=15),"+2",IF(OR(J350=16,J350=17),"+3",IF(OR(J350=18,J350=19),"+4",IF(OR(J350=20,J350=21),"+5",IF(OR(J350=22,J350=23),"+6",IF(OR(J350=24,J350=25),"+7",IF(OR(J350=26,J350=27),"+8",IF(OR(J350=28,J350=29),"+9",IF(J350=30,"+10"," "))))))))))))))))</f>
        <v>+3</v>
      </c>
      <c r="L350" s="3" t="n">
        <v>15</v>
      </c>
      <c r="M350" s="1" t="str">
        <f aca="false">IF(L350=1,"-5",IF(OR(L350=2,L350=3),"-4",IF(OR(L350=4,L350=5),"-3",IF(OR(L350=6,L350=7),"-2",IF(OR(L350=8,L350=9),"-1",IF(OR(L350=10,L350=11),"0",IF(OR(L350=12,L350=13),"+1",IF(OR(L350=14,L350=15),"+2",IF(OR(L350=16,L350=17),"+3",IF(OR(L350=18,L350=19),"+4",IF(OR(L350=20,L350=21),"+5",IF(OR(L350=22,L350=23),"+6",IF(OR(L350=24,L350=25),"+7",IF(OR(L350=26,L350=27),"+8",IF(OR(L350=28,L350=29),"+9",IF(L350=30,"+10"," "))))))))))))))))</f>
        <v>+2</v>
      </c>
      <c r="N350" s="3" t="n">
        <v>13</v>
      </c>
      <c r="O350" s="1" t="str">
        <f aca="false">IF(N350=1,"-5",IF(OR(N350=2,N350=3),"-4",IF(OR(N350=4,N350=5),"-3",IF(OR(N350=6,N350=7),"-2",IF(OR(N350=8,N350=9),"-1",IF(OR(N350=10,N350=11),"0",IF(OR(N350=12,N350=13),"+1",IF(OR(N350=14,N350=15),"+2",IF(OR(N350=16,N350=17),"+3",IF(OR(N350=18,N350=19),"+4",IF(OR(N350=20,N350=21),"+5",IF(OR(N350=22,N350=23),"+6",IF(OR(N350=24,N350=25),"+7",IF(OR(N350=26,N350=27),"+8",IF(OR(N350=28,N350=29),"+9",IF(N350=30,"+10"," "))))))))))))))))</f>
        <v>+1</v>
      </c>
      <c r="P350" s="3" t="n">
        <v>3</v>
      </c>
      <c r="Q350" s="1" t="str">
        <f aca="false">IF(P350=1,"-5",IF(OR(P350=2,P350=3),"-4",IF(OR(P350=4,P350=5),"-3",IF(OR(P350=6,P350=7),"-2",IF(OR(P350=8,P350=9),"-1",IF(OR(P350=10,P350=11),"0",IF(OR(P350=12,P350=13),"+1",IF(OR(P350=14,P350=15),"+2",IF(OR(P350=16,P350=17),"+3",IF(OR(P350=18,P350=19),"+4",IF(OR(P350=20,P350=21),"+5",IF(OR(P350=22,P350=23),"+6",IF(OR(P350=24,P350=25),"+7",IF(OR(P350=26,P350=27),"+8",IF(OR(P350=28,P350=29),"+9",IF(P350=30,"+10"," "))))))))))))))))</f>
        <v>-4</v>
      </c>
      <c r="R350" s="3" t="n">
        <v>12</v>
      </c>
      <c r="S350" s="1" t="str">
        <f aca="false">IF(R350=1,"-5",IF(OR(R350=2,R350=3),"-4",IF(OR(R350=4,R350=5),"-3",IF(OR(R350=6,R350=7),"-2",IF(OR(R350=8,R350=9),"-1",IF(OR(R350=10,R350=11),"0",IF(OR(R350=12,R350=13),"+1",IF(OR(R350=14,R350=15),"+2",IF(OR(R350=16,R350=17),"+3",IF(OR(R350=18,R350=19),"+4",IF(OR(R350=20,R350=21),"+5",IF(OR(R350=22,R350=23),"+6",IF(OR(R350=24,R350=25),"+7",IF(OR(R350=26,R350=27),"+8",IF(OR(R350=28,R350=29),"+9",IF(R350=30,"+10"," "))))))))))))))))</f>
        <v>+1</v>
      </c>
      <c r="T350" s="3" t="n">
        <v>8</v>
      </c>
      <c r="U350" s="1" t="str">
        <f aca="false">IF(T350=1,"-5",IF(OR(T350=2,T350=3),"-4",IF(OR(T350=4,T350=5),"-3",IF(OR(T350=6,T350=7),"-2",IF(OR(T350=8,T350=9),"-1",IF(OR(T350=10,T350=11),"0",IF(OR(T350=12,T350=13),"+1",IF(OR(T350=14,T350=15),"+2",IF(OR(T350=16,T350=17),"+3",IF(OR(T350=18,T350=19),"+4",IF(OR(T350=20,T350=21),"+5",IF(OR(T350=22,T350=23),"+6",IF(OR(T350=24,T350=25),"+7",IF(OR(T350=26,T350=27),"+8",IF(OR(T350=28,T350=29),"+9",IF(T350=30,"+10"," "))))))))))))))))</f>
        <v>-1</v>
      </c>
      <c r="V350" s="3" t="s">
        <v>1775</v>
      </c>
      <c r="W350" s="3" t="s">
        <v>37</v>
      </c>
      <c r="X350" s="11" t="s">
        <v>1776</v>
      </c>
      <c r="Y350" s="11" t="s">
        <v>1777</v>
      </c>
      <c r="Z350" s="11" t="s">
        <v>37</v>
      </c>
      <c r="AA350" s="12" t="s">
        <v>37</v>
      </c>
    </row>
    <row r="351" customFormat="false" ht="16.4" hidden="false" customHeight="false" outlineLevel="0" collapsed="false">
      <c r="A351" s="14" t="s">
        <v>1778</v>
      </c>
      <c r="B351" s="1" t="s">
        <v>59</v>
      </c>
      <c r="C351" s="1" t="s">
        <v>37</v>
      </c>
      <c r="D351" s="5" t="n">
        <v>0.25</v>
      </c>
      <c r="E351" s="3" t="n">
        <f aca="false">VLOOKUP(D351,'[1]REF Tables'!$A$2:$B$40,2)</f>
        <v>50</v>
      </c>
      <c r="F351" s="1" t="s">
        <v>30</v>
      </c>
      <c r="G351" s="1" t="n">
        <v>13</v>
      </c>
      <c r="H351" s="1" t="s">
        <v>152</v>
      </c>
      <c r="I351" s="3" t="s">
        <v>224</v>
      </c>
      <c r="J351" s="1" t="n">
        <v>12</v>
      </c>
      <c r="K351" s="1" t="str">
        <f aca="false">IF(J351=1,"-5",IF(OR(J351=2,J351=3),"-4",IF(OR(J351=4,J351=5),"-3",IF(OR(J351=6,J351=7),"-2",IF(OR(J351=8,J351=9),"-1",IF(OR(J351=10,J351=11),"0",IF(OR(J351=12,J351=13),"+1",IF(OR(J351=14,J351=15),"+2",IF(OR(J351=16,J351=17),"+3",IF(OR(J351=18,J351=19),"+4",IF(OR(J351=20,J351=21),"+5",IF(OR(J351=22,J351=23),"+6",IF(OR(J351=24,J351=25),"+7",IF(OR(J351=26,J351=27),"+8",IF(OR(J351=28,J351=29),"+9",IF(J351=30,"+10"," "))))))))))))))))</f>
        <v>+1</v>
      </c>
      <c r="L351" s="1" t="n">
        <v>15</v>
      </c>
      <c r="M351" s="1" t="str">
        <f aca="false">IF(L351=1,"-5",IF(OR(L351=2,L351=3),"-4",IF(OR(L351=4,L351=5),"-3",IF(OR(L351=6,L351=7),"-2",IF(OR(L351=8,L351=9),"-1",IF(OR(L351=10,L351=11),"0",IF(OR(L351=12,L351=13),"+1",IF(OR(L351=14,L351=15),"+2",IF(OR(L351=16,L351=17),"+3",IF(OR(L351=18,L351=19),"+4",IF(OR(L351=20,L351=21),"+5",IF(OR(L351=22,L351=23),"+6",IF(OR(L351=24,L351=25),"+7",IF(OR(L351=26,L351=27),"+8",IF(OR(L351=28,L351=29),"+9",IF(L351=30,"+10"," "))))))))))))))))</f>
        <v>+2</v>
      </c>
      <c r="N351" s="1" t="n">
        <v>12</v>
      </c>
      <c r="O351" s="1" t="str">
        <f aca="false">IF(N351=1,"-5",IF(OR(N351=2,N351=3),"-4",IF(OR(N351=4,N351=5),"-3",IF(OR(N351=6,N351=7),"-2",IF(OR(N351=8,N351=9),"-1",IF(OR(N351=10,N351=11),"0",IF(OR(N351=12,N351=13),"+1",IF(OR(N351=14,N351=15),"+2",IF(OR(N351=16,N351=17),"+3",IF(OR(N351=18,N351=19),"+4",IF(OR(N351=20,N351=21),"+5",IF(OR(N351=22,N351=23),"+6",IF(OR(N351=24,N351=25),"+7",IF(OR(N351=26,N351=27),"+8",IF(OR(N351=28,N351=29),"+9",IF(N351=30,"+10"," "))))))))))))))))</f>
        <v>+1</v>
      </c>
      <c r="P351" s="1" t="n">
        <v>3</v>
      </c>
      <c r="Q351" s="1" t="str">
        <f aca="false">IF(P351=1,"-5",IF(OR(P351=2,P351=3),"-4",IF(OR(P351=4,P351=5),"-3",IF(OR(P351=6,P351=7),"-2",IF(OR(P351=8,P351=9),"-1",IF(OR(P351=10,P351=11),"0",IF(OR(P351=12,P351=13),"+1",IF(OR(P351=14,P351=15),"+2",IF(OR(P351=16,P351=17),"+3",IF(OR(P351=18,P351=19),"+4",IF(OR(P351=20,P351=21),"+5",IF(OR(P351=22,P351=23),"+6",IF(OR(P351=24,P351=25),"+7",IF(OR(P351=26,P351=27),"+8",IF(OR(P351=28,P351=29),"+9",IF(P351=30,"+10"," "))))))))))))))))</f>
        <v>-4</v>
      </c>
      <c r="R351" s="1" t="n">
        <v>12</v>
      </c>
      <c r="S351" s="1" t="str">
        <f aca="false">IF(R351=1,"-5",IF(OR(R351=2,R351=3),"-4",IF(OR(R351=4,R351=5),"-3",IF(OR(R351=6,R351=7),"-2",IF(OR(R351=8,R351=9),"-1",IF(OR(R351=10,R351=11),"0",IF(OR(R351=12,R351=13),"+1",IF(OR(R351=14,R351=15),"+2",IF(OR(R351=16,R351=17),"+3",IF(OR(R351=18,R351=19),"+4",IF(OR(R351=20,R351=21),"+5",IF(OR(R351=22,R351=23),"+6",IF(OR(R351=24,R351=25),"+7",IF(OR(R351=26,R351=27),"+8",IF(OR(R351=28,R351=29),"+9",IF(R351=30,"+10"," "))))))))))))))))</f>
        <v>+1</v>
      </c>
      <c r="T351" s="1" t="n">
        <v>6</v>
      </c>
      <c r="U351" s="1" t="str">
        <f aca="false">IF(T351=1,"-5",IF(OR(T351=2,T351=3),"-4",IF(OR(T351=4,T351=5),"-3",IF(OR(T351=6,T351=7),"-2",IF(OR(T351=8,T351=9),"-1",IF(OR(T351=10,T351=11),"0",IF(OR(T351=12,T351=13),"+1",IF(OR(T351=14,T351=15),"+2",IF(OR(T351=16,T351=17),"+3",IF(OR(T351=18,T351=19),"+4",IF(OR(T351=20,T351=21),"+5",IF(OR(T351=22,T351=23),"+6",IF(OR(T351=24,T351=25),"+7",IF(OR(T351=26,T351=27),"+8",IF(OR(T351=28,T351=29),"+9",IF(T351=30,"+10"," "))))))))))))))))</f>
        <v>-2</v>
      </c>
      <c r="V351" s="1" t="s">
        <v>37</v>
      </c>
      <c r="W351" s="1" t="s">
        <v>37</v>
      </c>
      <c r="X351" s="2" t="s">
        <v>1779</v>
      </c>
      <c r="Y351" s="2" t="s">
        <v>1780</v>
      </c>
      <c r="Z351" s="2" t="s">
        <v>37</v>
      </c>
      <c r="AA351" s="1" t="s">
        <v>37</v>
      </c>
    </row>
    <row r="352" customFormat="false" ht="16.4" hidden="false" customHeight="false" outlineLevel="0" collapsed="false">
      <c r="A352" s="15" t="s">
        <v>1781</v>
      </c>
      <c r="B352" s="3" t="s">
        <v>105</v>
      </c>
      <c r="C352" s="3" t="s">
        <v>85</v>
      </c>
      <c r="D352" s="16" t="n">
        <v>3</v>
      </c>
      <c r="E352" s="3" t="n">
        <f aca="false">VLOOKUP(D352,'[1]REF Tables'!$A$2:$B$40,2)</f>
        <v>700</v>
      </c>
      <c r="F352" s="3" t="s">
        <v>50</v>
      </c>
      <c r="G352" s="3" t="n">
        <v>13</v>
      </c>
      <c r="H352" s="3" t="s">
        <v>1527</v>
      </c>
      <c r="I352" s="3" t="s">
        <v>210</v>
      </c>
      <c r="J352" s="3" t="n">
        <v>18</v>
      </c>
      <c r="K352" s="1" t="str">
        <f aca="false">IF(J352=1,"-5",IF(OR(J352=2,J352=3),"-4",IF(OR(J352=4,J352=5),"-3",IF(OR(J352=6,J352=7),"-2",IF(OR(J352=8,J352=9),"-1",IF(OR(J352=10,J352=11),"0",IF(OR(J352=12,J352=13),"+1",IF(OR(J352=14,J352=15),"+2",IF(OR(J352=16,J352=17),"+3",IF(OR(J352=18,J352=19),"+4",IF(OR(J352=20,J352=21),"+5",IF(OR(J352=22,J352=23),"+6",IF(OR(J352=24,J352=25),"+7",IF(OR(J352=26,J352=27),"+8",IF(OR(J352=28,J352=29),"+9",IF(J352=30,"+10"," "))))))))))))))))</f>
        <v>+4</v>
      </c>
      <c r="L352" s="3" t="n">
        <v>13</v>
      </c>
      <c r="M352" s="1" t="str">
        <f aca="false">IF(L352=1,"-5",IF(OR(L352=2,L352=3),"-4",IF(OR(L352=4,L352=5),"-3",IF(OR(L352=6,L352=7),"-2",IF(OR(L352=8,L352=9),"-1",IF(OR(L352=10,L352=11),"0",IF(OR(L352=12,L352=13),"+1",IF(OR(L352=14,L352=15),"+2",IF(OR(L352=16,L352=17),"+3",IF(OR(L352=18,L352=19),"+4",IF(OR(L352=20,L352=21),"+5",IF(OR(L352=22,L352=23),"+6",IF(OR(L352=24,L352=25),"+7",IF(OR(L352=26,L352=27),"+8",IF(OR(L352=28,L352=29),"+9",IF(L352=30,"+10"," "))))))))))))))))</f>
        <v>+1</v>
      </c>
      <c r="N352" s="3" t="n">
        <v>14</v>
      </c>
      <c r="O352" s="1" t="str">
        <f aca="false">IF(N352=1,"-5",IF(OR(N352=2,N352=3),"-4",IF(OR(N352=4,N352=5),"-3",IF(OR(N352=6,N352=7),"-2",IF(OR(N352=8,N352=9),"-1",IF(OR(N352=10,N352=11),"0",IF(OR(N352=12,N352=13),"+1",IF(OR(N352=14,N352=15),"+2",IF(OR(N352=16,N352=17),"+3",IF(OR(N352=18,N352=19),"+4",IF(OR(N352=20,N352=21),"+5",IF(OR(N352=22,N352=23),"+6",IF(OR(N352=24,N352=25),"+7",IF(OR(N352=26,N352=27),"+8",IF(OR(N352=28,N352=29),"+9",IF(N352=30,"+10"," "))))))))))))))))</f>
        <v>+2</v>
      </c>
      <c r="P352" s="3" t="n">
        <v>7</v>
      </c>
      <c r="Q352" s="1" t="str">
        <f aca="false">IF(P352=1,"-5",IF(OR(P352=2,P352=3),"-4",IF(OR(P352=4,P352=5),"-3",IF(OR(P352=6,P352=7),"-2",IF(OR(P352=8,P352=9),"-1",IF(OR(P352=10,P352=11),"0",IF(OR(P352=12,P352=13),"+1",IF(OR(P352=14,P352=15),"+2",IF(OR(P352=16,P352=17),"+3",IF(OR(P352=18,P352=19),"+4",IF(OR(P352=20,P352=21),"+5",IF(OR(P352=22,P352=23),"+6",IF(OR(P352=24,P352=25),"+7",IF(OR(P352=26,P352=27),"+8",IF(OR(P352=28,P352=29),"+9",IF(P352=30,"+10"," "))))))))))))))))</f>
        <v>-2</v>
      </c>
      <c r="R352" s="3" t="n">
        <v>12</v>
      </c>
      <c r="S352" s="1" t="str">
        <f aca="false">IF(R352=1,"-5",IF(OR(R352=2,R352=3),"-4",IF(OR(R352=4,R352=5),"-3",IF(OR(R352=6,R352=7),"-2",IF(OR(R352=8,R352=9),"-1",IF(OR(R352=10,R352=11),"0",IF(OR(R352=12,R352=13),"+1",IF(OR(R352=14,R352=15),"+2",IF(OR(R352=16,R352=17),"+3",IF(OR(R352=18,R352=19),"+4",IF(OR(R352=20,R352=21),"+5",IF(OR(R352=22,R352=23),"+6",IF(OR(R352=24,R352=25),"+7",IF(OR(R352=26,R352=27),"+8",IF(OR(R352=28,R352=29),"+9",IF(R352=30,"+10"," "))))))))))))))))</f>
        <v>+1</v>
      </c>
      <c r="T352" s="3" t="n">
        <v>8</v>
      </c>
      <c r="U352" s="1" t="str">
        <f aca="false">IF(T352=1,"-5",IF(OR(T352=2,T352=3),"-4",IF(OR(T352=4,T352=5),"-3",IF(OR(T352=6,T352=7),"-2",IF(OR(T352=8,T352=9),"-1",IF(OR(T352=10,T352=11),"0",IF(OR(T352=12,T352=13),"+1",IF(OR(T352=14,T352=15),"+2",IF(OR(T352=16,T352=17),"+3",IF(OR(T352=18,T352=19),"+4",IF(OR(T352=20,T352=21),"+5",IF(OR(T352=22,T352=23),"+6",IF(OR(T352=24,T352=25),"+7",IF(OR(T352=26,T352=27),"+8",IF(OR(T352=28,T352=29),"+9",IF(T352=30,"+10"," "))))))))))))))))</f>
        <v>-1</v>
      </c>
      <c r="V352" s="3" t="s">
        <v>1782</v>
      </c>
      <c r="W352" s="3" t="s">
        <v>1783</v>
      </c>
      <c r="X352" s="11" t="s">
        <v>1784</v>
      </c>
      <c r="Y352" s="11" t="s">
        <v>1785</v>
      </c>
      <c r="Z352" s="11" t="s">
        <v>37</v>
      </c>
      <c r="AA352" s="12" t="s">
        <v>37</v>
      </c>
    </row>
    <row r="353" customFormat="false" ht="16.4" hidden="false" customHeight="false" outlineLevel="0" collapsed="false">
      <c r="A353" s="14" t="s">
        <v>1786</v>
      </c>
      <c r="B353" s="1" t="s">
        <v>59</v>
      </c>
      <c r="C353" s="1" t="s">
        <v>37</v>
      </c>
      <c r="D353" s="5" t="n">
        <v>1</v>
      </c>
      <c r="E353" s="3" t="n">
        <f aca="false">VLOOKUP(D353,'[1]REF Tables'!$A$2:$B$40,2)</f>
        <v>200</v>
      </c>
      <c r="F353" s="1" t="s">
        <v>50</v>
      </c>
      <c r="G353" s="1" t="n">
        <v>14</v>
      </c>
      <c r="H353" s="1" t="s">
        <v>1787</v>
      </c>
      <c r="I353" s="3" t="s">
        <v>210</v>
      </c>
      <c r="J353" s="1" t="n">
        <v>17</v>
      </c>
      <c r="K353" s="1" t="str">
        <f aca="false">IF(J353=1,"-5",IF(OR(J353=2,J353=3),"-4",IF(OR(J353=4,J353=5),"-3",IF(OR(J353=6,J353=7),"-2",IF(OR(J353=8,J353=9),"-1",IF(OR(J353=10,J353=11),"0",IF(OR(J353=12,J353=13),"+1",IF(OR(J353=14,J353=15),"+2",IF(OR(J353=16,J353=17),"+3",IF(OR(J353=18,J353=19),"+4",IF(OR(J353=20,J353=21),"+5",IF(OR(J353=22,J353=23),"+6",IF(OR(J353=24,J353=25),"+7",IF(OR(J353=26,J353=27),"+8",IF(OR(J353=28,J353=29),"+9",IF(J353=30,"+10"," "))))))))))))))))</f>
        <v>+3</v>
      </c>
      <c r="L353" s="1" t="n">
        <v>15</v>
      </c>
      <c r="M353" s="1" t="str">
        <f aca="false">IF(L353=1,"-5",IF(OR(L353=2,L353=3),"-4",IF(OR(L353=4,L353=5),"-3",IF(OR(L353=6,L353=7),"-2",IF(OR(L353=8,L353=9),"-1",IF(OR(L353=10,L353=11),"0",IF(OR(L353=12,L353=13),"+1",IF(OR(L353=14,L353=15),"+2",IF(OR(L353=16,L353=17),"+3",IF(OR(L353=18,L353=19),"+4",IF(OR(L353=20,L353=21),"+5",IF(OR(L353=22,L353=23),"+6",IF(OR(L353=24,L353=25),"+7",IF(OR(L353=26,L353=27),"+8",IF(OR(L353=28,L353=29),"+9",IF(L353=30,"+10"," "))))))))))))))))</f>
        <v>+2</v>
      </c>
      <c r="N353" s="1" t="n">
        <v>15</v>
      </c>
      <c r="O353" s="1" t="str">
        <f aca="false">IF(N353=1,"-5",IF(OR(N353=2,N353=3),"-4",IF(OR(N353=4,N353=5),"-3",IF(OR(N353=6,N353=7),"-2",IF(OR(N353=8,N353=9),"-1",IF(OR(N353=10,N353=11),"0",IF(OR(N353=12,N353=13),"+1",IF(OR(N353=14,N353=15),"+2",IF(OR(N353=16,N353=17),"+3",IF(OR(N353=18,N353=19),"+4",IF(OR(N353=20,N353=21),"+5",IF(OR(N353=22,N353=23),"+6",IF(OR(N353=24,N353=25),"+7",IF(OR(N353=26,N353=27),"+8",IF(OR(N353=28,N353=29),"+9",IF(N353=30,"+10"," "))))))))))))))))</f>
        <v>+2</v>
      </c>
      <c r="P353" s="1" t="n">
        <v>3</v>
      </c>
      <c r="Q353" s="1" t="str">
        <f aca="false">IF(P353=1,"-5",IF(OR(P353=2,P353=3),"-4",IF(OR(P353=4,P353=5),"-3",IF(OR(P353=6,P353=7),"-2",IF(OR(P353=8,P353=9),"-1",IF(OR(P353=10,P353=11),"0",IF(OR(P353=12,P353=13),"+1",IF(OR(P353=14,P353=15),"+2",IF(OR(P353=16,P353=17),"+3",IF(OR(P353=18,P353=19),"+4",IF(OR(P353=20,P353=21),"+5",IF(OR(P353=22,P353=23),"+6",IF(OR(P353=24,P353=25),"+7",IF(OR(P353=26,P353=27),"+8",IF(OR(P353=28,P353=29),"+9",IF(P353=30,"+10"," "))))))))))))))))</f>
        <v>-4</v>
      </c>
      <c r="R353" s="1" t="n">
        <v>12</v>
      </c>
      <c r="S353" s="1" t="str">
        <f aca="false">IF(R353=1,"-5",IF(OR(R353=2,R353=3),"-4",IF(OR(R353=4,R353=5),"-3",IF(OR(R353=6,R353=7),"-2",IF(OR(R353=8,R353=9),"-1",IF(OR(R353=10,R353=11),"0",IF(OR(R353=12,R353=13),"+1",IF(OR(R353=14,R353=15),"+2",IF(OR(R353=16,R353=17),"+3",IF(OR(R353=18,R353=19),"+4",IF(OR(R353=20,R353=21),"+5",IF(OR(R353=22,R353=23),"+6",IF(OR(R353=24,R353=25),"+7",IF(OR(R353=26,R353=27),"+8",IF(OR(R353=28,R353=29),"+9",IF(R353=30,"+10"," "))))))))))))))))</f>
        <v>+1</v>
      </c>
      <c r="T353" s="1" t="n">
        <v>7</v>
      </c>
      <c r="U353" s="1" t="str">
        <f aca="false">IF(T353=1,"-5",IF(OR(T353=2,T353=3),"-4",IF(OR(T353=4,T353=5),"-3",IF(OR(T353=6,T353=7),"-2",IF(OR(T353=8,T353=9),"-1",IF(OR(T353=10,T353=11),"0",IF(OR(T353=12,T353=13),"+1",IF(OR(T353=14,T353=15),"+2",IF(OR(T353=16,T353=17),"+3",IF(OR(T353=18,T353=19),"+4",IF(OR(T353=20,T353=21),"+5",IF(OR(T353=22,T353=23),"+6",IF(OR(T353=24,T353=25),"+7",IF(OR(T353=26,T353=27),"+8",IF(OR(T353=28,T353=29),"+9",IF(T353=30,"+10"," "))))))))))))))))</f>
        <v>-2</v>
      </c>
      <c r="V353" s="1" t="s">
        <v>440</v>
      </c>
      <c r="W353" s="1" t="s">
        <v>37</v>
      </c>
      <c r="X353" s="2" t="s">
        <v>1788</v>
      </c>
      <c r="Y353" s="2" t="s">
        <v>1789</v>
      </c>
      <c r="Z353" s="2" t="s">
        <v>37</v>
      </c>
      <c r="AA353" s="1" t="s">
        <v>37</v>
      </c>
    </row>
    <row r="354" customFormat="false" ht="16.4" hidden="false" customHeight="false" outlineLevel="0" collapsed="false">
      <c r="A354" s="15" t="s">
        <v>1790</v>
      </c>
      <c r="B354" s="3" t="s">
        <v>1791</v>
      </c>
      <c r="C354" s="3" t="s">
        <v>222</v>
      </c>
      <c r="D354" s="16" t="n">
        <v>3</v>
      </c>
      <c r="E354" s="3" t="n">
        <f aca="false">VLOOKUP(D354,'[1]REF Tables'!$A$2:$B$40,2)</f>
        <v>700</v>
      </c>
      <c r="F354" s="3" t="s">
        <v>30</v>
      </c>
      <c r="G354" s="3" t="s">
        <v>1792</v>
      </c>
      <c r="H354" s="3" t="s">
        <v>343</v>
      </c>
      <c r="I354" s="3" t="s">
        <v>1793</v>
      </c>
      <c r="J354" s="3" t="n">
        <v>15</v>
      </c>
      <c r="K354" s="1" t="str">
        <f aca="false">IF(J354=1,"-5",IF(OR(J354=2,J354=3),"-4",IF(OR(J354=4,J354=5),"-3",IF(OR(J354=6,J354=7),"-2",IF(OR(J354=8,J354=9),"-1",IF(OR(J354=10,J354=11),"0",IF(OR(J354=12,J354=13),"+1",IF(OR(J354=14,J354=15),"+2",IF(OR(J354=16,J354=17),"+3",IF(OR(J354=18,J354=19),"+4",IF(OR(J354=20,J354=21),"+5",IF(OR(J354=22,J354=23),"+6",IF(OR(J354=24,J354=25),"+7",IF(OR(J354=26,J354=27),"+8",IF(OR(J354=28,J354=29),"+9",IF(J354=30,"+10"," "))))))))))))))))</f>
        <v>+2</v>
      </c>
      <c r="L354" s="3" t="n">
        <v>13</v>
      </c>
      <c r="M354" s="1" t="str">
        <f aca="false">IF(L354=1,"-5",IF(OR(L354=2,L354=3),"-4",IF(OR(L354=4,L354=5),"-3",IF(OR(L354=6,L354=7),"-2",IF(OR(L354=8,L354=9),"-1",IF(OR(L354=10,L354=11),"0",IF(OR(L354=12,L354=13),"+1",IF(OR(L354=14,L354=15),"+2",IF(OR(L354=16,L354=17),"+3",IF(OR(L354=18,L354=19),"+4",IF(OR(L354=20,L354=21),"+5",IF(OR(L354=22,L354=23),"+6",IF(OR(L354=24,L354=25),"+7",IF(OR(L354=26,L354=27),"+8",IF(OR(L354=28,L354=29),"+9",IF(L354=30,"+10"," "))))))))))))))))</f>
        <v>+1</v>
      </c>
      <c r="N354" s="3" t="n">
        <v>14</v>
      </c>
      <c r="O354" s="1" t="str">
        <f aca="false">IF(N354=1,"-5",IF(OR(N354=2,N354=3),"-4",IF(OR(N354=4,N354=5),"-3",IF(OR(N354=6,N354=7),"-2",IF(OR(N354=8,N354=9),"-1",IF(OR(N354=10,N354=11),"0",IF(OR(N354=12,N354=13),"+1",IF(OR(N354=14,N354=15),"+2",IF(OR(N354=16,N354=17),"+3",IF(OR(N354=18,N354=19),"+4",IF(OR(N354=20,N354=21),"+5",IF(OR(N354=22,N354=23),"+6",IF(OR(N354=24,N354=25),"+7",IF(OR(N354=26,N354=27),"+8",IF(OR(N354=28,N354=29),"+9",IF(N354=30,"+10"," "))))))))))))))))</f>
        <v>+2</v>
      </c>
      <c r="P354" s="3" t="n">
        <v>10</v>
      </c>
      <c r="Q354" s="1" t="str">
        <f aca="false">IF(P354=1,"-5",IF(OR(P354=2,P354=3),"-4",IF(OR(P354=4,P354=5),"-3",IF(OR(P354=6,P354=7),"-2",IF(OR(P354=8,P354=9),"-1",IF(OR(P354=10,P354=11),"0",IF(OR(P354=12,P354=13),"+1",IF(OR(P354=14,P354=15),"+2",IF(OR(P354=16,P354=17),"+3",IF(OR(P354=18,P354=19),"+4",IF(OR(P354=20,P354=21),"+5",IF(OR(P354=22,P354=23),"+6",IF(OR(P354=24,P354=25),"+7",IF(OR(P354=26,P354=27),"+8",IF(OR(P354=28,P354=29),"+9",IF(P354=30,"+10"," "))))))))))))))))</f>
        <v>0</v>
      </c>
      <c r="R354" s="3" t="n">
        <v>11</v>
      </c>
      <c r="S354" s="1" t="str">
        <f aca="false">IF(R354=1,"-5",IF(OR(R354=2,R354=3),"-4",IF(OR(R354=4,R354=5),"-3",IF(OR(R354=6,R354=7),"-2",IF(OR(R354=8,R354=9),"-1",IF(OR(R354=10,R354=11),"0",IF(OR(R354=12,R354=13),"+1",IF(OR(R354=14,R354=15),"+2",IF(OR(R354=16,R354=17),"+3",IF(OR(R354=18,R354=19),"+4",IF(OR(R354=20,R354=21),"+5",IF(OR(R354=22,R354=23),"+6",IF(OR(R354=24,R354=25),"+7",IF(OR(R354=26,R354=27),"+8",IF(OR(R354=28,R354=29),"+9",IF(R354=30,"+10"," "))))))))))))))))</f>
        <v>0</v>
      </c>
      <c r="T354" s="3" t="n">
        <v>10</v>
      </c>
      <c r="U354" s="1" t="str">
        <f aca="false">IF(T354=1,"-5",IF(OR(T354=2,T354=3),"-4",IF(OR(T354=4,T354=5),"-3",IF(OR(T354=6,T354=7),"-2",IF(OR(T354=8,T354=9),"-1",IF(OR(T354=10,T354=11),"0",IF(OR(T354=12,T354=13),"+1",IF(OR(T354=14,T354=15),"+2",IF(OR(T354=16,T354=17),"+3",IF(OR(T354=18,T354=19),"+4",IF(OR(T354=20,T354=21),"+5",IF(OR(T354=22,T354=23),"+6",IF(OR(T354=24,T354=25),"+7",IF(OR(T354=26,T354=27),"+8",IF(OR(T354=28,T354=29),"+9",IF(T354=30,"+10"," "))))))))))))))))</f>
        <v>0</v>
      </c>
      <c r="V354" s="3" t="s">
        <v>1794</v>
      </c>
      <c r="W354" s="3" t="s">
        <v>1795</v>
      </c>
      <c r="X354" s="11" t="s">
        <v>1796</v>
      </c>
      <c r="Y354" s="11" t="s">
        <v>1797</v>
      </c>
      <c r="Z354" s="11" t="s">
        <v>37</v>
      </c>
      <c r="AA354" s="12" t="s">
        <v>37</v>
      </c>
    </row>
    <row r="355" customFormat="false" ht="16.4" hidden="false" customHeight="false" outlineLevel="0" collapsed="false">
      <c r="A355" s="15" t="s">
        <v>1798</v>
      </c>
      <c r="B355" s="3" t="s">
        <v>1799</v>
      </c>
      <c r="C355" s="3" t="s">
        <v>40</v>
      </c>
      <c r="D355" s="16" t="n">
        <v>6</v>
      </c>
      <c r="E355" s="6" t="n">
        <f aca="false">VLOOKUP(D355,'[1]REF Tables'!$A$2:$B$40,2)</f>
        <v>2300</v>
      </c>
      <c r="F355" s="3" t="s">
        <v>30</v>
      </c>
      <c r="G355" s="3" t="n">
        <v>12</v>
      </c>
      <c r="H355" s="3" t="s">
        <v>1173</v>
      </c>
      <c r="I355" s="3" t="s">
        <v>42</v>
      </c>
      <c r="J355" s="3" t="n">
        <v>9</v>
      </c>
      <c r="K355" s="1" t="str">
        <f aca="false">IF(J355=1,"-5",IF(OR(J355=2,J355=3),"-4",IF(OR(J355=4,J355=5),"-3",IF(OR(J355=6,J355=7),"-2",IF(OR(J355=8,J355=9),"-1",IF(OR(J355=10,J355=11),"0",IF(OR(J355=12,J355=13),"+1",IF(OR(J355=14,J355=15),"+2",IF(OR(J355=16,J355=17),"+3",IF(OR(J355=18,J355=19),"+4",IF(OR(J355=20,J355=21),"+5",IF(OR(J355=22,J355=23),"+6",IF(OR(J355=24,J355=25),"+7",IF(OR(J355=26,J355=27),"+8",IF(OR(J355=28,J355=29),"+9",IF(J355=30,"+10"," "))))))))))))))))</f>
        <v>-1</v>
      </c>
      <c r="L355" s="3" t="n">
        <v>14</v>
      </c>
      <c r="M355" s="1" t="str">
        <f aca="false">IF(L355=1,"-5",IF(OR(L355=2,L355=3),"-4",IF(OR(L355=4,L355=5),"-3",IF(OR(L355=6,L355=7),"-2",IF(OR(L355=8,L355=9),"-1",IF(OR(L355=10,L355=11),"0",IF(OR(L355=12,L355=13),"+1",IF(OR(L355=14,L355=15),"+2",IF(OR(L355=16,L355=17),"+3",IF(OR(L355=18,L355=19),"+4",IF(OR(L355=20,L355=21),"+5",IF(OR(L355=22,L355=23),"+6",IF(OR(L355=24,L355=25),"+7",IF(OR(L355=26,L355=27),"+8",IF(OR(L355=28,L355=29),"+9",IF(L355=30,"+10"," "))))))))))))))))</f>
        <v>+2</v>
      </c>
      <c r="N355" s="3" t="n">
        <v>11</v>
      </c>
      <c r="O355" s="1" t="str">
        <f aca="false">IF(N355=1,"-5",IF(OR(N355=2,N355=3),"-4",IF(OR(N355=4,N355=5),"-3",IF(OR(N355=6,N355=7),"-2",IF(OR(N355=8,N355=9),"-1",IF(OR(N355=10,N355=11),"0",IF(OR(N355=12,N355=13),"+1",IF(OR(N355=14,N355=15),"+2",IF(OR(N355=16,N355=17),"+3",IF(OR(N355=18,N355=19),"+4",IF(OR(N355=20,N355=21),"+5",IF(OR(N355=22,N355=23),"+6",IF(OR(N355=24,N355=25),"+7",IF(OR(N355=26,N355=27),"+8",IF(OR(N355=28,N355=29),"+9",IF(N355=30,"+10"," "))))))))))))))))</f>
        <v>0</v>
      </c>
      <c r="P355" s="3" t="n">
        <v>17</v>
      </c>
      <c r="Q355" s="1" t="str">
        <f aca="false">IF(P355=1,"-5",IF(OR(P355=2,P355=3),"-4",IF(OR(P355=4,P355=5),"-3",IF(OR(P355=6,P355=7),"-2",IF(OR(P355=8,P355=9),"-1",IF(OR(P355=10,P355=11),"0",IF(OR(P355=12,P355=13),"+1",IF(OR(P355=14,P355=15),"+2",IF(OR(P355=16,P355=17),"+3",IF(OR(P355=18,P355=19),"+4",IF(OR(P355=20,P355=21),"+5",IF(OR(P355=22,P355=23),"+6",IF(OR(P355=24,P355=25),"+7",IF(OR(P355=26,P355=27),"+8",IF(OR(P355=28,P355=29),"+9",IF(P355=30,"+10"," "))))))))))))))))</f>
        <v>+3</v>
      </c>
      <c r="R355" s="3" t="n">
        <v>12</v>
      </c>
      <c r="S355" s="1" t="str">
        <f aca="false">IF(R355=1,"-5",IF(OR(R355=2,R355=3),"-4",IF(OR(R355=4,R355=5),"-3",IF(OR(R355=6,R355=7),"-2",IF(OR(R355=8,R355=9),"-1",IF(OR(R355=10,R355=11),"0",IF(OR(R355=12,R355=13),"+1",IF(OR(R355=14,R355=15),"+2",IF(OR(R355=16,R355=17),"+3",IF(OR(R355=18,R355=19),"+4",IF(OR(R355=20,R355=21),"+5",IF(OR(R355=22,R355=23),"+6",IF(OR(R355=24,R355=25),"+7",IF(OR(R355=26,R355=27),"+8",IF(OR(R355=28,R355=29),"+9",IF(R355=30,"+10"," "))))))))))))))))</f>
        <v>+1</v>
      </c>
      <c r="T355" s="3" t="n">
        <v>11</v>
      </c>
      <c r="U355" s="1" t="str">
        <f aca="false">IF(T355=1,"-5",IF(OR(T355=2,T355=3),"-4",IF(OR(T355=4,T355=5),"-3",IF(OR(T355=6,T355=7),"-2",IF(OR(T355=8,T355=9),"-1",IF(OR(T355=10,T355=11),"0",IF(OR(T355=12,T355=13),"+1",IF(OR(T355=14,T355=15),"+2",IF(OR(T355=16,T355=17),"+3",IF(OR(T355=18,T355=19),"+4",IF(OR(T355=20,T355=21),"+5",IF(OR(T355=22,T355=23),"+6",IF(OR(T355=24,T355=25),"+7",IF(OR(T355=26,T355=27),"+8",IF(OR(T355=28,T355=29),"+9",IF(T355=30,"+10"," "))))))))))))))))</f>
        <v>0</v>
      </c>
      <c r="V355" s="3" t="s">
        <v>1174</v>
      </c>
      <c r="W355" s="3" t="s">
        <v>44</v>
      </c>
      <c r="X355" s="11" t="s">
        <v>1800</v>
      </c>
      <c r="Y355" s="11" t="s">
        <v>1674</v>
      </c>
      <c r="Z355" s="11" t="s">
        <v>37</v>
      </c>
      <c r="AA355" s="12" t="s">
        <v>37</v>
      </c>
    </row>
    <row r="356" customFormat="false" ht="16.4" hidden="false" customHeight="false" outlineLevel="0" collapsed="false">
      <c r="A356" s="1" t="s">
        <v>1801</v>
      </c>
      <c r="B356" s="1" t="s">
        <v>641</v>
      </c>
      <c r="C356" s="1" t="s">
        <v>49</v>
      </c>
      <c r="D356" s="5" t="n">
        <v>1</v>
      </c>
      <c r="E356" s="3" t="n">
        <f aca="false">VLOOKUP(D356,'[1]REF Tables'!$A$2:$B$40,2)</f>
        <v>200</v>
      </c>
      <c r="F356" s="1" t="s">
        <v>30</v>
      </c>
      <c r="G356" s="1" t="n">
        <v>12</v>
      </c>
      <c r="H356" s="1" t="s">
        <v>1087</v>
      </c>
      <c r="I356" s="3" t="s">
        <v>42</v>
      </c>
      <c r="J356" s="1" t="n">
        <v>9</v>
      </c>
      <c r="K356" s="1" t="str">
        <f aca="false">IF(J356=1,"-5",IF(OR(J356=2,J356=3),"-4",IF(OR(J356=4,J356=5),"-3",IF(OR(J356=6,J356=7),"-2",IF(OR(J356=8,J356=9),"-1",IF(OR(J356=10,J356=11),"0",IF(OR(J356=12,J356=13),"+1",IF(OR(J356=14,J356=15),"+2",IF(OR(J356=16,J356=17),"+3",IF(OR(J356=18,J356=19),"+4",IF(OR(J356=20,J356=21),"+5",IF(OR(J356=22,J356=23),"+6",IF(OR(J356=24,J356=25),"+7",IF(OR(J356=26,J356=27),"+8",IF(OR(J356=28,J356=29),"+9",IF(J356=30,"+10"," "))))))))))))))))</f>
        <v>-1</v>
      </c>
      <c r="L356" s="1" t="n">
        <v>14</v>
      </c>
      <c r="M356" s="1" t="str">
        <f aca="false">IF(L356=1,"-5",IF(OR(L356=2,L356=3),"-4",IF(OR(L356=4,L356=5),"-3",IF(OR(L356=6,L356=7),"-2",IF(OR(L356=8,L356=9),"-1",IF(OR(L356=10,L356=11),"0",IF(OR(L356=12,L356=13),"+1",IF(OR(L356=14,L356=15),"+2",IF(OR(L356=16,L356=17),"+3",IF(OR(L356=18,L356=19),"+4",IF(OR(L356=20,L356=21),"+5",IF(OR(L356=22,L356=23),"+6",IF(OR(L356=24,L356=25),"+7",IF(OR(L356=26,L356=27),"+8",IF(OR(L356=28,L356=29),"+9",IF(L356=30,"+10"," "))))))))))))))))</f>
        <v>+2</v>
      </c>
      <c r="N356" s="1" t="n">
        <v>11</v>
      </c>
      <c r="O356" s="1" t="str">
        <f aca="false">IF(N356=1,"-5",IF(OR(N356=2,N356=3),"-4",IF(OR(N356=4,N356=5),"-3",IF(OR(N356=6,N356=7),"-2",IF(OR(N356=8,N356=9),"-1",IF(OR(N356=10,N356=11),"0",IF(OR(N356=12,N356=13),"+1",IF(OR(N356=14,N356=15),"+2",IF(OR(N356=16,N356=17),"+3",IF(OR(N356=18,N356=19),"+4",IF(OR(N356=20,N356=21),"+5",IF(OR(N356=22,N356=23),"+6",IF(OR(N356=24,N356=25),"+7",IF(OR(N356=26,N356=27),"+8",IF(OR(N356=28,N356=29),"+9",IF(N356=30,"+10"," "))))))))))))))))</f>
        <v>0</v>
      </c>
      <c r="P356" s="1" t="n">
        <v>17</v>
      </c>
      <c r="Q356" s="1" t="str">
        <f aca="false">IF(P356=1,"-5",IF(OR(P356=2,P356=3),"-4",IF(OR(P356=4,P356=5),"-3",IF(OR(P356=6,P356=7),"-2",IF(OR(P356=8,P356=9),"-1",IF(OR(P356=10,P356=11),"0",IF(OR(P356=12,P356=13),"+1",IF(OR(P356=14,P356=15),"+2",IF(OR(P356=16,P356=17),"+3",IF(OR(P356=18,P356=19),"+4",IF(OR(P356=20,P356=21),"+5",IF(OR(P356=22,P356=23),"+6",IF(OR(P356=24,P356=25),"+7",IF(OR(P356=26,P356=27),"+8",IF(OR(P356=28,P356=29),"+9",IF(P356=30,"+10"," "))))))))))))))))</f>
        <v>+3</v>
      </c>
      <c r="R356" s="1" t="n">
        <v>12</v>
      </c>
      <c r="S356" s="1" t="str">
        <f aca="false">IF(R356=1,"-5",IF(OR(R356=2,R356=3),"-4",IF(OR(R356=4,R356=5),"-3",IF(OR(R356=6,R356=7),"-2",IF(OR(R356=8,R356=9),"-1",IF(OR(R356=10,R356=11),"0",IF(OR(R356=12,R356=13),"+1",IF(OR(R356=14,R356=15),"+2",IF(OR(R356=16,R356=17),"+3",IF(OR(R356=18,R356=19),"+4",IF(OR(R356=20,R356=21),"+5",IF(OR(R356=22,R356=23),"+6",IF(OR(R356=24,R356=25),"+7",IF(OR(R356=26,R356=27),"+8",IF(OR(R356=28,R356=29),"+9",IF(R356=30,"+10"," "))))))))))))))))</f>
        <v>+1</v>
      </c>
      <c r="T356" s="1" t="n">
        <v>11</v>
      </c>
      <c r="U356" s="1" t="str">
        <f aca="false">IF(T356=1,"-5",IF(OR(T356=2,T356=3),"-4",IF(OR(T356=4,T356=5),"-3",IF(OR(T356=6,T356=7),"-2",IF(OR(T356=8,T356=9),"-1",IF(OR(T356=10,T356=11),"0",IF(OR(T356=12,T356=13),"+1",IF(OR(T356=14,T356=15),"+2",IF(OR(T356=16,T356=17),"+3",IF(OR(T356=18,T356=19),"+4",IF(OR(T356=20,T356=21),"+5",IF(OR(T356=22,T356=23),"+6",IF(OR(T356=24,T356=25),"+7",IF(OR(T356=26,T356=27),"+8",IF(OR(T356=28,T356=29),"+9",IF(T356=30,"+10"," "))))))))))))))))</f>
        <v>0</v>
      </c>
      <c r="V356" s="1" t="s">
        <v>1802</v>
      </c>
      <c r="W356" s="1" t="s">
        <v>1803</v>
      </c>
      <c r="X356" s="2" t="s">
        <v>1804</v>
      </c>
      <c r="Y356" s="2" t="s">
        <v>1805</v>
      </c>
      <c r="Z356" s="2" t="s">
        <v>37</v>
      </c>
      <c r="AA356" s="1" t="s">
        <v>37</v>
      </c>
    </row>
    <row r="357" customFormat="false" ht="16.4" hidden="false" customHeight="false" outlineLevel="0" collapsed="false">
      <c r="A357" s="15" t="s">
        <v>1806</v>
      </c>
      <c r="B357" s="3" t="s">
        <v>214</v>
      </c>
      <c r="C357" s="3" t="s">
        <v>590</v>
      </c>
      <c r="D357" s="16" t="n">
        <v>0.5</v>
      </c>
      <c r="E357" s="3" t="n">
        <f aca="false">VLOOKUP(D357,'[1]REF Tables'!$A$2:$B$40,2)</f>
        <v>100</v>
      </c>
      <c r="F357" s="3" t="s">
        <v>165</v>
      </c>
      <c r="G357" s="3" t="n">
        <v>14</v>
      </c>
      <c r="H357" s="3" t="s">
        <v>1807</v>
      </c>
      <c r="I357" s="3" t="s">
        <v>42</v>
      </c>
      <c r="J357" s="3" t="n">
        <v>7</v>
      </c>
      <c r="K357" s="1" t="str">
        <f aca="false">IF(J357=1,"-5",IF(OR(J357=2,J357=3),"-4",IF(OR(J357=4,J357=5),"-3",IF(OR(J357=6,J357=7),"-2",IF(OR(J357=8,J357=9),"-1",IF(OR(J357=10,J357=11),"0",IF(OR(J357=12,J357=13),"+1",IF(OR(J357=14,J357=15),"+2",IF(OR(J357=16,J357=17),"+3",IF(OR(J357=18,J357=19),"+4",IF(OR(J357=20,J357=21),"+5",IF(OR(J357=22,J357=23),"+6",IF(OR(J357=24,J357=25),"+7",IF(OR(J357=26,J357=27),"+8",IF(OR(J357=28,J357=29),"+9",IF(J357=30,"+10"," "))))))))))))))))</f>
        <v>-2</v>
      </c>
      <c r="L357" s="3" t="n">
        <v>15</v>
      </c>
      <c r="M357" s="1" t="str">
        <f aca="false">IF(L357=1,"-5",IF(OR(L357=2,L357=3),"-4",IF(OR(L357=4,L357=5),"-3",IF(OR(L357=6,L357=7),"-2",IF(OR(L357=8,L357=9),"-1",IF(OR(L357=10,L357=11),"0",IF(OR(L357=12,L357=13),"+1",IF(OR(L357=14,L357=15),"+2",IF(OR(L357=16,L357=17),"+3",IF(OR(L357=18,L357=19),"+4",IF(OR(L357=20,L357=21),"+5",IF(OR(L357=22,L357=23),"+6",IF(OR(L357=24,L357=25),"+7",IF(OR(L357=26,L357=27),"+8",IF(OR(L357=28,L357=29),"+9",IF(L357=30,"+10"," "))))))))))))))))</f>
        <v>+2</v>
      </c>
      <c r="N357" s="3" t="n">
        <v>12</v>
      </c>
      <c r="O357" s="1" t="str">
        <f aca="false">IF(N357=1,"-5",IF(OR(N357=2,N357=3),"-4",IF(OR(N357=4,N357=5),"-3",IF(OR(N357=6,N357=7),"-2",IF(OR(N357=8,N357=9),"-1",IF(OR(N357=10,N357=11),"0",IF(OR(N357=12,N357=13),"+1",IF(OR(N357=14,N357=15),"+2",IF(OR(N357=16,N357=17),"+3",IF(OR(N357=18,N357=19),"+4",IF(OR(N357=20,N357=21),"+5",IF(OR(N357=22,N357=23),"+6",IF(OR(N357=24,N357=25),"+7",IF(OR(N357=26,N357=27),"+8",IF(OR(N357=28,N357=29),"+9",IF(N357=30,"+10"," "))))))))))))))))</f>
        <v>+1</v>
      </c>
      <c r="P357" s="3" t="n">
        <v>8</v>
      </c>
      <c r="Q357" s="1" t="str">
        <f aca="false">IF(P357=1,"-5",IF(OR(P357=2,P357=3),"-4",IF(OR(P357=4,P357=5),"-3",IF(OR(P357=6,P357=7),"-2",IF(OR(P357=8,P357=9),"-1",IF(OR(P357=10,P357=11),"0",IF(OR(P357=12,P357=13),"+1",IF(OR(P357=14,P357=15),"+2",IF(OR(P357=16,P357=17),"+3",IF(OR(P357=18,P357=19),"+4",IF(OR(P357=20,P357=21),"+5",IF(OR(P357=22,P357=23),"+6",IF(OR(P357=24,P357=25),"+7",IF(OR(P357=26,P357=27),"+8",IF(OR(P357=28,P357=29),"+9",IF(P357=30,"+10"," "))))))))))))))))</f>
        <v>-1</v>
      </c>
      <c r="R357" s="3" t="n">
        <v>11</v>
      </c>
      <c r="S357" s="1" t="str">
        <f aca="false">IF(R357=1,"-5",IF(OR(R357=2,R357=3),"-4",IF(OR(R357=4,R357=5),"-3",IF(OR(R357=6,R357=7),"-2",IF(OR(R357=8,R357=9),"-1",IF(OR(R357=10,R357=11),"0",IF(OR(R357=12,R357=13),"+1",IF(OR(R357=14,R357=15),"+2",IF(OR(R357=16,R357=17),"+3",IF(OR(R357=18,R357=19),"+4",IF(OR(R357=20,R357=21),"+5",IF(OR(R357=22,R357=23),"+6",IF(OR(R357=24,R357=25),"+7",IF(OR(R357=26,R357=27),"+8",IF(OR(R357=28,R357=29),"+9",IF(R357=30,"+10"," "))))))))))))))))</f>
        <v>0</v>
      </c>
      <c r="T357" s="3" t="n">
        <v>10</v>
      </c>
      <c r="U357" s="1" t="str">
        <f aca="false">IF(T357=1,"-5",IF(OR(T357=2,T357=3),"-4",IF(OR(T357=4,T357=5),"-3",IF(OR(T357=6,T357=7),"-2",IF(OR(T357=8,T357=9),"-1",IF(OR(T357=10,T357=11),"0",IF(OR(T357=12,T357=13),"+1",IF(OR(T357=14,T357=15),"+2",IF(OR(T357=16,T357=17),"+3",IF(OR(T357=18,T357=19),"+4",IF(OR(T357=20,T357=21),"+5",IF(OR(T357=22,T357=23),"+6",IF(OR(T357=24,T357=25),"+7",IF(OR(T357=26,T357=27),"+8",IF(OR(T357=28,T357=29),"+9",IF(T357=30,"+10"," "))))))))))))))))</f>
        <v>0</v>
      </c>
      <c r="V357" s="3" t="s">
        <v>37</v>
      </c>
      <c r="W357" s="3" t="s">
        <v>1123</v>
      </c>
      <c r="X357" s="11" t="s">
        <v>1808</v>
      </c>
      <c r="Y357" s="11" t="s">
        <v>1809</v>
      </c>
      <c r="Z357" s="11" t="s">
        <v>37</v>
      </c>
      <c r="AA357" s="12" t="s">
        <v>37</v>
      </c>
    </row>
    <row r="358" customFormat="false" ht="16.4" hidden="false" customHeight="false" outlineLevel="0" collapsed="false">
      <c r="A358" s="15" t="s">
        <v>1810</v>
      </c>
      <c r="B358" s="3" t="s">
        <v>39</v>
      </c>
      <c r="C358" s="3" t="s">
        <v>40</v>
      </c>
      <c r="D358" s="16" t="n">
        <v>5</v>
      </c>
      <c r="E358" s="6" t="n">
        <f aca="false">VLOOKUP(D358,'[1]REF Tables'!$A$2:$B$40,2)</f>
        <v>1800</v>
      </c>
      <c r="F358" s="3" t="s">
        <v>30</v>
      </c>
      <c r="G358" s="3" t="n">
        <v>16</v>
      </c>
      <c r="H358" s="3" t="s">
        <v>41</v>
      </c>
      <c r="I358" s="3" t="s">
        <v>42</v>
      </c>
      <c r="J358" s="3" t="n">
        <v>11</v>
      </c>
      <c r="K358" s="1" t="str">
        <f aca="false">IF(J358=1,"-5",IF(OR(J358=2,J358=3),"-4",IF(OR(J358=4,J358=5),"-3",IF(OR(J358=6,J358=7),"-2",IF(OR(J358=8,J358=9),"-1",IF(OR(J358=10,J358=11),"0",IF(OR(J358=12,J358=13),"+1",IF(OR(J358=14,J358=15),"+2",IF(OR(J358=16,J358=17),"+3",IF(OR(J358=18,J358=19),"+4",IF(OR(J358=20,J358=21),"+5",IF(OR(J358=22,J358=23),"+6",IF(OR(J358=24,J358=25),"+7",IF(OR(J358=26,J358=27),"+8",IF(OR(J358=28,J358=29),"+9",IF(J358=30,"+10"," "))))))))))))))))</f>
        <v>0</v>
      </c>
      <c r="L358" s="3" t="n">
        <v>18</v>
      </c>
      <c r="M358" s="1" t="str">
        <f aca="false">IF(L358=1,"-5",IF(OR(L358=2,L358=3),"-4",IF(OR(L358=4,L358=5),"-3",IF(OR(L358=6,L358=7),"-2",IF(OR(L358=8,L358=9),"-1",IF(OR(L358=10,L358=11),"0",IF(OR(L358=12,L358=13),"+1",IF(OR(L358=14,L358=15),"+2",IF(OR(L358=16,L358=17),"+3",IF(OR(L358=18,L358=19),"+4",IF(OR(L358=20,L358=21),"+5",IF(OR(L358=22,L358=23),"+6",IF(OR(L358=24,L358=25),"+7",IF(OR(L358=26,L358=27),"+8",IF(OR(L358=28,L358=29),"+9",IF(L358=30,"+10"," "))))))))))))))))</f>
        <v>+4</v>
      </c>
      <c r="N358" s="3" t="n">
        <v>14</v>
      </c>
      <c r="O358" s="1" t="str">
        <f aca="false">IF(N358=1,"-5",IF(OR(N358=2,N358=3),"-4",IF(OR(N358=4,N358=5),"-3",IF(OR(N358=6,N358=7),"-2",IF(OR(N358=8,N358=9),"-1",IF(OR(N358=10,N358=11),"0",IF(OR(N358=12,N358=13),"+1",IF(OR(N358=14,N358=15),"+2",IF(OR(N358=16,N358=17),"+3",IF(OR(N358=18,N358=19),"+4",IF(OR(N358=20,N358=21),"+5",IF(OR(N358=22,N358=23),"+6",IF(OR(N358=24,N358=25),"+7",IF(OR(N358=26,N358=27),"+8",IF(OR(N358=28,N358=29),"+9",IF(N358=30,"+10"," "))))))))))))))))</f>
        <v>+2</v>
      </c>
      <c r="P358" s="3" t="n">
        <v>11</v>
      </c>
      <c r="Q358" s="1" t="str">
        <f aca="false">IF(P358=1,"-5",IF(OR(P358=2,P358=3),"-4",IF(OR(P358=4,P358=5),"-3",IF(OR(P358=6,P358=7),"-2",IF(OR(P358=8,P358=9),"-1",IF(OR(P358=10,P358=11),"0",IF(OR(P358=12,P358=13),"+1",IF(OR(P358=14,P358=15),"+2",IF(OR(P358=16,P358=17),"+3",IF(OR(P358=18,P358=19),"+4",IF(OR(P358=20,P358=21),"+5",IF(OR(P358=22,P358=23),"+6",IF(OR(P358=24,P358=25),"+7",IF(OR(P358=26,P358=27),"+8",IF(OR(P358=28,P358=29),"+9",IF(P358=30,"+10"," "))))))))))))))))</f>
        <v>0</v>
      </c>
      <c r="R358" s="3" t="n">
        <v>11</v>
      </c>
      <c r="S358" s="1" t="str">
        <f aca="false">IF(R358=1,"-5",IF(OR(R358=2,R358=3),"-4",IF(OR(R358=4,R358=5),"-3",IF(OR(R358=6,R358=7),"-2",IF(OR(R358=8,R358=9),"-1",IF(OR(R358=10,R358=11),"0",IF(OR(R358=12,R358=13),"+1",IF(OR(R358=14,R358=15),"+2",IF(OR(R358=16,R358=17),"+3",IF(OR(R358=18,R358=19),"+4",IF(OR(R358=20,R358=21),"+5",IF(OR(R358=22,R358=23),"+6",IF(OR(R358=24,R358=25),"+7",IF(OR(R358=26,R358=27),"+8",IF(OR(R358=28,R358=29),"+9",IF(R358=30,"+10"," "))))))))))))))))</f>
        <v>0</v>
      </c>
      <c r="T358" s="3" t="n">
        <v>12</v>
      </c>
      <c r="U358" s="1" t="str">
        <f aca="false">IF(T358=1,"-5",IF(OR(T358=2,T358=3),"-4",IF(OR(T358=4,T358=5),"-3",IF(OR(T358=6,T358=7),"-2",IF(OR(T358=8,T358=9),"-1",IF(OR(T358=10,T358=11),"0",IF(OR(T358=12,T358=13),"+1",IF(OR(T358=14,T358=15),"+2",IF(OR(T358=16,T358=17),"+3",IF(OR(T358=18,T358=19),"+4",IF(OR(T358=20,T358=21),"+5",IF(OR(T358=22,T358=23),"+6",IF(OR(T358=24,T358=25),"+7",IF(OR(T358=26,T358=27),"+8",IF(OR(T358=28,T358=29),"+9",IF(T358=30,"+10"," "))))))))))))))))</f>
        <v>+1</v>
      </c>
      <c r="V358" s="3" t="s">
        <v>1811</v>
      </c>
      <c r="W358" s="3" t="s">
        <v>1812</v>
      </c>
      <c r="X358" s="11" t="s">
        <v>1813</v>
      </c>
      <c r="Y358" s="11" t="s">
        <v>1814</v>
      </c>
      <c r="Z358" s="11" t="s">
        <v>1815</v>
      </c>
      <c r="AA358" s="12" t="s">
        <v>37</v>
      </c>
    </row>
    <row r="359" customFormat="false" ht="16.4" hidden="false" customHeight="false" outlineLevel="0" collapsed="false">
      <c r="A359" s="14" t="s">
        <v>1816</v>
      </c>
      <c r="B359" s="1" t="s">
        <v>39</v>
      </c>
      <c r="C359" s="1" t="s">
        <v>609</v>
      </c>
      <c r="D359" s="5" t="n">
        <v>0.5</v>
      </c>
      <c r="E359" s="3" t="n">
        <f aca="false">VLOOKUP(D359,'[1]REF Tables'!$A$2:$B$40,2)</f>
        <v>100</v>
      </c>
      <c r="F359" s="1" t="s">
        <v>30</v>
      </c>
      <c r="G359" s="1" t="n">
        <v>11</v>
      </c>
      <c r="H359" s="1" t="s">
        <v>790</v>
      </c>
      <c r="I359" s="3" t="s">
        <v>42</v>
      </c>
      <c r="J359" s="1" t="n">
        <v>15</v>
      </c>
      <c r="K359" s="1" t="str">
        <f aca="false">IF(J359=1,"-5",IF(OR(J359=2,J359=3),"-4",IF(OR(J359=4,J359=5),"-3",IF(OR(J359=6,J359=7),"-2",IF(OR(J359=8,J359=9),"-1",IF(OR(J359=10,J359=11),"0",IF(OR(J359=12,J359=13),"+1",IF(OR(J359=14,J359=15),"+2",IF(OR(J359=16,J359=17),"+3",IF(OR(J359=18,J359=19),"+4",IF(OR(J359=20,J359=21),"+5",IF(OR(J359=22,J359=23),"+6",IF(OR(J359=24,J359=25),"+7",IF(OR(J359=26,J359=27),"+8",IF(OR(J359=28,J359=29),"+9",IF(J359=30,"+10"," "))))))))))))))))</f>
        <v>+2</v>
      </c>
      <c r="L359" s="1" t="n">
        <v>11</v>
      </c>
      <c r="M359" s="1" t="str">
        <f aca="false">IF(L359=1,"-5",IF(OR(L359=2,L359=3),"-4",IF(OR(L359=4,L359=5),"-3",IF(OR(L359=6,L359=7),"-2",IF(OR(L359=8,L359=9),"-1",IF(OR(L359=10,L359=11),"0",IF(OR(L359=12,L359=13),"+1",IF(OR(L359=14,L359=15),"+2",IF(OR(L359=16,L359=17),"+3",IF(OR(L359=18,L359=19),"+4",IF(OR(L359=20,L359=21),"+5",IF(OR(L359=22,L359=23),"+6",IF(OR(L359=24,L359=25),"+7",IF(OR(L359=26,L359=27),"+8",IF(OR(L359=28,L359=29),"+9",IF(L359=30,"+10"," "))))))))))))))))</f>
        <v>0</v>
      </c>
      <c r="N359" s="1" t="n">
        <v>14</v>
      </c>
      <c r="O359" s="1" t="str">
        <f aca="false">IF(N359=1,"-5",IF(OR(N359=2,N359=3),"-4",IF(OR(N359=4,N359=5),"-3",IF(OR(N359=6,N359=7),"-2",IF(OR(N359=8,N359=9),"-1",IF(OR(N359=10,N359=11),"0",IF(OR(N359=12,N359=13),"+1",IF(OR(N359=14,N359=15),"+2",IF(OR(N359=16,N359=17),"+3",IF(OR(N359=18,N359=19),"+4",IF(OR(N359=20,N359=21),"+5",IF(OR(N359=22,N359=23),"+6",IF(OR(N359=24,N359=25),"+7",IF(OR(N359=26,N359=27),"+8",IF(OR(N359=28,N359=29),"+9",IF(N359=30,"+10"," "))))))))))))))))</f>
        <v>+2</v>
      </c>
      <c r="P359" s="1" t="n">
        <v>10</v>
      </c>
      <c r="Q359" s="1" t="str">
        <f aca="false">IF(P359=1,"-5",IF(OR(P359=2,P359=3),"-4",IF(OR(P359=4,P359=5),"-3",IF(OR(P359=6,P359=7),"-2",IF(OR(P359=8,P359=9),"-1",IF(OR(P359=10,P359=11),"0",IF(OR(P359=12,P359=13),"+1",IF(OR(P359=14,P359=15),"+2",IF(OR(P359=16,P359=17),"+3",IF(OR(P359=18,P359=19),"+4",IF(OR(P359=20,P359=21),"+5",IF(OR(P359=22,P359=23),"+6",IF(OR(P359=24,P359=25),"+7",IF(OR(P359=26,P359=27),"+8",IF(OR(P359=28,P359=29),"+9",IF(P359=30,"+10"," "))))))))))))))))</f>
        <v>0</v>
      </c>
      <c r="R359" s="1" t="n">
        <v>10</v>
      </c>
      <c r="S359" s="1" t="str">
        <f aca="false">IF(R359=1,"-5",IF(OR(R359=2,R359=3),"-4",IF(OR(R359=4,R359=5),"-3",IF(OR(R359=6,R359=7),"-2",IF(OR(R359=8,R359=9),"-1",IF(OR(R359=10,R359=11),"0",IF(OR(R359=12,R359=13),"+1",IF(OR(R359=14,R359=15),"+2",IF(OR(R359=16,R359=17),"+3",IF(OR(R359=18,R359=19),"+4",IF(OR(R359=20,R359=21),"+5",IF(OR(R359=22,R359=23),"+6",IF(OR(R359=24,R359=25),"+7",IF(OR(R359=26,R359=27),"+8",IF(OR(R359=28,R359=29),"+9",IF(R359=30,"+10"," "))))))))))))))))</f>
        <v>0</v>
      </c>
      <c r="T359" s="1" t="n">
        <v>11</v>
      </c>
      <c r="U359" s="1" t="str">
        <f aca="false">IF(T359=1,"-5",IF(OR(T359=2,T359=3),"-4",IF(OR(T359=4,T359=5),"-3",IF(OR(T359=6,T359=7),"-2",IF(OR(T359=8,T359=9),"-1",IF(OR(T359=10,T359=11),"0",IF(OR(T359=12,T359=13),"+1",IF(OR(T359=14,T359=15),"+2",IF(OR(T359=16,T359=17),"+3",IF(OR(T359=18,T359=19),"+4",IF(OR(T359=20,T359=21),"+5",IF(OR(T359=22,T359=23),"+6",IF(OR(T359=24,T359=25),"+7",IF(OR(T359=26,T359=27),"+8",IF(OR(T359=28,T359=29),"+9",IF(T359=30,"+10"," "))))))))))))))))</f>
        <v>0</v>
      </c>
      <c r="V359" s="1" t="s">
        <v>270</v>
      </c>
      <c r="W359" s="1" t="s">
        <v>66</v>
      </c>
      <c r="X359" s="2" t="s">
        <v>1817</v>
      </c>
      <c r="Y359" s="2" t="s">
        <v>1818</v>
      </c>
      <c r="Z359" s="2" t="s">
        <v>37</v>
      </c>
      <c r="AA359" s="1" t="s">
        <v>37</v>
      </c>
    </row>
    <row r="360" customFormat="false" ht="16.4" hidden="false" customHeight="false" outlineLevel="0" collapsed="false">
      <c r="A360" s="15" t="s">
        <v>1819</v>
      </c>
      <c r="B360" s="3" t="s">
        <v>59</v>
      </c>
      <c r="C360" s="3" t="s">
        <v>37</v>
      </c>
      <c r="D360" s="16" t="n">
        <v>6</v>
      </c>
      <c r="E360" s="6" t="n">
        <f aca="false">VLOOKUP(D360,'[1]REF Tables'!$A$2:$B$40,2)</f>
        <v>2300</v>
      </c>
      <c r="F360" s="3" t="s">
        <v>121</v>
      </c>
      <c r="G360" s="3" t="n">
        <v>13</v>
      </c>
      <c r="H360" s="3" t="s">
        <v>1337</v>
      </c>
      <c r="I360" s="3" t="s">
        <v>224</v>
      </c>
      <c r="J360" s="3" t="n">
        <v>24</v>
      </c>
      <c r="K360" s="1" t="str">
        <f aca="false">IF(J360=1,"-5",IF(OR(J360=2,J360=3),"-4",IF(OR(J360=4,J360=5),"-3",IF(OR(J360=6,J360=7),"-2",IF(OR(J360=8,J360=9),"-1",IF(OR(J360=10,J360=11),"0",IF(OR(J360=12,J360=13),"+1",IF(OR(J360=14,J360=15),"+2",IF(OR(J360=16,J360=17),"+3",IF(OR(J360=18,J360=19),"+4",IF(OR(J360=20,J360=21),"+5",IF(OR(J360=22,J360=23),"+6",IF(OR(J360=24,J360=25),"+7",IF(OR(J360=26,J360=27),"+8",IF(OR(J360=28,J360=29),"+9",IF(J360=30,"+10"," "))))))))))))))))</f>
        <v>+7</v>
      </c>
      <c r="L360" s="3" t="n">
        <v>9</v>
      </c>
      <c r="M360" s="1" t="str">
        <f aca="false">IF(L360=1,"-5",IF(OR(L360=2,L360=3),"-4",IF(OR(L360=4,L360=5),"-3",IF(OR(L360=6,L360=7),"-2",IF(OR(L360=8,L360=9),"-1",IF(OR(L360=10,L360=11),"0",IF(OR(L360=12,L360=13),"+1",IF(OR(L360=14,L360=15),"+2",IF(OR(L360=16,L360=17),"+3",IF(OR(L360=18,L360=19),"+4",IF(OR(L360=20,L360=21),"+5",IF(OR(L360=22,L360=23),"+6",IF(OR(L360=24,L360=25),"+7",IF(OR(L360=26,L360=27),"+8",IF(OR(L360=28,L360=29),"+9",IF(L360=30,"+10"," "))))))))))))))))</f>
        <v>-1</v>
      </c>
      <c r="N360" s="3" t="n">
        <v>21</v>
      </c>
      <c r="O360" s="1" t="str">
        <f aca="false">IF(N360=1,"-5",IF(OR(N360=2,N360=3),"-4",IF(OR(N360=4,N360=5),"-3",IF(OR(N360=6,N360=7),"-2",IF(OR(N360=8,N360=9),"-1",IF(OR(N360=10,N360=11),"0",IF(OR(N360=12,N360=13),"+1",IF(OR(N360=14,N360=15),"+2",IF(OR(N360=16,N360=17),"+3",IF(OR(N360=18,N360=19),"+4",IF(OR(N360=20,N360=21),"+5",IF(OR(N360=22,N360=23),"+6",IF(OR(N360=24,N360=25),"+7",IF(OR(N360=26,N360=27),"+8",IF(OR(N360=28,N360=29),"+9",IF(N360=30,"+10"," "))))))))))))))))</f>
        <v>+5</v>
      </c>
      <c r="P360" s="3" t="n">
        <v>3</v>
      </c>
      <c r="Q360" s="1" t="str">
        <f aca="false">IF(P360=1,"-5",IF(OR(P360=2,P360=3),"-4",IF(OR(P360=4,P360=5),"-3",IF(OR(P360=6,P360=7),"-2",IF(OR(P360=8,P360=9),"-1",IF(OR(P360=10,P360=11),"0",IF(OR(P360=12,P360=13),"+1",IF(OR(P360=14,P360=15),"+2",IF(OR(P360=16,P360=17),"+3",IF(OR(P360=18,P360=19),"+4",IF(OR(P360=20,P360=21),"+5",IF(OR(P360=22,P360=23),"+6",IF(OR(P360=24,P360=25),"+7",IF(OR(P360=26,P360=27),"+8",IF(OR(P360=28,P360=29),"+9",IF(P360=30,"+10"," "))))))))))))))))</f>
        <v>-4</v>
      </c>
      <c r="R360" s="3" t="n">
        <v>11</v>
      </c>
      <c r="S360" s="1" t="str">
        <f aca="false">IF(R360=1,"-5",IF(OR(R360=2,R360=3),"-4",IF(OR(R360=4,R360=5),"-3",IF(OR(R360=6,R360=7),"-2",IF(OR(R360=8,R360=9),"-1",IF(OR(R360=10,R360=11),"0",IF(OR(R360=12,R360=13),"+1",IF(OR(R360=14,R360=15),"+2",IF(OR(R360=16,R360=17),"+3",IF(OR(R360=18,R360=19),"+4",IF(OR(R360=20,R360=21),"+5",IF(OR(R360=22,R360=23),"+6",IF(OR(R360=24,R360=25),"+7",IF(OR(R360=26,R360=27),"+8",IF(OR(R360=28,R360=29),"+9",IF(R360=30,"+10"," "))))))))))))))))</f>
        <v>0</v>
      </c>
      <c r="T360" s="3" t="n">
        <v>6</v>
      </c>
      <c r="U360" s="1" t="str">
        <f aca="false">IF(T360=1,"-5",IF(OR(T360=2,T360=3),"-4",IF(OR(T360=4,T360=5),"-3",IF(OR(T360=6,T360=7),"-2",IF(OR(T360=8,T360=9),"-1",IF(OR(T360=10,T360=11),"0",IF(OR(T360=12,T360=13),"+1",IF(OR(T360=14,T360=15),"+2",IF(OR(T360=16,T360=17),"+3",IF(OR(T360=18,T360=19),"+4",IF(OR(T360=20,T360=21),"+5",IF(OR(T360=22,T360=23),"+6",IF(OR(T360=24,T360=25),"+7",IF(OR(T360=26,T360=27),"+8",IF(OR(T360=28,T360=29),"+9",IF(T360=30,"+10"," "))))))))))))))))</f>
        <v>-2</v>
      </c>
      <c r="V360" s="3" t="s">
        <v>37</v>
      </c>
      <c r="W360" s="3" t="s">
        <v>37</v>
      </c>
      <c r="X360" s="11" t="s">
        <v>1820</v>
      </c>
      <c r="Y360" s="11" t="s">
        <v>1821</v>
      </c>
      <c r="Z360" s="11" t="s">
        <v>37</v>
      </c>
      <c r="AA360" s="12" t="s">
        <v>37</v>
      </c>
    </row>
    <row r="361" customFormat="false" ht="16.4" hidden="false" customHeight="false" outlineLevel="0" collapsed="false">
      <c r="A361" s="15" t="s">
        <v>1822</v>
      </c>
      <c r="B361" s="3" t="s">
        <v>221</v>
      </c>
      <c r="C361" s="3" t="s">
        <v>222</v>
      </c>
      <c r="D361" s="16" t="n">
        <v>0.125</v>
      </c>
      <c r="E361" s="3" t="n">
        <f aca="false">VLOOKUP(D361,'[1]REF Tables'!$A$2:$B$40,2)</f>
        <v>25</v>
      </c>
      <c r="F361" s="3" t="s">
        <v>165</v>
      </c>
      <c r="G361" s="3" t="n">
        <v>9</v>
      </c>
      <c r="H361" s="3" t="s">
        <v>1807</v>
      </c>
      <c r="I361" s="3" t="s">
        <v>160</v>
      </c>
      <c r="J361" s="3" t="n">
        <v>10</v>
      </c>
      <c r="K361" s="1" t="str">
        <f aca="false">IF(J361=1,"-5",IF(OR(J361=2,J361=3),"-4",IF(OR(J361=4,J361=5),"-3",IF(OR(J361=6,J361=7),"-2",IF(OR(J361=8,J361=9),"-1",IF(OR(J361=10,J361=11),"0",IF(OR(J361=12,J361=13),"+1",IF(OR(J361=14,J361=15),"+2",IF(OR(J361=16,J361=17),"+3",IF(OR(J361=18,J361=19),"+4",IF(OR(J361=20,J361=21),"+5",IF(OR(J361=22,J361=23),"+6",IF(OR(J361=24,J361=25),"+7",IF(OR(J361=26,J361=27),"+8",IF(OR(J361=28,J361=29),"+9",IF(J361=30,"+10"," "))))))))))))))))</f>
        <v>0</v>
      </c>
      <c r="L361" s="3" t="n">
        <v>9</v>
      </c>
      <c r="M361" s="1" t="str">
        <f aca="false">IF(L361=1,"-5",IF(OR(L361=2,L361=3),"-4",IF(OR(L361=4,L361=5),"-3",IF(OR(L361=6,L361=7),"-2",IF(OR(L361=8,L361=9),"-1",IF(OR(L361=10,L361=11),"0",IF(OR(L361=12,L361=13),"+1",IF(OR(L361=14,L361=15),"+2",IF(OR(L361=16,L361=17),"+3",IF(OR(L361=18,L361=19),"+4",IF(OR(L361=20,L361=21),"+5",IF(OR(L361=22,L361=23),"+6",IF(OR(L361=24,L361=25),"+7",IF(OR(L361=26,L361=27),"+8",IF(OR(L361=28,L361=29),"+9",IF(L361=30,"+10"," "))))))))))))))))</f>
        <v>-1</v>
      </c>
      <c r="N361" s="3" t="n">
        <v>13</v>
      </c>
      <c r="O361" s="1" t="str">
        <f aca="false">IF(N361=1,"-5",IF(OR(N361=2,N361=3),"-4",IF(OR(N361=4,N361=5),"-3",IF(OR(N361=6,N361=7),"-2",IF(OR(N361=8,N361=9),"-1",IF(OR(N361=10,N361=11),"0",IF(OR(N361=12,N361=13),"+1",IF(OR(N361=14,N361=15),"+2",IF(OR(N361=16,N361=17),"+3",IF(OR(N361=18,N361=19),"+4",IF(OR(N361=20,N361=21),"+5",IF(OR(N361=22,N361=23),"+6",IF(OR(N361=24,N361=25),"+7",IF(OR(N361=26,N361=27),"+8",IF(OR(N361=28,N361=29),"+9",IF(N361=30,"+10"," "))))))))))))))))</f>
        <v>+1</v>
      </c>
      <c r="P361" s="3" t="n">
        <v>3</v>
      </c>
      <c r="Q361" s="1" t="str">
        <f aca="false">IF(P361=1,"-5",IF(OR(P361=2,P361=3),"-4",IF(OR(P361=4,P361=5),"-3",IF(OR(P361=6,P361=7),"-2",IF(OR(P361=8,P361=9),"-1",IF(OR(P361=10,P361=11),"0",IF(OR(P361=12,P361=13),"+1",IF(OR(P361=14,P361=15),"+2",IF(OR(P361=16,P361=17),"+3",IF(OR(P361=18,P361=19),"+4",IF(OR(P361=20,P361=21),"+5",IF(OR(P361=22,P361=23),"+6",IF(OR(P361=24,P361=25),"+7",IF(OR(P361=26,P361=27),"+8",IF(OR(P361=28,P361=29),"+9",IF(P361=30,"+10"," "))))))))))))))))</f>
        <v>-4</v>
      </c>
      <c r="R361" s="3" t="n">
        <v>8</v>
      </c>
      <c r="S361" s="1" t="str">
        <f aca="false">IF(R361=1,"-5",IF(OR(R361=2,R361=3),"-4",IF(OR(R361=4,R361=5),"-3",IF(OR(R361=6,R361=7),"-2",IF(OR(R361=8,R361=9),"-1",IF(OR(R361=10,R361=11),"0",IF(OR(R361=12,R361=13),"+1",IF(OR(R361=14,R361=15),"+2",IF(OR(R361=16,R361=17),"+3",IF(OR(R361=18,R361=19),"+4",IF(OR(R361=20,R361=21),"+5",IF(OR(R361=22,R361=23),"+6",IF(OR(R361=24,R361=25),"+7",IF(OR(R361=26,R361=27),"+8",IF(OR(R361=28,R361=29),"+9",IF(R361=30,"+10"," "))))))))))))))))</f>
        <v>-1</v>
      </c>
      <c r="T361" s="3" t="n">
        <v>4</v>
      </c>
      <c r="U361" s="1" t="str">
        <f aca="false">IF(T361=1,"-5",IF(OR(T361=2,T361=3),"-4",IF(OR(T361=4,T361=5),"-3",IF(OR(T361=6,T361=7),"-2",IF(OR(T361=8,T361=9),"-1",IF(OR(T361=10,T361=11),"0",IF(OR(T361=12,T361=13),"+1",IF(OR(T361=14,T361=15),"+2",IF(OR(T361=16,T361=17),"+3",IF(OR(T361=18,T361=19),"+4",IF(OR(T361=20,T361=21),"+5",IF(OR(T361=22,T361=23),"+6",IF(OR(T361=24,T361=25),"+7",IF(OR(T361=26,T361=27),"+8",IF(OR(T361=28,T361=29),"+9",IF(T361=30,"+10"," "))))))))))))))))</f>
        <v>-3</v>
      </c>
      <c r="V361" s="3" t="s">
        <v>37</v>
      </c>
      <c r="W361" s="3" t="s">
        <v>670</v>
      </c>
      <c r="X361" s="11" t="s">
        <v>1823</v>
      </c>
      <c r="Y361" s="11" t="s">
        <v>1824</v>
      </c>
      <c r="Z361" s="11" t="s">
        <v>37</v>
      </c>
      <c r="AA361" s="12" t="s">
        <v>37</v>
      </c>
    </row>
    <row r="362" customFormat="false" ht="16.4" hidden="false" customHeight="false" outlineLevel="0" collapsed="false">
      <c r="A362" s="15" t="s">
        <v>1825</v>
      </c>
      <c r="B362" s="3" t="s">
        <v>105</v>
      </c>
      <c r="C362" s="3" t="s">
        <v>37</v>
      </c>
      <c r="D362" s="16" t="n">
        <v>0.5</v>
      </c>
      <c r="E362" s="3" t="n">
        <f aca="false">VLOOKUP(D362,'[1]REF Tables'!$A$2:$B$40,2)</f>
        <v>100</v>
      </c>
      <c r="F362" s="3" t="s">
        <v>165</v>
      </c>
      <c r="G362" s="3" t="n">
        <v>11</v>
      </c>
      <c r="H362" s="3" t="s">
        <v>720</v>
      </c>
      <c r="I362" s="3" t="s">
        <v>1826</v>
      </c>
      <c r="J362" s="3" t="n">
        <v>16</v>
      </c>
      <c r="K362" s="1" t="str">
        <f aca="false">IF(J362=1,"-5",IF(OR(J362=2,J362=3),"-4",IF(OR(J362=4,J362=5),"-3",IF(OR(J362=6,J362=7),"-2",IF(OR(J362=8,J362=9),"-1",IF(OR(J362=10,J362=11),"0",IF(OR(J362=12,J362=13),"+1",IF(OR(J362=14,J362=15),"+2",IF(OR(J362=16,J362=17),"+3",IF(OR(J362=18,J362=19),"+4",IF(OR(J362=20,J362=21),"+5",IF(OR(J362=22,J362=23),"+6",IF(OR(J362=24,J362=25),"+7",IF(OR(J362=26,J362=27),"+8",IF(OR(J362=28,J362=29),"+9",IF(J362=30,"+10"," "))))))))))))))))</f>
        <v>+3</v>
      </c>
      <c r="L362" s="3" t="n">
        <v>12</v>
      </c>
      <c r="M362" s="1" t="str">
        <f aca="false">IF(L362=1,"-5",IF(OR(L362=2,L362=3),"-4",IF(OR(L362=4,L362=5),"-3",IF(OR(L362=6,L362=7),"-2",IF(OR(L362=8,L362=9),"-1",IF(OR(L362=10,L362=11),"0",IF(OR(L362=12,L362=13),"+1",IF(OR(L362=14,L362=15),"+2",IF(OR(L362=16,L362=17),"+3",IF(OR(L362=18,L362=19),"+4",IF(OR(L362=20,L362=21),"+5",IF(OR(L362=22,L362=23),"+6",IF(OR(L362=24,L362=25),"+7",IF(OR(L362=26,L362=27),"+8",IF(OR(L362=28,L362=29),"+9",IF(L362=30,"+10"," "))))))))))))))))</f>
        <v>+1</v>
      </c>
      <c r="N362" s="3" t="n">
        <v>13</v>
      </c>
      <c r="O362" s="1" t="str">
        <f aca="false">IF(N362=1,"-5",IF(OR(N362=2,N362=3),"-4",IF(OR(N362=4,N362=5),"-3",IF(OR(N362=6,N362=7),"-2",IF(OR(N362=8,N362=9),"-1",IF(OR(N362=10,N362=11),"0",IF(OR(N362=12,N362=13),"+1",IF(OR(N362=14,N362=15),"+2",IF(OR(N362=16,N362=17),"+3",IF(OR(N362=18,N362=19),"+4",IF(OR(N362=20,N362=21),"+5",IF(OR(N362=22,N362=23),"+6",IF(OR(N362=24,N362=25),"+7",IF(OR(N362=26,N362=27),"+8",IF(OR(N362=28,N362=29),"+9",IF(N362=30,"+10"," "))))))))))))))))</f>
        <v>+1</v>
      </c>
      <c r="P362" s="3" t="n">
        <v>2</v>
      </c>
      <c r="Q362" s="1" t="str">
        <f aca="false">IF(P362=1,"-5",IF(OR(P362=2,P362=3),"-4",IF(OR(P362=4,P362=5),"-3",IF(OR(P362=6,P362=7),"-2",IF(OR(P362=8,P362=9),"-1",IF(OR(P362=10,P362=11),"0",IF(OR(P362=12,P362=13),"+1",IF(OR(P362=14,P362=15),"+2",IF(OR(P362=16,P362=17),"+3",IF(OR(P362=18,P362=19),"+4",IF(OR(P362=20,P362=21),"+5",IF(OR(P362=22,P362=23),"+6",IF(OR(P362=24,P362=25),"+7",IF(OR(P362=26,P362=27),"+8",IF(OR(P362=28,P362=29),"+9",IF(P362=30,"+10"," "))))))))))))))))</f>
        <v>-4</v>
      </c>
      <c r="R362" s="3" t="n">
        <v>10</v>
      </c>
      <c r="S362" s="1" t="str">
        <f aca="false">IF(R362=1,"-5",IF(OR(R362=2,R362=3),"-4",IF(OR(R362=4,R362=5),"-3",IF(OR(R362=6,R362=7),"-2",IF(OR(R362=8,R362=9),"-1",IF(OR(R362=10,R362=11),"0",IF(OR(R362=12,R362=13),"+1",IF(OR(R362=14,R362=15),"+2",IF(OR(R362=16,R362=17),"+3",IF(OR(R362=18,R362=19),"+4",IF(OR(R362=20,R362=21),"+5",IF(OR(R362=22,R362=23),"+6",IF(OR(R362=24,R362=25),"+7",IF(OR(R362=26,R362=27),"+8",IF(OR(R362=28,R362=29),"+9",IF(R362=30,"+10"," "))))))))))))))))</f>
        <v>0</v>
      </c>
      <c r="T362" s="3" t="n">
        <v>5</v>
      </c>
      <c r="U362" s="1" t="str">
        <f aca="false">IF(T362=1,"-5",IF(OR(T362=2,T362=3),"-4",IF(OR(T362=4,T362=5),"-3",IF(OR(T362=6,T362=7),"-2",IF(OR(T362=8,T362=9),"-1",IF(OR(T362=10,T362=11),"0",IF(OR(T362=12,T362=13),"+1",IF(OR(T362=14,T362=15),"+2",IF(OR(T362=16,T362=17),"+3",IF(OR(T362=18,T362=19),"+4",IF(OR(T362=20,T362=21),"+5",IF(OR(T362=22,T362=23),"+6",IF(OR(T362=24,T362=25),"+7",IF(OR(T362=26,T362=27),"+8",IF(OR(T362=28,T362=29),"+9",IF(T362=30,"+10"," "))))))))))))))))</f>
        <v>-3</v>
      </c>
      <c r="V362" s="3" t="s">
        <v>375</v>
      </c>
      <c r="W362" s="3" t="s">
        <v>37</v>
      </c>
      <c r="X362" s="11" t="s">
        <v>1827</v>
      </c>
      <c r="Y362" s="11" t="s">
        <v>1828</v>
      </c>
      <c r="Z362" s="11" t="s">
        <v>37</v>
      </c>
      <c r="AA362" s="12" t="s">
        <v>37</v>
      </c>
    </row>
    <row r="363" customFormat="false" ht="16.4" hidden="false" customHeight="false" outlineLevel="0" collapsed="false">
      <c r="A363" s="15" t="s">
        <v>1829</v>
      </c>
      <c r="B363" s="3" t="s">
        <v>48</v>
      </c>
      <c r="C363" s="3" t="s">
        <v>590</v>
      </c>
      <c r="D363" s="16" t="n">
        <v>8</v>
      </c>
      <c r="E363" s="6" t="n">
        <f aca="false">VLOOKUP(D363,'[1]REF Tables'!$A$2:$B$40,2)</f>
        <v>3900</v>
      </c>
      <c r="F363" s="3" t="s">
        <v>50</v>
      </c>
      <c r="G363" s="3" t="n">
        <v>14</v>
      </c>
      <c r="H363" s="3" t="s">
        <v>1830</v>
      </c>
      <c r="I363" s="3" t="s">
        <v>1215</v>
      </c>
      <c r="J363" s="3" t="n">
        <v>17</v>
      </c>
      <c r="K363" s="1" t="str">
        <f aca="false">IF(J363=1,"-5",IF(OR(J363=2,J363=3),"-4",IF(OR(J363=4,J363=5),"-3",IF(OR(J363=6,J363=7),"-2",IF(OR(J363=8,J363=9),"-1",IF(OR(J363=10,J363=11),"0",IF(OR(J363=12,J363=13),"+1",IF(OR(J363=14,J363=15),"+2",IF(OR(J363=16,J363=17),"+3",IF(OR(J363=18,J363=19),"+4",IF(OR(J363=20,J363=21),"+5",IF(OR(J363=22,J363=23),"+6",IF(OR(J363=24,J363=25),"+7",IF(OR(J363=26,J363=27),"+8",IF(OR(J363=28,J363=29),"+9",IF(J363=30,"+10"," "))))))))))))))))</f>
        <v>+3</v>
      </c>
      <c r="L363" s="3" t="n">
        <v>15</v>
      </c>
      <c r="M363" s="1" t="str">
        <f aca="false">IF(L363=1,"-5",IF(OR(L363=2,L363=3),"-4",IF(OR(L363=4,L363=5),"-3",IF(OR(L363=6,L363=7),"-2",IF(OR(L363=8,L363=9),"-1",IF(OR(L363=10,L363=11),"0",IF(OR(L363=12,L363=13),"+1",IF(OR(L363=14,L363=15),"+2",IF(OR(L363=16,L363=17),"+3",IF(OR(L363=18,L363=19),"+4",IF(OR(L363=20,L363=21),"+5",IF(OR(L363=22,L363=23),"+6",IF(OR(L363=24,L363=25),"+7",IF(OR(L363=26,L363=27),"+8",IF(OR(L363=28,L363=29),"+9",IF(L363=30,"+10"," "))))))))))))))))</f>
        <v>+2</v>
      </c>
      <c r="N363" s="3" t="n">
        <v>12</v>
      </c>
      <c r="O363" s="1" t="str">
        <f aca="false">IF(N363=1,"-5",IF(OR(N363=2,N363=3),"-4",IF(OR(N363=4,N363=5),"-3",IF(OR(N363=6,N363=7),"-2",IF(OR(N363=8,N363=9),"-1",IF(OR(N363=10,N363=11),"0",IF(OR(N363=12,N363=13),"+1",IF(OR(N363=14,N363=15),"+2",IF(OR(N363=16,N363=17),"+3",IF(OR(N363=18,N363=19),"+4",IF(OR(N363=20,N363=21),"+5",IF(OR(N363=22,N363=23),"+6",IF(OR(N363=24,N363=25),"+7",IF(OR(N363=26,N363=27),"+8",IF(OR(N363=28,N363=29),"+9",IF(N363=30,"+10"," "))))))))))))))))</f>
        <v>+1</v>
      </c>
      <c r="P363" s="3" t="n">
        <v>13</v>
      </c>
      <c r="Q363" s="1" t="str">
        <f aca="false">IF(P363=1,"-5",IF(OR(P363=2,P363=3),"-4",IF(OR(P363=4,P363=5),"-3",IF(OR(P363=6,P363=7),"-2",IF(OR(P363=8,P363=9),"-1",IF(OR(P363=10,P363=11),"0",IF(OR(P363=12,P363=13),"+1",IF(OR(P363=14,P363=15),"+2",IF(OR(P363=16,P363=17),"+3",IF(OR(P363=18,P363=19),"+4",IF(OR(P363=20,P363=21),"+5",IF(OR(P363=22,P363=23),"+6",IF(OR(P363=24,P363=25),"+7",IF(OR(P363=26,P363=27),"+8",IF(OR(P363=28,P363=29),"+9",IF(P363=30,"+10"," "))))))))))))))))</f>
        <v>+1</v>
      </c>
      <c r="R363" s="3" t="n">
        <v>12</v>
      </c>
      <c r="S363" s="1" t="str">
        <f aca="false">IF(R363=1,"-5",IF(OR(R363=2,R363=3),"-4",IF(OR(R363=4,R363=5),"-3",IF(OR(R363=6,R363=7),"-2",IF(OR(R363=8,R363=9),"-1",IF(OR(R363=10,R363=11),"0",IF(OR(R363=12,R363=13),"+1",IF(OR(R363=14,R363=15),"+2",IF(OR(R363=16,R363=17),"+3",IF(OR(R363=18,R363=19),"+4",IF(OR(R363=20,R363=21),"+5",IF(OR(R363=22,R363=23),"+6",IF(OR(R363=24,R363=25),"+7",IF(OR(R363=26,R363=27),"+8",IF(OR(R363=28,R363=29),"+9",IF(R363=30,"+10"," "))))))))))))))))</f>
        <v>+1</v>
      </c>
      <c r="T363" s="3" t="n">
        <v>14</v>
      </c>
      <c r="U363" s="1" t="str">
        <f aca="false">IF(T363=1,"-5",IF(OR(T363=2,T363=3),"-4",IF(OR(T363=4,T363=5),"-3",IF(OR(T363=6,T363=7),"-2",IF(OR(T363=8,T363=9),"-1",IF(OR(T363=10,T363=11),"0",IF(OR(T363=12,T363=13),"+1",IF(OR(T363=14,T363=15),"+2",IF(OR(T363=16,T363=17),"+3",IF(OR(T363=18,T363=19),"+4",IF(OR(T363=20,T363=21),"+5",IF(OR(T363=22,T363=23),"+6",IF(OR(T363=24,T363=25),"+7",IF(OR(T363=26,T363=27),"+8",IF(OR(T363=28,T363=29),"+9",IF(T363=30,"+10"," "))))))))))))))))</f>
        <v>+2</v>
      </c>
      <c r="V363" s="3" t="s">
        <v>586</v>
      </c>
      <c r="W363" s="3" t="s">
        <v>242</v>
      </c>
      <c r="X363" s="11" t="s">
        <v>1831</v>
      </c>
      <c r="Y363" s="11" t="s">
        <v>1832</v>
      </c>
      <c r="Z363" s="11" t="s">
        <v>37</v>
      </c>
      <c r="AA363" s="12" t="s">
        <v>100</v>
      </c>
    </row>
    <row r="364" customFormat="false" ht="16.4" hidden="false" customHeight="false" outlineLevel="0" collapsed="false">
      <c r="A364" s="15" t="s">
        <v>1833</v>
      </c>
      <c r="B364" s="3" t="s">
        <v>105</v>
      </c>
      <c r="C364" s="3" t="s">
        <v>49</v>
      </c>
      <c r="D364" s="16" t="n">
        <v>3</v>
      </c>
      <c r="E364" s="3" t="n">
        <f aca="false">VLOOKUP(D364,'[1]REF Tables'!$A$2:$B$40,2)</f>
        <v>700</v>
      </c>
      <c r="F364" s="3" t="s">
        <v>50</v>
      </c>
      <c r="G364" s="3" t="n">
        <v>14</v>
      </c>
      <c r="H364" s="3" t="s">
        <v>295</v>
      </c>
      <c r="I364" s="3" t="s">
        <v>1834</v>
      </c>
      <c r="J364" s="3" t="n">
        <v>17</v>
      </c>
      <c r="K364" s="1" t="str">
        <f aca="false">IF(J364=1,"-5",IF(OR(J364=2,J364=3),"-4",IF(OR(J364=4,J364=5),"-3",IF(OR(J364=6,J364=7),"-2",IF(OR(J364=8,J364=9),"-1",IF(OR(J364=10,J364=11),"0",IF(OR(J364=12,J364=13),"+1",IF(OR(J364=14,J364=15),"+2",IF(OR(J364=16,J364=17),"+3",IF(OR(J364=18,J364=19),"+4",IF(OR(J364=20,J364=21),"+5",IF(OR(J364=22,J364=23),"+6",IF(OR(J364=24,J364=25),"+7",IF(OR(J364=26,J364=27),"+8",IF(OR(J364=28,J364=29),"+9",IF(J364=30,"+10"," "))))))))))))))))</f>
        <v>+3</v>
      </c>
      <c r="L364" s="3" t="n">
        <v>16</v>
      </c>
      <c r="M364" s="1" t="str">
        <f aca="false">IF(L364=1,"-5",IF(OR(L364=2,L364=3),"-4",IF(OR(L364=4,L364=5),"-3",IF(OR(L364=6,L364=7),"-2",IF(OR(L364=8,L364=9),"-1",IF(OR(L364=10,L364=11),"0",IF(OR(L364=12,L364=13),"+1",IF(OR(L364=14,L364=15),"+2",IF(OR(L364=16,L364=17),"+3",IF(OR(L364=18,L364=19),"+4",IF(OR(L364=20,L364=21),"+5",IF(OR(L364=22,L364=23),"+6",IF(OR(L364=24,L364=25),"+7",IF(OR(L364=26,L364=27),"+8",IF(OR(L364=28,L364=29),"+9",IF(L364=30,"+10"," "))))))))))))))))</f>
        <v>+3</v>
      </c>
      <c r="N364" s="3" t="n">
        <v>17</v>
      </c>
      <c r="O364" s="1" t="str">
        <f aca="false">IF(N364=1,"-5",IF(OR(N364=2,N364=3),"-4",IF(OR(N364=4,N364=5),"-3",IF(OR(N364=6,N364=7),"-2",IF(OR(N364=8,N364=9),"-1",IF(OR(N364=10,N364=11),"0",IF(OR(N364=12,N364=13),"+1",IF(OR(N364=14,N364=15),"+2",IF(OR(N364=16,N364=17),"+3",IF(OR(N364=18,N364=19),"+4",IF(OR(N364=20,N364=21),"+5",IF(OR(N364=22,N364=23),"+6",IF(OR(N364=24,N364=25),"+7",IF(OR(N364=26,N364=27),"+8",IF(OR(N364=28,N364=29),"+9",IF(N364=30,"+10"," "))))))))))))))))</f>
        <v>+3</v>
      </c>
      <c r="P364" s="3" t="n">
        <v>7</v>
      </c>
      <c r="Q364" s="1" t="str">
        <f aca="false">IF(P364=1,"-5",IF(OR(P364=2,P364=3),"-4",IF(OR(P364=4,P364=5),"-3",IF(OR(P364=6,P364=7),"-2",IF(OR(P364=8,P364=9),"-1",IF(OR(P364=10,P364=11),"0",IF(OR(P364=12,P364=13),"+1",IF(OR(P364=14,P364=15),"+2",IF(OR(P364=16,P364=17),"+3",IF(OR(P364=18,P364=19),"+4",IF(OR(P364=20,P364=21),"+5",IF(OR(P364=22,P364=23),"+6",IF(OR(P364=24,P364=25),"+7",IF(OR(P364=26,P364=27),"+8",IF(OR(P364=28,P364=29),"+9",IF(P364=30,"+10"," "))))))))))))))))</f>
        <v>-2</v>
      </c>
      <c r="R364" s="3" t="n">
        <v>12</v>
      </c>
      <c r="S364" s="1" t="str">
        <f aca="false">IF(R364=1,"-5",IF(OR(R364=2,R364=3),"-4",IF(OR(R364=4,R364=5),"-3",IF(OR(R364=6,R364=7),"-2",IF(OR(R364=8,R364=9),"-1",IF(OR(R364=10,R364=11),"0",IF(OR(R364=12,R364=13),"+1",IF(OR(R364=14,R364=15),"+2",IF(OR(R364=16,R364=17),"+3",IF(OR(R364=18,R364=19),"+4",IF(OR(R364=20,R364=21),"+5",IF(OR(R364=22,R364=23),"+6",IF(OR(R364=24,R364=25),"+7",IF(OR(R364=26,R364=27),"+8",IF(OR(R364=28,R364=29),"+9",IF(R364=30,"+10"," "))))))))))))))))</f>
        <v>+1</v>
      </c>
      <c r="T364" s="3" t="n">
        <v>8</v>
      </c>
      <c r="U364" s="1" t="str">
        <f aca="false">IF(T364=1,"-5",IF(OR(T364=2,T364=3),"-4",IF(OR(T364=4,T364=5),"-3",IF(OR(T364=6,T364=7),"-2",IF(OR(T364=8,T364=9),"-1",IF(OR(T364=10,T364=11),"0",IF(OR(T364=12,T364=13),"+1",IF(OR(T364=14,T364=15),"+2",IF(OR(T364=16,T364=17),"+3",IF(OR(T364=18,T364=19),"+4",IF(OR(T364=20,T364=21),"+5",IF(OR(T364=22,T364=23),"+6",IF(OR(T364=24,T364=25),"+7",IF(OR(T364=26,T364=27),"+8",IF(OR(T364=28,T364=29),"+9",IF(T364=30,"+10"," "))))))))))))))))</f>
        <v>-1</v>
      </c>
      <c r="V364" s="3" t="s">
        <v>37</v>
      </c>
      <c r="W364" s="3" t="s">
        <v>271</v>
      </c>
      <c r="X364" s="11" t="s">
        <v>1835</v>
      </c>
      <c r="Y364" s="11" t="s">
        <v>1836</v>
      </c>
      <c r="Z364" s="11" t="s">
        <v>37</v>
      </c>
      <c r="AA364" s="12" t="s">
        <v>37</v>
      </c>
    </row>
    <row r="365" customFormat="false" ht="16.4" hidden="false" customHeight="false" outlineLevel="0" collapsed="false">
      <c r="A365" s="15" t="s">
        <v>1837</v>
      </c>
      <c r="B365" s="3" t="s">
        <v>214</v>
      </c>
      <c r="C365" s="3" t="s">
        <v>590</v>
      </c>
      <c r="D365" s="16" t="n">
        <v>11</v>
      </c>
      <c r="E365" s="6" t="n">
        <f aca="false">VLOOKUP(D365,'[1]REF Tables'!$A$2:$B$40,2)</f>
        <v>7200</v>
      </c>
      <c r="F365" s="3" t="s">
        <v>50</v>
      </c>
      <c r="G365" s="3" t="n">
        <v>17</v>
      </c>
      <c r="H365" s="3" t="s">
        <v>1838</v>
      </c>
      <c r="I365" s="3" t="s">
        <v>1839</v>
      </c>
      <c r="J365" s="3" t="n">
        <v>22</v>
      </c>
      <c r="K365" s="1" t="str">
        <f aca="false">IF(J365=1,"-5",IF(OR(J365=2,J365=3),"-4",IF(OR(J365=4,J365=5),"-3",IF(OR(J365=6,J365=7),"-2",IF(OR(J365=8,J365=9),"-1",IF(OR(J365=10,J365=11),"0",IF(OR(J365=12,J365=13),"+1",IF(OR(J365=14,J365=15),"+2",IF(OR(J365=16,J365=17),"+3",IF(OR(J365=18,J365=19),"+4",IF(OR(J365=20,J365=21),"+5",IF(OR(J365=22,J365=23),"+6",IF(OR(J365=24,J365=25),"+7",IF(OR(J365=26,J365=27),"+8",IF(OR(J365=28,J365=29),"+9",IF(J365=30,"+10"," "))))))))))))))))</f>
        <v>+6</v>
      </c>
      <c r="L365" s="3" t="n">
        <v>12</v>
      </c>
      <c r="M365" s="1" t="str">
        <f aca="false">IF(L365=1,"-5",IF(OR(L365=2,L365=3),"-4",IF(OR(L365=4,L365=5),"-3",IF(OR(L365=6,L365=7),"-2",IF(OR(L365=8,L365=9),"-1",IF(OR(L365=10,L365=11),"0",IF(OR(L365=12,L365=13),"+1",IF(OR(L365=14,L365=15),"+2",IF(OR(L365=16,L365=17),"+3",IF(OR(L365=18,L365=19),"+4",IF(OR(L365=20,L365=21),"+5",IF(OR(L365=22,L365=23),"+6",IF(OR(L365=24,L365=25),"+7",IF(OR(L365=26,L365=27),"+8",IF(OR(L365=28,L365=29),"+9",IF(L365=30,"+10"," "))))))))))))))))</f>
        <v>+1</v>
      </c>
      <c r="N365" s="3" t="n">
        <v>26</v>
      </c>
      <c r="O365" s="1" t="str">
        <f aca="false">IF(N365=1,"-5",IF(OR(N365=2,N365=3),"-4",IF(OR(N365=4,N365=5),"-3",IF(OR(N365=6,N365=7),"-2",IF(OR(N365=8,N365=9),"-1",IF(OR(N365=10,N365=11),"0",IF(OR(N365=12,N365=13),"+1",IF(OR(N365=14,N365=15),"+2",IF(OR(N365=16,N365=17),"+3",IF(OR(N365=18,N365=19),"+4",IF(OR(N365=20,N365=21),"+5",IF(OR(N365=22,N365=23),"+6",IF(OR(N365=24,N365=25),"+7",IF(OR(N365=26,N365=27),"+8",IF(OR(N365=28,N365=29),"+9",IF(N365=30,"+10"," "))))))))))))))))</f>
        <v>+8</v>
      </c>
      <c r="P365" s="3" t="n">
        <v>18</v>
      </c>
      <c r="Q365" s="1" t="str">
        <f aca="false">IF(P365=1,"-5",IF(OR(P365=2,P365=3),"-4",IF(OR(P365=4,P365=5),"-3",IF(OR(P365=6,P365=7),"-2",IF(OR(P365=8,P365=9),"-1",IF(OR(P365=10,P365=11),"0",IF(OR(P365=12,P365=13),"+1",IF(OR(P365=14,P365=15),"+2",IF(OR(P365=16,P365=17),"+3",IF(OR(P365=18,P365=19),"+4",IF(OR(P365=20,P365=21),"+5",IF(OR(P365=22,P365=23),"+6",IF(OR(P365=24,P365=25),"+7",IF(OR(P365=26,P365=27),"+8",IF(OR(P365=28,P365=29),"+9",IF(P365=30,"+10"," "))))))))))))))))</f>
        <v>+4</v>
      </c>
      <c r="R365" s="3" t="n">
        <v>17</v>
      </c>
      <c r="S365" s="1" t="str">
        <f aca="false">IF(R365=1,"-5",IF(OR(R365=2,R365=3),"-4",IF(OR(R365=4,R365=5),"-3",IF(OR(R365=6,R365=7),"-2",IF(OR(R365=8,R365=9),"-1",IF(OR(R365=10,R365=11),"0",IF(OR(R365=12,R365=13),"+1",IF(OR(R365=14,R365=15),"+2",IF(OR(R365=16,R365=17),"+3",IF(OR(R365=18,R365=19),"+4",IF(OR(R365=20,R365=21),"+5",IF(OR(R365=22,R365=23),"+6",IF(OR(R365=24,R365=25),"+7",IF(OR(R365=26,R365=27),"+8",IF(OR(R365=28,R365=29),"+9",IF(R365=30,"+10"," "))))))))))))))))</f>
        <v>+3</v>
      </c>
      <c r="T365" s="3" t="n">
        <v>18</v>
      </c>
      <c r="U365" s="1" t="str">
        <f aca="false">IF(T365=1,"-5",IF(OR(T365=2,T365=3),"-4",IF(OR(T365=4,T365=5),"-3",IF(OR(T365=6,T365=7),"-2",IF(OR(T365=8,T365=9),"-1",IF(OR(T365=10,T365=11),"0",IF(OR(T365=12,T365=13),"+1",IF(OR(T365=14,T365=15),"+2",IF(OR(T365=16,T365=17),"+3",IF(OR(T365=18,T365=19),"+4",IF(OR(T365=20,T365=21),"+5",IF(OR(T365=22,T365=23),"+6",IF(OR(T365=24,T365=25),"+7",IF(OR(T365=26,T365=27),"+8",IF(OR(T365=28,T365=29),"+9",IF(T365=30,"+10"," "))))))))))))))))</f>
        <v>+4</v>
      </c>
      <c r="V365" s="3" t="s">
        <v>1840</v>
      </c>
      <c r="W365" s="3" t="s">
        <v>1155</v>
      </c>
      <c r="X365" s="11" t="s">
        <v>1841</v>
      </c>
      <c r="Y365" s="11" t="s">
        <v>1842</v>
      </c>
      <c r="Z365" s="11" t="s">
        <v>37</v>
      </c>
      <c r="AA365" s="12" t="s">
        <v>37</v>
      </c>
    </row>
    <row r="366" customFormat="false" ht="16.4" hidden="false" customHeight="false" outlineLevel="0" collapsed="false">
      <c r="A366" s="15" t="s">
        <v>1843</v>
      </c>
      <c r="B366" s="3" t="s">
        <v>221</v>
      </c>
      <c r="C366" s="3" t="s">
        <v>222</v>
      </c>
      <c r="D366" s="16" t="n">
        <v>16</v>
      </c>
      <c r="E366" s="6" t="n">
        <f aca="false">VLOOKUP(D366,'[1]REF Tables'!$A$2:$B$40,2)</f>
        <v>15000</v>
      </c>
      <c r="F366" s="3" t="s">
        <v>50</v>
      </c>
      <c r="G366" s="3" t="n">
        <v>18</v>
      </c>
      <c r="H366" s="3" t="s">
        <v>1844</v>
      </c>
      <c r="I366" s="3" t="s">
        <v>224</v>
      </c>
      <c r="J366" s="3" t="n">
        <v>18</v>
      </c>
      <c r="K366" s="1" t="str">
        <f aca="false">IF(J366=1,"-5",IF(OR(J366=2,J366=3),"-4",IF(OR(J366=4,J366=5),"-3",IF(OR(J366=6,J366=7),"-2",IF(OR(J366=8,J366=9),"-1",IF(OR(J366=10,J366=11),"0",IF(OR(J366=12,J366=13),"+1",IF(OR(J366=14,J366=15),"+2",IF(OR(J366=16,J366=17),"+3",IF(OR(J366=18,J366=19),"+4",IF(OR(J366=20,J366=21),"+5",IF(OR(J366=22,J366=23),"+6",IF(OR(J366=24,J366=25),"+7",IF(OR(J366=26,J366=27),"+8",IF(OR(J366=28,J366=29),"+9",IF(J366=30,"+10"," "))))))))))))))))</f>
        <v>+4</v>
      </c>
      <c r="L366" s="3" t="n">
        <v>20</v>
      </c>
      <c r="M366" s="1" t="str">
        <f aca="false">IF(L366=1,"-5",IF(OR(L366=2,L366=3),"-4",IF(OR(L366=4,L366=5),"-3",IF(OR(L366=6,L366=7),"-2",IF(OR(L366=8,L366=9),"-1",IF(OR(L366=10,L366=11),"0",IF(OR(L366=12,L366=13),"+1",IF(OR(L366=14,L366=15),"+2",IF(OR(L366=16,L366=17),"+3",IF(OR(L366=18,L366=19),"+4",IF(OR(L366=20,L366=21),"+5",IF(OR(L366=22,L366=23),"+6",IF(OR(L366=24,L366=25),"+7",IF(OR(L366=26,L366=27),"+8",IF(OR(L366=28,L366=29),"+9",IF(L366=30,"+10"," "))))))))))))))))</f>
        <v>+5</v>
      </c>
      <c r="N366" s="3" t="n">
        <v>20</v>
      </c>
      <c r="O366" s="1" t="str">
        <f aca="false">IF(N366=1,"-5",IF(OR(N366=2,N366=3),"-4",IF(OR(N366=4,N366=5),"-3",IF(OR(N366=6,N366=7),"-2",IF(OR(N366=8,N366=9),"-1",IF(OR(N366=10,N366=11),"0",IF(OR(N366=12,N366=13),"+1",IF(OR(N366=14,N366=15),"+2",IF(OR(N366=16,N366=17),"+3",IF(OR(N366=18,N366=19),"+4",IF(OR(N366=20,N366=21),"+5",IF(OR(N366=22,N366=23),"+6",IF(OR(N366=24,N366=25),"+7",IF(OR(N366=26,N366=27),"+8",IF(OR(N366=28,N366=29),"+9",IF(N366=30,"+10"," "))))))))))))))))</f>
        <v>+5</v>
      </c>
      <c r="P366" s="3" t="n">
        <v>18</v>
      </c>
      <c r="Q366" s="1" t="str">
        <f aca="false">IF(P366=1,"-5",IF(OR(P366=2,P366=3),"-4",IF(OR(P366=4,P366=5),"-3",IF(OR(P366=6,P366=7),"-2",IF(OR(P366=8,P366=9),"-1",IF(OR(P366=10,P366=11),"0",IF(OR(P366=12,P366=13),"+1",IF(OR(P366=14,P366=15),"+2",IF(OR(P366=16,P366=17),"+3",IF(OR(P366=18,P366=19),"+4",IF(OR(P366=20,P366=21),"+5",IF(OR(P366=22,P366=23),"+6",IF(OR(P366=24,P366=25),"+7",IF(OR(P366=26,P366=27),"+8",IF(OR(P366=28,P366=29),"+9",IF(P366=30,"+10"," "))))))))))))))))</f>
        <v>+4</v>
      </c>
      <c r="R366" s="3" t="n">
        <v>16</v>
      </c>
      <c r="S366" s="1" t="str">
        <f aca="false">IF(R366=1,"-5",IF(OR(R366=2,R366=3),"-4",IF(OR(R366=4,R366=5),"-3",IF(OR(R366=6,R366=7),"-2",IF(OR(R366=8,R366=9),"-1",IF(OR(R366=10,R366=11),"0",IF(OR(R366=12,R366=13),"+1",IF(OR(R366=14,R366=15),"+2",IF(OR(R366=16,R366=17),"+3",IF(OR(R366=18,R366=19),"+4",IF(OR(R366=20,R366=21),"+5",IF(OR(R366=22,R366=23),"+6",IF(OR(R366=24,R366=25),"+7",IF(OR(R366=26,R366=27),"+8",IF(OR(R366=28,R366=29),"+9",IF(R366=30,"+10"," "))))))))))))))))</f>
        <v>+3</v>
      </c>
      <c r="T366" s="3" t="n">
        <v>20</v>
      </c>
      <c r="U366" s="1" t="str">
        <f aca="false">IF(T366=1,"-5",IF(OR(T366=2,T366=3),"-4",IF(OR(T366=4,T366=5),"-3",IF(OR(T366=6,T366=7),"-2",IF(OR(T366=8,T366=9),"-1",IF(OR(T366=10,T366=11),"0",IF(OR(T366=12,T366=13),"+1",IF(OR(T366=14,T366=15),"+2",IF(OR(T366=16,T366=17),"+3",IF(OR(T366=18,T366=19),"+4",IF(OR(T366=20,T366=21),"+5",IF(OR(T366=22,T366=23),"+6",IF(OR(T366=24,T366=25),"+7",IF(OR(T366=26,T366=27),"+8",IF(OR(T366=28,T366=29),"+9",IF(T366=30,"+10"," "))))))))))))))))</f>
        <v>+5</v>
      </c>
      <c r="V366" s="3" t="s">
        <v>1845</v>
      </c>
      <c r="W366" s="3" t="s">
        <v>1409</v>
      </c>
      <c r="X366" s="11" t="s">
        <v>1846</v>
      </c>
      <c r="Y366" s="11" t="s">
        <v>1847</v>
      </c>
      <c r="Z366" s="11" t="s">
        <v>1848</v>
      </c>
      <c r="AA366" s="12" t="s">
        <v>37</v>
      </c>
    </row>
    <row r="367" customFormat="false" ht="16.4" hidden="false" customHeight="false" outlineLevel="0" collapsed="false">
      <c r="A367" s="15" t="s">
        <v>1849</v>
      </c>
      <c r="B367" s="3" t="s">
        <v>105</v>
      </c>
      <c r="C367" s="3" t="s">
        <v>222</v>
      </c>
      <c r="D367" s="16" t="n">
        <v>5</v>
      </c>
      <c r="E367" s="6" t="n">
        <f aca="false">VLOOKUP(D367,'[1]REF Tables'!$A$2:$B$40,2)</f>
        <v>1800</v>
      </c>
      <c r="F367" s="3" t="s">
        <v>50</v>
      </c>
      <c r="G367" s="3" t="n">
        <v>18</v>
      </c>
      <c r="H367" s="3" t="s">
        <v>533</v>
      </c>
      <c r="I367" s="3" t="s">
        <v>1850</v>
      </c>
      <c r="J367" s="3" t="n">
        <v>20</v>
      </c>
      <c r="K367" s="1" t="str">
        <f aca="false">IF(J367=1,"-5",IF(OR(J367=2,J367=3),"-4",IF(OR(J367=4,J367=5),"-3",IF(OR(J367=6,J367=7),"-2",IF(OR(J367=8,J367=9),"-1",IF(OR(J367=10,J367=11),"0",IF(OR(J367=12,J367=13),"+1",IF(OR(J367=14,J367=15),"+2",IF(OR(J367=16,J367=17),"+3",IF(OR(J367=18,J367=19),"+4",IF(OR(J367=20,J367=21),"+5",IF(OR(J367=22,J367=23),"+6",IF(OR(J367=24,J367=25),"+7",IF(OR(J367=26,J367=27),"+8",IF(OR(J367=28,J367=29),"+9",IF(J367=30,"+10"," "))))))))))))))))</f>
        <v>+5</v>
      </c>
      <c r="L367" s="3" t="n">
        <v>13</v>
      </c>
      <c r="M367" s="1" t="str">
        <f aca="false">IF(L367=1,"-5",IF(OR(L367=2,L367=3),"-4",IF(OR(L367=4,L367=5),"-3",IF(OR(L367=6,L367=7),"-2",IF(OR(L367=8,L367=9),"-1",IF(OR(L367=10,L367=11),"0",IF(OR(L367=12,L367=13),"+1",IF(OR(L367=14,L367=15),"+2",IF(OR(L367=16,L367=17),"+3",IF(OR(L367=18,L367=19),"+4",IF(OR(L367=20,L367=21),"+5",IF(OR(L367=22,L367=23),"+6",IF(OR(L367=24,L367=25),"+7",IF(OR(L367=26,L367=27),"+8",IF(OR(L367=28,L367=29),"+9",IF(L367=30,"+10"," "))))))))))))))))</f>
        <v>+1</v>
      </c>
      <c r="N367" s="3" t="n">
        <v>16</v>
      </c>
      <c r="O367" s="1" t="str">
        <f aca="false">IF(N367=1,"-5",IF(OR(N367=2,N367=3),"-4",IF(OR(N367=4,N367=5),"-3",IF(OR(N367=6,N367=7),"-2",IF(OR(N367=8,N367=9),"-1",IF(OR(N367=10,N367=11),"0",IF(OR(N367=12,N367=13),"+1",IF(OR(N367=14,N367=15),"+2",IF(OR(N367=16,N367=17),"+3",IF(OR(N367=18,N367=19),"+4",IF(OR(N367=20,N367=21),"+5",IF(OR(N367=22,N367=23),"+6",IF(OR(N367=24,N367=25),"+7",IF(OR(N367=26,N367=27),"+8",IF(OR(N367=28,N367=29),"+9",IF(N367=30,"+10"," "))))))))))))))))</f>
        <v>+3</v>
      </c>
      <c r="P367" s="3" t="n">
        <v>9</v>
      </c>
      <c r="Q367" s="1" t="str">
        <f aca="false">IF(P367=1,"-5",IF(OR(P367=2,P367=3),"-4",IF(OR(P367=4,P367=5),"-3",IF(OR(P367=6,P367=7),"-2",IF(OR(P367=8,P367=9),"-1",IF(OR(P367=10,P367=11),"0",IF(OR(P367=12,P367=13),"+1",IF(OR(P367=14,P367=15),"+2",IF(OR(P367=16,P367=17),"+3",IF(OR(P367=18,P367=19),"+4",IF(OR(P367=20,P367=21),"+5",IF(OR(P367=22,P367=23),"+6",IF(OR(P367=24,P367=25),"+7",IF(OR(P367=26,P367=27),"+8",IF(OR(P367=28,P367=29),"+9",IF(P367=30,"+10"," "))))))))))))))))</f>
        <v>-1</v>
      </c>
      <c r="R367" s="3" t="n">
        <v>10</v>
      </c>
      <c r="S367" s="1" t="str">
        <f aca="false">IF(R367=1,"-5",IF(OR(R367=2,R367=3),"-4",IF(OR(R367=4,R367=5),"-3",IF(OR(R367=6,R367=7),"-2",IF(OR(R367=8,R367=9),"-1",IF(OR(R367=10,R367=11),"0",IF(OR(R367=12,R367=13),"+1",IF(OR(R367=14,R367=15),"+2",IF(OR(R367=16,R367=17),"+3",IF(OR(R367=18,R367=19),"+4",IF(OR(R367=20,R367=21),"+5",IF(OR(R367=22,R367=23),"+6",IF(OR(R367=24,R367=25),"+7",IF(OR(R367=26,R367=27),"+8",IF(OR(R367=28,R367=29),"+9",IF(R367=30,"+10"," "))))))))))))))))</f>
        <v>0</v>
      </c>
      <c r="T367" s="3" t="n">
        <v>10</v>
      </c>
      <c r="U367" s="1" t="str">
        <f aca="false">IF(T367=1,"-5",IF(OR(T367=2,T367=3),"-4",IF(OR(T367=4,T367=5),"-3",IF(OR(T367=6,T367=7),"-2",IF(OR(T367=8,T367=9),"-1",IF(OR(T367=10,T367=11),"0",IF(OR(T367=12,T367=13),"+1",IF(OR(T367=14,T367=15),"+2",IF(OR(T367=16,T367=17),"+3",IF(OR(T367=18,T367=19),"+4",IF(OR(T367=20,T367=21),"+5",IF(OR(T367=22,T367=23),"+6",IF(OR(T367=24,T367=25),"+7",IF(OR(T367=26,T367=27),"+8",IF(OR(T367=28,T367=29),"+9",IF(T367=30,"+10"," "))))))))))))))))</f>
        <v>0</v>
      </c>
      <c r="V367" s="3" t="s">
        <v>37</v>
      </c>
      <c r="W367" s="3" t="s">
        <v>1851</v>
      </c>
      <c r="X367" s="11" t="s">
        <v>1852</v>
      </c>
      <c r="Y367" s="11" t="s">
        <v>1853</v>
      </c>
      <c r="Z367" s="11" t="s">
        <v>37</v>
      </c>
      <c r="AA367" s="12" t="s">
        <v>37</v>
      </c>
    </row>
    <row r="368" customFormat="false" ht="16.4" hidden="false" customHeight="false" outlineLevel="0" collapsed="false">
      <c r="A368" s="15" t="s">
        <v>1854</v>
      </c>
      <c r="B368" s="3" t="s">
        <v>105</v>
      </c>
      <c r="C368" s="3" t="s">
        <v>49</v>
      </c>
      <c r="D368" s="16" t="n">
        <v>6</v>
      </c>
      <c r="E368" s="6" t="n">
        <f aca="false">VLOOKUP(D368,'[1]REF Tables'!$A$2:$B$40,2)</f>
        <v>2300</v>
      </c>
      <c r="F368" s="3" t="s">
        <v>30</v>
      </c>
      <c r="G368" s="3" t="n">
        <v>15</v>
      </c>
      <c r="H368" s="3" t="s">
        <v>1855</v>
      </c>
      <c r="I368" s="3" t="s">
        <v>42</v>
      </c>
      <c r="J368" s="3" t="n">
        <v>10</v>
      </c>
      <c r="K368" s="1" t="str">
        <f aca="false">IF(J368=1,"-5",IF(OR(J368=2,J368=3),"-4",IF(OR(J368=4,J368=5),"-3",IF(OR(J368=6,J368=7),"-2",IF(OR(J368=8,J368=9),"-1",IF(OR(J368=10,J368=11),"0",IF(OR(J368=12,J368=13),"+1",IF(OR(J368=14,J368=15),"+2",IF(OR(J368=16,J368=17),"+3",IF(OR(J368=18,J368=19),"+4",IF(OR(J368=20,J368=21),"+5",IF(OR(J368=22,J368=23),"+6",IF(OR(J368=24,J368=25),"+7",IF(OR(J368=26,J368=27),"+8",IF(OR(J368=28,J368=29),"+9",IF(J368=30,"+10"," "))))))))))))))))</f>
        <v>0</v>
      </c>
      <c r="L368" s="3" t="n">
        <v>15</v>
      </c>
      <c r="M368" s="1" t="str">
        <f aca="false">IF(L368=1,"-5",IF(OR(L368=2,L368=3),"-4",IF(OR(L368=4,L368=5),"-3",IF(OR(L368=6,L368=7),"-2",IF(OR(L368=8,L368=9),"-1",IF(OR(L368=10,L368=11),"0",IF(OR(L368=12,L368=13),"+1",IF(OR(L368=14,L368=15),"+2",IF(OR(L368=16,L368=17),"+3",IF(OR(L368=18,L368=19),"+4",IF(OR(L368=20,L368=21),"+5",IF(OR(L368=22,L368=23),"+6",IF(OR(L368=24,L368=25),"+7",IF(OR(L368=26,L368=27),"+8",IF(OR(L368=28,L368=29),"+9",IF(L368=30,"+10"," "))))))))))))))))</f>
        <v>+2</v>
      </c>
      <c r="N368" s="3" t="n">
        <v>16</v>
      </c>
      <c r="O368" s="1" t="str">
        <f aca="false">IF(N368=1,"-5",IF(OR(N368=2,N368=3),"-4",IF(OR(N368=4,N368=5),"-3",IF(OR(N368=6,N368=7),"-2",IF(OR(N368=8,N368=9),"-1",IF(OR(N368=10,N368=11),"0",IF(OR(N368=12,N368=13),"+1",IF(OR(N368=14,N368=15),"+2",IF(OR(N368=16,N368=17),"+3",IF(OR(N368=18,N368=19),"+4",IF(OR(N368=20,N368=21),"+5",IF(OR(N368=22,N368=23),"+6",IF(OR(N368=24,N368=25),"+7",IF(OR(N368=26,N368=27),"+8",IF(OR(N368=28,N368=29),"+9",IF(N368=30,"+10"," "))))))))))))))))</f>
        <v>+3</v>
      </c>
      <c r="P368" s="3" t="n">
        <v>12</v>
      </c>
      <c r="Q368" s="1" t="str">
        <f aca="false">IF(P368=1,"-5",IF(OR(P368=2,P368=3),"-4",IF(OR(P368=4,P368=5),"-3",IF(OR(P368=6,P368=7),"-2",IF(OR(P368=8,P368=9),"-1",IF(OR(P368=10,P368=11),"0",IF(OR(P368=12,P368=13),"+1",IF(OR(P368=14,P368=15),"+2",IF(OR(P368=16,P368=17),"+3",IF(OR(P368=18,P368=19),"+4",IF(OR(P368=20,P368=21),"+5",IF(OR(P368=22,P368=23),"+6",IF(OR(P368=24,P368=25),"+7",IF(OR(P368=26,P368=27),"+8",IF(OR(P368=28,P368=29),"+9",IF(P368=30,"+10"," "))))))))))))))))</f>
        <v>+1</v>
      </c>
      <c r="R368" s="3" t="n">
        <v>13</v>
      </c>
      <c r="S368" s="1" t="str">
        <f aca="false">IF(R368=1,"-5",IF(OR(R368=2,R368=3),"-4",IF(OR(R368=4,R368=5),"-3",IF(OR(R368=6,R368=7),"-2",IF(OR(R368=8,R368=9),"-1",IF(OR(R368=10,R368=11),"0",IF(OR(R368=12,R368=13),"+1",IF(OR(R368=14,R368=15),"+2",IF(OR(R368=16,R368=17),"+3",IF(OR(R368=18,R368=19),"+4",IF(OR(R368=20,R368=21),"+5",IF(OR(R368=22,R368=23),"+6",IF(OR(R368=24,R368=25),"+7",IF(OR(R368=26,R368=27),"+8",IF(OR(R368=28,R368=29),"+9",IF(R368=30,"+10"," "))))))))))))))))</f>
        <v>+1</v>
      </c>
      <c r="T368" s="3" t="n">
        <v>15</v>
      </c>
      <c r="U368" s="1" t="str">
        <f aca="false">IF(T368=1,"-5",IF(OR(T368=2,T368=3),"-4",IF(OR(T368=4,T368=5),"-3",IF(OR(T368=6,T368=7),"-2",IF(OR(T368=8,T368=9),"-1",IF(OR(T368=10,T368=11),"0",IF(OR(T368=12,T368=13),"+1",IF(OR(T368=14,T368=15),"+2",IF(OR(T368=16,T368=17),"+3",IF(OR(T368=18,T368=19),"+4",IF(OR(T368=20,T368=21),"+5",IF(OR(T368=22,T368=23),"+6",IF(OR(T368=24,T368=25),"+7",IF(OR(T368=26,T368=27),"+8",IF(OR(T368=28,T368=29),"+9",IF(T368=30,"+10"," "))))))))))))))))</f>
        <v>+2</v>
      </c>
      <c r="V368" s="3" t="s">
        <v>1856</v>
      </c>
      <c r="W368" s="3" t="s">
        <v>271</v>
      </c>
      <c r="X368" s="11" t="s">
        <v>1857</v>
      </c>
      <c r="Y368" s="11" t="s">
        <v>1858</v>
      </c>
      <c r="Z368" s="11" t="s">
        <v>37</v>
      </c>
      <c r="AA368" s="12" t="s">
        <v>37</v>
      </c>
    </row>
    <row r="369" customFormat="false" ht="16.4" hidden="false" customHeight="false" outlineLevel="0" collapsed="false">
      <c r="A369" s="15" t="s">
        <v>1859</v>
      </c>
      <c r="B369" s="3" t="s">
        <v>214</v>
      </c>
      <c r="C369" s="3" t="s">
        <v>85</v>
      </c>
      <c r="D369" s="16" t="n">
        <v>0.25</v>
      </c>
      <c r="E369" s="3" t="n">
        <f aca="false">VLOOKUP(D369,'[1]REF Tables'!$A$2:$B$40,2)</f>
        <v>50</v>
      </c>
      <c r="F369" s="3" t="s">
        <v>165</v>
      </c>
      <c r="G369" s="3" t="n">
        <v>11</v>
      </c>
      <c r="H369" s="3" t="s">
        <v>539</v>
      </c>
      <c r="I369" s="3" t="s">
        <v>1860</v>
      </c>
      <c r="J369" s="3" t="n">
        <v>8</v>
      </c>
      <c r="K369" s="1" t="str">
        <f aca="false">IF(J369=1,"-5",IF(OR(J369=2,J369=3),"-4",IF(OR(J369=4,J369=5),"-3",IF(OR(J369=6,J369=7),"-2",IF(OR(J369=8,J369=9),"-1",IF(OR(J369=10,J369=11),"0",IF(OR(J369=12,J369=13),"+1",IF(OR(J369=14,J369=15),"+2",IF(OR(J369=16,J369=17),"+3",IF(OR(J369=18,J369=19),"+4",IF(OR(J369=20,J369=21),"+5",IF(OR(J369=22,J369=23),"+6",IF(OR(J369=24,J369=25),"+7",IF(OR(J369=26,J369=27),"+8",IF(OR(J369=28,J369=29),"+9",IF(J369=30,"+10"," "))))))))))))))))</f>
        <v>-1</v>
      </c>
      <c r="L369" s="3" t="n">
        <v>12</v>
      </c>
      <c r="M369" s="1" t="str">
        <f aca="false">IF(L369=1,"-5",IF(OR(L369=2,L369=3),"-4",IF(OR(L369=4,L369=5),"-3",IF(OR(L369=6,L369=7),"-2",IF(OR(L369=8,L369=9),"-1",IF(OR(L369=10,L369=11),"0",IF(OR(L369=12,L369=13),"+1",IF(OR(L369=14,L369=15),"+2",IF(OR(L369=16,L369=17),"+3",IF(OR(L369=18,L369=19),"+4",IF(OR(L369=20,L369=21),"+5",IF(OR(L369=22,L369=23),"+6",IF(OR(L369=24,L369=25),"+7",IF(OR(L369=26,L369=27),"+8",IF(OR(L369=28,L369=29),"+9",IF(L369=30,"+10"," "))))))))))))))))</f>
        <v>+1</v>
      </c>
      <c r="N369" s="3" t="n">
        <v>12</v>
      </c>
      <c r="O369" s="1" t="str">
        <f aca="false">IF(N369=1,"-5",IF(OR(N369=2,N369=3),"-4",IF(OR(N369=4,N369=5),"-3",IF(OR(N369=6,N369=7),"-2",IF(OR(N369=8,N369=9),"-1",IF(OR(N369=10,N369=11),"0",IF(OR(N369=12,N369=13),"+1",IF(OR(N369=14,N369=15),"+2",IF(OR(N369=16,N369=17),"+3",IF(OR(N369=18,N369=19),"+4",IF(OR(N369=20,N369=21),"+5",IF(OR(N369=22,N369=23),"+6",IF(OR(N369=24,N369=25),"+7",IF(OR(N369=26,N369=27),"+8",IF(OR(N369=28,N369=29),"+9",IF(N369=30,"+10"," "))))))))))))))))</f>
        <v>+1</v>
      </c>
      <c r="P369" s="3" t="n">
        <v>9</v>
      </c>
      <c r="Q369" s="1" t="str">
        <f aca="false">IF(P369=1,"-5",IF(OR(P369=2,P369=3),"-4",IF(OR(P369=4,P369=5),"-3",IF(OR(P369=6,P369=7),"-2",IF(OR(P369=8,P369=9),"-1",IF(OR(P369=10,P369=11),"0",IF(OR(P369=12,P369=13),"+1",IF(OR(P369=14,P369=15),"+2",IF(OR(P369=16,P369=17),"+3",IF(OR(P369=18,P369=19),"+4",IF(OR(P369=20,P369=21),"+5",IF(OR(P369=22,P369=23),"+6",IF(OR(P369=24,P369=25),"+7",IF(OR(P369=26,P369=27),"+8",IF(OR(P369=28,P369=29),"+9",IF(P369=30,"+10"," "))))))))))))))))</f>
        <v>-1</v>
      </c>
      <c r="R369" s="3" t="n">
        <v>11</v>
      </c>
      <c r="S369" s="1" t="str">
        <f aca="false">IF(R369=1,"-5",IF(OR(R369=2,R369=3),"-4",IF(OR(R369=4,R369=5),"-3",IF(OR(R369=6,R369=7),"-2",IF(OR(R369=8,R369=9),"-1",IF(OR(R369=10,R369=11),"0",IF(OR(R369=12,R369=13),"+1",IF(OR(R369=14,R369=15),"+2",IF(OR(R369=16,R369=17),"+3",IF(OR(R369=18,R369=19),"+4",IF(OR(R369=20,R369=21),"+5",IF(OR(R369=22,R369=23),"+6",IF(OR(R369=24,R369=25),"+7",IF(OR(R369=26,R369=27),"+8",IF(OR(R369=28,R369=29),"+9",IF(R369=30,"+10"," "))))))))))))))))</f>
        <v>0</v>
      </c>
      <c r="T369" s="3" t="n">
        <v>7</v>
      </c>
      <c r="U369" s="1" t="str">
        <f aca="false">IF(T369=1,"-5",IF(OR(T369=2,T369=3),"-4",IF(OR(T369=4,T369=5),"-3",IF(OR(T369=6,T369=7),"-2",IF(OR(T369=8,T369=9),"-1",IF(OR(T369=10,T369=11),"0",IF(OR(T369=12,T369=13),"+1",IF(OR(T369=14,T369=15),"+2",IF(OR(T369=16,T369=17),"+3",IF(OR(T369=18,T369=19),"+4",IF(OR(T369=20,T369=21),"+5",IF(OR(T369=22,T369=23),"+6",IF(OR(T369=24,T369=25),"+7",IF(OR(T369=26,T369=27),"+8",IF(OR(T369=28,T369=29),"+9",IF(T369=30,"+10"," "))))))))))))))))</f>
        <v>-2</v>
      </c>
      <c r="V369" s="3" t="s">
        <v>375</v>
      </c>
      <c r="W369" s="3" t="s">
        <v>1861</v>
      </c>
      <c r="X369" s="11" t="s">
        <v>1862</v>
      </c>
      <c r="Y369" s="11" t="s">
        <v>1863</v>
      </c>
      <c r="Z369" s="11" t="s">
        <v>37</v>
      </c>
      <c r="AA369" s="12" t="s">
        <v>37</v>
      </c>
    </row>
    <row r="370" customFormat="false" ht="16.4" hidden="false" customHeight="false" outlineLevel="0" collapsed="false">
      <c r="A370" s="14" t="s">
        <v>1864</v>
      </c>
      <c r="B370" s="1" t="s">
        <v>214</v>
      </c>
      <c r="C370" s="1" t="s">
        <v>85</v>
      </c>
      <c r="D370" s="5" t="n">
        <v>0.25</v>
      </c>
      <c r="E370" s="3" t="n">
        <f aca="false">VLOOKUP(D370,'[1]REF Tables'!$A$2:$B$40,2)</f>
        <v>50</v>
      </c>
      <c r="F370" s="1" t="s">
        <v>165</v>
      </c>
      <c r="G370" s="1" t="n">
        <v>12</v>
      </c>
      <c r="H370" s="1" t="s">
        <v>720</v>
      </c>
      <c r="I370" s="3" t="s">
        <v>665</v>
      </c>
      <c r="J370" s="1" t="n">
        <v>6</v>
      </c>
      <c r="K370" s="1" t="str">
        <f aca="false">IF(J370=1,"-5",IF(OR(J370=2,J370=3),"-4",IF(OR(J370=4,J370=5),"-3",IF(OR(J370=6,J370=7),"-2",IF(OR(J370=8,J370=9),"-1",IF(OR(J370=10,J370=11),"0",IF(OR(J370=12,J370=13),"+1",IF(OR(J370=14,J370=15),"+2",IF(OR(J370=16,J370=17),"+3",IF(OR(J370=18,J370=19),"+4",IF(OR(J370=20,J370=21),"+5",IF(OR(J370=22,J370=23),"+6",IF(OR(J370=24,J370=25),"+7",IF(OR(J370=26,J370=27),"+8",IF(OR(J370=28,J370=29),"+9",IF(J370=30,"+10"," "))))))))))))))))</f>
        <v>-2</v>
      </c>
      <c r="L370" s="1" t="n">
        <v>14</v>
      </c>
      <c r="M370" s="1" t="str">
        <f aca="false">IF(L370=1,"-5",IF(OR(L370=2,L370=3),"-4",IF(OR(L370=4,L370=5),"-3",IF(OR(L370=6,L370=7),"-2",IF(OR(L370=8,L370=9),"-1",IF(OR(L370=10,L370=11),"0",IF(OR(L370=12,L370=13),"+1",IF(OR(L370=14,L370=15),"+2",IF(OR(L370=16,L370=17),"+3",IF(OR(L370=18,L370=19),"+4",IF(OR(L370=20,L370=21),"+5",IF(OR(L370=22,L370=23),"+6",IF(OR(L370=24,L370=25),"+7",IF(OR(L370=26,L370=27),"+8",IF(OR(L370=28,L370=29),"+9",IF(L370=30,"+10"," "))))))))))))))))</f>
        <v>+2</v>
      </c>
      <c r="N370" s="1" t="n">
        <v>12</v>
      </c>
      <c r="O370" s="1" t="str">
        <f aca="false">IF(N370=1,"-5",IF(OR(N370=2,N370=3),"-4",IF(OR(N370=4,N370=5),"-3",IF(OR(N370=6,N370=7),"-2",IF(OR(N370=8,N370=9),"-1",IF(OR(N370=10,N370=11),"0",IF(OR(N370=12,N370=13),"+1",IF(OR(N370=14,N370=15),"+2",IF(OR(N370=16,N370=17),"+3",IF(OR(N370=18,N370=19),"+4",IF(OR(N370=20,N370=21),"+5",IF(OR(N370=22,N370=23),"+6",IF(OR(N370=24,N370=25),"+7",IF(OR(N370=26,N370=27),"+8",IF(OR(N370=28,N370=29),"+9",IF(N370=30,"+10"," "))))))))))))))))</f>
        <v>+1</v>
      </c>
      <c r="P370" s="1" t="n">
        <v>10</v>
      </c>
      <c r="Q370" s="1" t="str">
        <f aca="false">IF(P370=1,"-5",IF(OR(P370=2,P370=3),"-4",IF(OR(P370=4,P370=5),"-3",IF(OR(P370=6,P370=7),"-2",IF(OR(P370=8,P370=9),"-1",IF(OR(P370=10,P370=11),"0",IF(OR(P370=12,P370=13),"+1",IF(OR(P370=14,P370=15),"+2",IF(OR(P370=16,P370=17),"+3",IF(OR(P370=18,P370=19),"+4",IF(OR(P370=20,P370=21),"+5",IF(OR(P370=22,P370=23),"+6",IF(OR(P370=24,P370=25),"+7",IF(OR(P370=26,P370=27),"+8",IF(OR(P370=28,P370=29),"+9",IF(P370=30,"+10"," "))))))))))))))))</f>
        <v>0</v>
      </c>
      <c r="R370" s="1" t="n">
        <v>10</v>
      </c>
      <c r="S370" s="1" t="str">
        <f aca="false">IF(R370=1,"-5",IF(OR(R370=2,R370=3),"-4",IF(OR(R370=4,R370=5),"-3",IF(OR(R370=6,R370=7),"-2",IF(OR(R370=8,R370=9),"-1",IF(OR(R370=10,R370=11),"0",IF(OR(R370=12,R370=13),"+1",IF(OR(R370=14,R370=15),"+2",IF(OR(R370=16,R370=17),"+3",IF(OR(R370=18,R370=19),"+4",IF(OR(R370=20,R370=21),"+5",IF(OR(R370=22,R370=23),"+6",IF(OR(R370=24,R370=25),"+7",IF(OR(R370=26,R370=27),"+8",IF(OR(R370=28,R370=29),"+9",IF(R370=30,"+10"," "))))))))))))))))</f>
        <v>0</v>
      </c>
      <c r="T370" s="1" t="n">
        <v>11</v>
      </c>
      <c r="U370" s="1" t="str">
        <f aca="false">IF(T370=1,"-5",IF(OR(T370=2,T370=3),"-4",IF(OR(T370=4,T370=5),"-3",IF(OR(T370=6,T370=7),"-2",IF(OR(T370=8,T370=9),"-1",IF(OR(T370=10,T370=11),"0",IF(OR(T370=12,T370=13),"+1",IF(OR(T370=14,T370=15),"+2",IF(OR(T370=16,T370=17),"+3",IF(OR(T370=18,T370=19),"+4",IF(OR(T370=20,T370=21),"+5",IF(OR(T370=22,T370=23),"+6",IF(OR(T370=24,T370=25),"+7",IF(OR(T370=26,T370=27),"+8",IF(OR(T370=28,T370=29),"+9",IF(T370=30,"+10"," "))))))))))))))))</f>
        <v>0</v>
      </c>
      <c r="V370" s="1" t="s">
        <v>694</v>
      </c>
      <c r="W370" s="1" t="s">
        <v>1865</v>
      </c>
      <c r="X370" s="2" t="s">
        <v>1866</v>
      </c>
      <c r="Y370" s="2" t="s">
        <v>1867</v>
      </c>
      <c r="Z370" s="2" t="s">
        <v>37</v>
      </c>
      <c r="AA370" s="1" t="s">
        <v>37</v>
      </c>
    </row>
    <row r="371" customFormat="false" ht="16.4" hidden="false" customHeight="false" outlineLevel="0" collapsed="false">
      <c r="A371" s="15" t="s">
        <v>1868</v>
      </c>
      <c r="B371" s="3" t="s">
        <v>214</v>
      </c>
      <c r="C371" s="3" t="s">
        <v>85</v>
      </c>
      <c r="D371" s="16" t="n">
        <v>0.5</v>
      </c>
      <c r="E371" s="3" t="n">
        <f aca="false">VLOOKUP(D371,'[1]REF Tables'!$A$2:$B$40,2)</f>
        <v>100</v>
      </c>
      <c r="F371" s="3" t="s">
        <v>165</v>
      </c>
      <c r="G371" s="3" t="n">
        <v>11</v>
      </c>
      <c r="H371" s="3" t="s">
        <v>1455</v>
      </c>
      <c r="I371" s="3" t="s">
        <v>665</v>
      </c>
      <c r="J371" s="3" t="n">
        <v>7</v>
      </c>
      <c r="K371" s="1" t="str">
        <f aca="false">IF(J371=1,"-5",IF(OR(J371=2,J371=3),"-4",IF(OR(J371=4,J371=5),"-3",IF(OR(J371=6,J371=7),"-2",IF(OR(J371=8,J371=9),"-1",IF(OR(J371=10,J371=11),"0",IF(OR(J371=12,J371=13),"+1",IF(OR(J371=14,J371=15),"+2",IF(OR(J371=16,J371=17),"+3",IF(OR(J371=18,J371=19),"+4",IF(OR(J371=20,J371=21),"+5",IF(OR(J371=22,J371=23),"+6",IF(OR(J371=24,J371=25),"+7",IF(OR(J371=26,J371=27),"+8",IF(OR(J371=28,J371=29),"+9",IF(J371=30,"+10"," "))))))))))))))))</f>
        <v>-2</v>
      </c>
      <c r="L371" s="3" t="n">
        <v>13</v>
      </c>
      <c r="M371" s="1" t="str">
        <f aca="false">IF(L371=1,"-5",IF(OR(L371=2,L371=3),"-4",IF(OR(L371=4,L371=5),"-3",IF(OR(L371=6,L371=7),"-2",IF(OR(L371=8,L371=9),"-1",IF(OR(L371=10,L371=11),"0",IF(OR(L371=12,L371=13),"+1",IF(OR(L371=14,L371=15),"+2",IF(OR(L371=16,L371=17),"+3",IF(OR(L371=18,L371=19),"+4",IF(OR(L371=20,L371=21),"+5",IF(OR(L371=22,L371=23),"+6",IF(OR(L371=24,L371=25),"+7",IF(OR(L371=26,L371=27),"+8",IF(OR(L371=28,L371=29),"+9",IF(L371=30,"+10"," "))))))))))))))))</f>
        <v>+1</v>
      </c>
      <c r="N371" s="3" t="n">
        <v>10</v>
      </c>
      <c r="O371" s="1" t="str">
        <f aca="false">IF(N371=1,"-5",IF(OR(N371=2,N371=3),"-4",IF(OR(N371=4,N371=5),"-3",IF(OR(N371=6,N371=7),"-2",IF(OR(N371=8,N371=9),"-1",IF(OR(N371=10,N371=11),"0",IF(OR(N371=12,N371=13),"+1",IF(OR(N371=14,N371=15),"+2",IF(OR(N371=16,N371=17),"+3",IF(OR(N371=18,N371=19),"+4",IF(OR(N371=20,N371=21),"+5",IF(OR(N371=22,N371=23),"+6",IF(OR(N371=24,N371=25),"+7",IF(OR(N371=26,N371=27),"+8",IF(OR(N371=28,N371=29),"+9",IF(N371=30,"+10"," "))))))))))))))))</f>
        <v>0</v>
      </c>
      <c r="P371" s="3" t="n">
        <v>9</v>
      </c>
      <c r="Q371" s="1" t="str">
        <f aca="false">IF(P371=1,"-5",IF(OR(P371=2,P371=3),"-4",IF(OR(P371=4,P371=5),"-3",IF(OR(P371=6,P371=7),"-2",IF(OR(P371=8,P371=9),"-1",IF(OR(P371=10,P371=11),"0",IF(OR(P371=12,P371=13),"+1",IF(OR(P371=14,P371=15),"+2",IF(OR(P371=16,P371=17),"+3",IF(OR(P371=18,P371=19),"+4",IF(OR(P371=20,P371=21),"+5",IF(OR(P371=22,P371=23),"+6",IF(OR(P371=24,P371=25),"+7",IF(OR(P371=26,P371=27),"+8",IF(OR(P371=28,P371=29),"+9",IF(P371=30,"+10"," "))))))))))))))))</f>
        <v>-1</v>
      </c>
      <c r="R371" s="3" t="n">
        <v>11</v>
      </c>
      <c r="S371" s="1" t="str">
        <f aca="false">IF(R371=1,"-5",IF(OR(R371=2,R371=3),"-4",IF(OR(R371=4,R371=5),"-3",IF(OR(R371=6,R371=7),"-2",IF(OR(R371=8,R371=9),"-1",IF(OR(R371=10,R371=11),"0",IF(OR(R371=12,R371=13),"+1",IF(OR(R371=14,R371=15),"+2",IF(OR(R371=16,R371=17),"+3",IF(OR(R371=18,R371=19),"+4",IF(OR(R371=20,R371=21),"+5",IF(OR(R371=22,R371=23),"+6",IF(OR(R371=24,R371=25),"+7",IF(OR(R371=26,R371=27),"+8",IF(OR(R371=28,R371=29),"+9",IF(R371=30,"+10"," "))))))))))))))))</f>
        <v>0</v>
      </c>
      <c r="T371" s="3" t="n">
        <v>12</v>
      </c>
      <c r="U371" s="1" t="str">
        <f aca="false">IF(T371=1,"-5",IF(OR(T371=2,T371=3),"-4",IF(OR(T371=4,T371=5),"-3",IF(OR(T371=6,T371=7),"-2",IF(OR(T371=8,T371=9),"-1",IF(OR(T371=10,T371=11),"0",IF(OR(T371=12,T371=13),"+1",IF(OR(T371=14,T371=15),"+2",IF(OR(T371=16,T371=17),"+3",IF(OR(T371=18,T371=19),"+4",IF(OR(T371=20,T371=21),"+5",IF(OR(T371=22,T371=23),"+6",IF(OR(T371=24,T371=25),"+7",IF(OR(T371=26,T371=27),"+8",IF(OR(T371=28,T371=29),"+9",IF(T371=30,"+10"," "))))))))))))))))</f>
        <v>+1</v>
      </c>
      <c r="V371" s="3" t="s">
        <v>1519</v>
      </c>
      <c r="W371" s="3" t="s">
        <v>1869</v>
      </c>
      <c r="X371" s="11" t="s">
        <v>1870</v>
      </c>
      <c r="Y371" s="11" t="s">
        <v>1871</v>
      </c>
      <c r="Z371" s="11" t="s">
        <v>37</v>
      </c>
      <c r="AA371" s="12" t="s">
        <v>37</v>
      </c>
    </row>
    <row r="372" customFormat="false" ht="16.4" hidden="false" customHeight="false" outlineLevel="0" collapsed="false">
      <c r="A372" s="15" t="s">
        <v>1872</v>
      </c>
      <c r="B372" s="3" t="s">
        <v>214</v>
      </c>
      <c r="C372" s="3" t="s">
        <v>85</v>
      </c>
      <c r="D372" s="16" t="n">
        <v>0.5</v>
      </c>
      <c r="E372" s="3" t="n">
        <f aca="false">VLOOKUP(D372,'[1]REF Tables'!$A$2:$B$40,2)</f>
        <v>100</v>
      </c>
      <c r="F372" s="3" t="s">
        <v>165</v>
      </c>
      <c r="G372" s="3" t="n">
        <v>11</v>
      </c>
      <c r="H372" s="3" t="s">
        <v>720</v>
      </c>
      <c r="I372" s="3" t="s">
        <v>665</v>
      </c>
      <c r="J372" s="3" t="n">
        <v>8</v>
      </c>
      <c r="K372" s="1" t="str">
        <f aca="false">IF(J372=1,"-5",IF(OR(J372=2,J372=3),"-4",IF(OR(J372=4,J372=5),"-3",IF(OR(J372=6,J372=7),"-2",IF(OR(J372=8,J372=9),"-1",IF(OR(J372=10,J372=11),"0",IF(OR(J372=12,J372=13),"+1",IF(OR(J372=14,J372=15),"+2",IF(OR(J372=16,J372=17),"+3",IF(OR(J372=18,J372=19),"+4",IF(OR(J372=20,J372=21),"+5",IF(OR(J372=22,J372=23),"+6",IF(OR(J372=24,J372=25),"+7",IF(OR(J372=26,J372=27),"+8",IF(OR(J372=28,J372=29),"+9",IF(J372=30,"+10"," "))))))))))))))))</f>
        <v>-1</v>
      </c>
      <c r="L372" s="3" t="n">
        <v>12</v>
      </c>
      <c r="M372" s="1" t="str">
        <f aca="false">IF(L372=1,"-5",IF(OR(L372=2,L372=3),"-4",IF(OR(L372=4,L372=5),"-3",IF(OR(L372=6,L372=7),"-2",IF(OR(L372=8,L372=9),"-1",IF(OR(L372=10,L372=11),"0",IF(OR(L372=12,L372=13),"+1",IF(OR(L372=14,L372=15),"+2",IF(OR(L372=16,L372=17),"+3",IF(OR(L372=18,L372=19),"+4",IF(OR(L372=20,L372=21),"+5",IF(OR(L372=22,L372=23),"+6",IF(OR(L372=24,L372=25),"+7",IF(OR(L372=26,L372=27),"+8",IF(OR(L372=28,L372=29),"+9",IF(L372=30,"+10"," "))))))))))))))))</f>
        <v>+1</v>
      </c>
      <c r="N372" s="3" t="n">
        <v>12</v>
      </c>
      <c r="O372" s="1" t="str">
        <f aca="false">IF(N372=1,"-5",IF(OR(N372=2,N372=3),"-4",IF(OR(N372=4,N372=5),"-3",IF(OR(N372=6,N372=7),"-2",IF(OR(N372=8,N372=9),"-1",IF(OR(N372=10,N372=11),"0",IF(OR(N372=12,N372=13),"+1",IF(OR(N372=14,N372=15),"+2",IF(OR(N372=16,N372=17),"+3",IF(OR(N372=18,N372=19),"+4",IF(OR(N372=20,N372=21),"+5",IF(OR(N372=22,N372=23),"+6",IF(OR(N372=24,N372=25),"+7",IF(OR(N372=26,N372=27),"+8",IF(OR(N372=28,N372=29),"+9",IF(N372=30,"+10"," "))))))))))))))))</f>
        <v>+1</v>
      </c>
      <c r="P372" s="3" t="n">
        <v>7</v>
      </c>
      <c r="Q372" s="1" t="str">
        <f aca="false">IF(P372=1,"-5",IF(OR(P372=2,P372=3),"-4",IF(OR(P372=4,P372=5),"-3",IF(OR(P372=6,P372=7),"-2",IF(OR(P372=8,P372=9),"-1",IF(OR(P372=10,P372=11),"0",IF(OR(P372=12,P372=13),"+1",IF(OR(P372=14,P372=15),"+2",IF(OR(P372=16,P372=17),"+3",IF(OR(P372=18,P372=19),"+4",IF(OR(P372=20,P372=21),"+5",IF(OR(P372=22,P372=23),"+6",IF(OR(P372=24,P372=25),"+7",IF(OR(P372=26,P372=27),"+8",IF(OR(P372=28,P372=29),"+9",IF(P372=30,"+10"," "))))))))))))))))</f>
        <v>-2</v>
      </c>
      <c r="R372" s="3" t="n">
        <v>10</v>
      </c>
      <c r="S372" s="1" t="str">
        <f aca="false">IF(R372=1,"-5",IF(OR(R372=2,R372=3),"-4",IF(OR(R372=4,R372=5),"-3",IF(OR(R372=6,R372=7),"-2",IF(OR(R372=8,R372=9),"-1",IF(OR(R372=10,R372=11),"0",IF(OR(R372=12,R372=13),"+1",IF(OR(R372=14,R372=15),"+2",IF(OR(R372=16,R372=17),"+3",IF(OR(R372=18,R372=19),"+4",IF(OR(R372=20,R372=21),"+5",IF(OR(R372=22,R372=23),"+6",IF(OR(R372=24,R372=25),"+7",IF(OR(R372=26,R372=27),"+8",IF(OR(R372=28,R372=29),"+9",IF(R372=30,"+10"," "))))))))))))))))</f>
        <v>0</v>
      </c>
      <c r="T372" s="3" t="n">
        <v>10</v>
      </c>
      <c r="U372" s="1" t="str">
        <f aca="false">IF(T372=1,"-5",IF(OR(T372=2,T372=3),"-4",IF(OR(T372=4,T372=5),"-3",IF(OR(T372=6,T372=7),"-2",IF(OR(T372=8,T372=9),"-1",IF(OR(T372=10,T372=11),"0",IF(OR(T372=12,T372=13),"+1",IF(OR(T372=14,T372=15),"+2",IF(OR(T372=16,T372=17),"+3",IF(OR(T372=18,T372=19),"+4",IF(OR(T372=20,T372=21),"+5",IF(OR(T372=22,T372=23),"+6",IF(OR(T372=24,T372=25),"+7",IF(OR(T372=26,T372=27),"+8",IF(OR(T372=28,T372=29),"+9",IF(T372=30,"+10"," "))))))))))))))))</f>
        <v>0</v>
      </c>
      <c r="V372" s="3" t="s">
        <v>375</v>
      </c>
      <c r="W372" s="3" t="s">
        <v>1873</v>
      </c>
      <c r="X372" s="11" t="s">
        <v>1874</v>
      </c>
      <c r="Y372" s="11" t="s">
        <v>1875</v>
      </c>
      <c r="Z372" s="11" t="s">
        <v>37</v>
      </c>
      <c r="AA372" s="12" t="s">
        <v>37</v>
      </c>
    </row>
    <row r="373" customFormat="false" ht="16.4" hidden="false" customHeight="false" outlineLevel="0" collapsed="false">
      <c r="A373" s="15" t="s">
        <v>1876</v>
      </c>
      <c r="B373" s="3" t="s">
        <v>214</v>
      </c>
      <c r="C373" s="3" t="s">
        <v>85</v>
      </c>
      <c r="D373" s="16" t="n">
        <v>0.5</v>
      </c>
      <c r="E373" s="3" t="n">
        <f aca="false">VLOOKUP(D373,'[1]REF Tables'!$A$2:$B$40,2)</f>
        <v>100</v>
      </c>
      <c r="F373" s="3" t="s">
        <v>165</v>
      </c>
      <c r="G373" s="3" t="n">
        <v>12</v>
      </c>
      <c r="H373" s="3" t="s">
        <v>1187</v>
      </c>
      <c r="I373" s="3" t="s">
        <v>665</v>
      </c>
      <c r="J373" s="3" t="n">
        <v>5</v>
      </c>
      <c r="K373" s="1" t="str">
        <f aca="false">IF(J373=1,"-5",IF(OR(J373=2,J373=3),"-4",IF(OR(J373=4,J373=5),"-3",IF(OR(J373=6,J373=7),"-2",IF(OR(J373=8,J373=9),"-1",IF(OR(J373=10,J373=11),"0",IF(OR(J373=12,J373=13),"+1",IF(OR(J373=14,J373=15),"+2",IF(OR(J373=16,J373=17),"+3",IF(OR(J373=18,J373=19),"+4",IF(OR(J373=20,J373=21),"+5",IF(OR(J373=22,J373=23),"+6",IF(OR(J373=24,J373=25),"+7",IF(OR(J373=26,J373=27),"+8",IF(OR(J373=28,J373=29),"+9",IF(J373=30,"+10"," "))))))))))))))))</f>
        <v>-3</v>
      </c>
      <c r="L373" s="3" t="n">
        <v>14</v>
      </c>
      <c r="M373" s="1" t="str">
        <f aca="false">IF(L373=1,"-5",IF(OR(L373=2,L373=3),"-4",IF(OR(L373=4,L373=5),"-3",IF(OR(L373=6,L373=7),"-2",IF(OR(L373=8,L373=9),"-1",IF(OR(L373=10,L373=11),"0",IF(OR(L373=12,L373=13),"+1",IF(OR(L373=14,L373=15),"+2",IF(OR(L373=16,L373=17),"+3",IF(OR(L373=18,L373=19),"+4",IF(OR(L373=20,L373=21),"+5",IF(OR(L373=22,L373=23),"+6",IF(OR(L373=24,L373=25),"+7",IF(OR(L373=26,L373=27),"+8",IF(OR(L373=28,L373=29),"+9",IF(L373=30,"+10"," "))))))))))))))))</f>
        <v>+2</v>
      </c>
      <c r="N373" s="3" t="n">
        <v>10</v>
      </c>
      <c r="O373" s="1" t="str">
        <f aca="false">IF(N373=1,"-5",IF(OR(N373=2,N373=3),"-4",IF(OR(N373=4,N373=5),"-3",IF(OR(N373=6,N373=7),"-2",IF(OR(N373=8,N373=9),"-1",IF(OR(N373=10,N373=11),"0",IF(OR(N373=12,N373=13),"+1",IF(OR(N373=14,N373=15),"+2",IF(OR(N373=16,N373=17),"+3",IF(OR(N373=18,N373=19),"+4",IF(OR(N373=20,N373=21),"+5",IF(OR(N373=22,N373=23),"+6",IF(OR(N373=24,N373=25),"+7",IF(OR(N373=26,N373=27),"+8",IF(OR(N373=28,N373=29),"+9",IF(N373=30,"+10"," "))))))))))))))))</f>
        <v>0</v>
      </c>
      <c r="P373" s="3" t="n">
        <v>9</v>
      </c>
      <c r="Q373" s="1" t="str">
        <f aca="false">IF(P373=1,"-5",IF(OR(P373=2,P373=3),"-4",IF(OR(P373=4,P373=5),"-3",IF(OR(P373=6,P373=7),"-2",IF(OR(P373=8,P373=9),"-1",IF(OR(P373=10,P373=11),"0",IF(OR(P373=12,P373=13),"+1",IF(OR(P373=14,P373=15),"+2",IF(OR(P373=16,P373=17),"+3",IF(OR(P373=18,P373=19),"+4",IF(OR(P373=20,P373=21),"+5",IF(OR(P373=22,P373=23),"+6",IF(OR(P373=24,P373=25),"+7",IF(OR(P373=26,P373=27),"+8",IF(OR(P373=28,P373=29),"+9",IF(P373=30,"+10"," "))))))))))))))))</f>
        <v>-1</v>
      </c>
      <c r="R373" s="3" t="n">
        <v>11</v>
      </c>
      <c r="S373" s="1" t="str">
        <f aca="false">IF(R373=1,"-5",IF(OR(R373=2,R373=3),"-4",IF(OR(R373=4,R373=5),"-3",IF(OR(R373=6,R373=7),"-2",IF(OR(R373=8,R373=9),"-1",IF(OR(R373=10,R373=11),"0",IF(OR(R373=12,R373=13),"+1",IF(OR(R373=14,R373=15),"+2",IF(OR(R373=16,R373=17),"+3",IF(OR(R373=18,R373=19),"+4",IF(OR(R373=20,R373=21),"+5",IF(OR(R373=22,R373=23),"+6",IF(OR(R373=24,R373=25),"+7",IF(OR(R373=26,R373=27),"+8",IF(OR(R373=28,R373=29),"+9",IF(R373=30,"+10"," "))))))))))))))))</f>
        <v>0</v>
      </c>
      <c r="T373" s="3" t="n">
        <v>10</v>
      </c>
      <c r="U373" s="1" t="str">
        <f aca="false">IF(T373=1,"-5",IF(OR(T373=2,T373=3),"-4",IF(OR(T373=4,T373=5),"-3",IF(OR(T373=6,T373=7),"-2",IF(OR(T373=8,T373=9),"-1",IF(OR(T373=10,T373=11),"0",IF(OR(T373=12,T373=13),"+1",IF(OR(T373=14,T373=15),"+2",IF(OR(T373=16,T373=17),"+3",IF(OR(T373=18,T373=19),"+4",IF(OR(T373=20,T373=21),"+5",IF(OR(T373=22,T373=23),"+6",IF(OR(T373=24,T373=25),"+7",IF(OR(T373=26,T373=27),"+8",IF(OR(T373=28,T373=29),"+9",IF(T373=30,"+10"," "))))))))))))))))</f>
        <v>0</v>
      </c>
      <c r="V373" s="3" t="s">
        <v>694</v>
      </c>
      <c r="W373" s="3" t="s">
        <v>1877</v>
      </c>
      <c r="X373" s="11" t="s">
        <v>1878</v>
      </c>
      <c r="Y373" s="11" t="s">
        <v>1879</v>
      </c>
      <c r="Z373" s="11" t="s">
        <v>37</v>
      </c>
      <c r="AA373" s="12" t="s">
        <v>37</v>
      </c>
    </row>
    <row r="374" customFormat="false" ht="16.4" hidden="false" customHeight="false" outlineLevel="0" collapsed="false">
      <c r="A374" s="15" t="s">
        <v>1880</v>
      </c>
      <c r="B374" s="3" t="s">
        <v>214</v>
      </c>
      <c r="C374" s="3" t="s">
        <v>85</v>
      </c>
      <c r="D374" s="16" t="n">
        <v>0.25</v>
      </c>
      <c r="E374" s="3" t="n">
        <f aca="false">VLOOKUP(D374,'[1]REF Tables'!$A$2:$B$40,2)</f>
        <v>50</v>
      </c>
      <c r="F374" s="3" t="s">
        <v>165</v>
      </c>
      <c r="G374" s="3" t="n">
        <v>10</v>
      </c>
      <c r="H374" s="3" t="s">
        <v>1455</v>
      </c>
      <c r="I374" s="3" t="s">
        <v>665</v>
      </c>
      <c r="J374" s="3" t="n">
        <v>5</v>
      </c>
      <c r="K374" s="1" t="str">
        <f aca="false">IF(J374=1,"-5",IF(OR(J374=2,J374=3),"-4",IF(OR(J374=4,J374=5),"-3",IF(OR(J374=6,J374=7),"-2",IF(OR(J374=8,J374=9),"-1",IF(OR(J374=10,J374=11),"0",IF(OR(J374=12,J374=13),"+1",IF(OR(J374=14,J374=15),"+2",IF(OR(J374=16,J374=17),"+3",IF(OR(J374=18,J374=19),"+4",IF(OR(J374=20,J374=21),"+5",IF(OR(J374=22,J374=23),"+6",IF(OR(J374=24,J374=25),"+7",IF(OR(J374=26,J374=27),"+8",IF(OR(J374=28,J374=29),"+9",IF(J374=30,"+10"," "))))))))))))))))</f>
        <v>-3</v>
      </c>
      <c r="L374" s="3" t="n">
        <v>11</v>
      </c>
      <c r="M374" s="1" t="str">
        <f aca="false">IF(L374=1,"-5",IF(OR(L374=2,L374=3),"-4",IF(OR(L374=4,L374=5),"-3",IF(OR(L374=6,L374=7),"-2",IF(OR(L374=8,L374=9),"-1",IF(OR(L374=10,L374=11),"0",IF(OR(L374=12,L374=13),"+1",IF(OR(L374=14,L374=15),"+2",IF(OR(L374=16,L374=17),"+3",IF(OR(L374=18,L374=19),"+4",IF(OR(L374=20,L374=21),"+5",IF(OR(L374=22,L374=23),"+6",IF(OR(L374=24,L374=25),"+7",IF(OR(L374=26,L374=27),"+8",IF(OR(L374=28,L374=29),"+9",IF(L374=30,"+10"," "))))))))))))))))</f>
        <v>0</v>
      </c>
      <c r="N374" s="3" t="n">
        <v>10</v>
      </c>
      <c r="O374" s="1" t="str">
        <f aca="false">IF(N374=1,"-5",IF(OR(N374=2,N374=3),"-4",IF(OR(N374=4,N374=5),"-3",IF(OR(N374=6,N374=7),"-2",IF(OR(N374=8,N374=9),"-1",IF(OR(N374=10,N374=11),"0",IF(OR(N374=12,N374=13),"+1",IF(OR(N374=14,N374=15),"+2",IF(OR(N374=16,N374=17),"+3",IF(OR(N374=18,N374=19),"+4",IF(OR(N374=20,N374=21),"+5",IF(OR(N374=22,N374=23),"+6",IF(OR(N374=24,N374=25),"+7",IF(OR(N374=26,N374=27),"+8",IF(OR(N374=28,N374=29),"+9",IF(N374=30,"+10"," "))))))))))))))))</f>
        <v>0</v>
      </c>
      <c r="P374" s="3" t="n">
        <v>11</v>
      </c>
      <c r="Q374" s="1" t="str">
        <f aca="false">IF(P374=1,"-5",IF(OR(P374=2,P374=3),"-4",IF(OR(P374=4,P374=5),"-3",IF(OR(P374=6,P374=7),"-2",IF(OR(P374=8,P374=9),"-1",IF(OR(P374=10,P374=11),"0",IF(OR(P374=12,P374=13),"+1",IF(OR(P374=14,P374=15),"+2",IF(OR(P374=16,P374=17),"+3",IF(OR(P374=18,P374=19),"+4",IF(OR(P374=20,P374=21),"+5",IF(OR(P374=22,P374=23),"+6",IF(OR(P374=24,P374=25),"+7",IF(OR(P374=26,P374=27),"+8",IF(OR(P374=28,P374=29),"+9",IF(P374=30,"+10"," "))))))))))))))))</f>
        <v>0</v>
      </c>
      <c r="R374" s="3" t="n">
        <v>10</v>
      </c>
      <c r="S374" s="1" t="str">
        <f aca="false">IF(R374=1,"-5",IF(OR(R374=2,R374=3),"-4",IF(OR(R374=4,R374=5),"-3",IF(OR(R374=6,R374=7),"-2",IF(OR(R374=8,R374=9),"-1",IF(OR(R374=10,R374=11),"0",IF(OR(R374=12,R374=13),"+1",IF(OR(R374=14,R374=15),"+2",IF(OR(R374=16,R374=17),"+3",IF(OR(R374=18,R374=19),"+4",IF(OR(R374=20,R374=21),"+5",IF(OR(R374=22,R374=23),"+6",IF(OR(R374=24,R374=25),"+7",IF(OR(R374=26,R374=27),"+8",IF(OR(R374=28,R374=29),"+9",IF(R374=30,"+10"," "))))))))))))))))</f>
        <v>0</v>
      </c>
      <c r="T374" s="3" t="n">
        <v>12</v>
      </c>
      <c r="U374" s="1" t="str">
        <f aca="false">IF(T374=1,"-5",IF(OR(T374=2,T374=3),"-4",IF(OR(T374=4,T374=5),"-3",IF(OR(T374=6,T374=7),"-2",IF(OR(T374=8,T374=9),"-1",IF(OR(T374=10,T374=11),"0",IF(OR(T374=12,T374=13),"+1",IF(OR(T374=14,T374=15),"+2",IF(OR(T374=16,T374=17),"+3",IF(OR(T374=18,T374=19),"+4",IF(OR(T374=20,T374=21),"+5",IF(OR(T374=22,T374=23),"+6",IF(OR(T374=24,T374=25),"+7",IF(OR(T374=26,T374=27),"+8",IF(OR(T374=28,T374=29),"+9",IF(T374=30,"+10"," "))))))))))))))))</f>
        <v>+1</v>
      </c>
      <c r="V374" s="3" t="s">
        <v>37</v>
      </c>
      <c r="W374" s="3" t="s">
        <v>1881</v>
      </c>
      <c r="X374" s="11" t="s">
        <v>1882</v>
      </c>
      <c r="Y374" s="11" t="s">
        <v>1883</v>
      </c>
      <c r="Z374" s="11" t="s">
        <v>37</v>
      </c>
      <c r="AA374" s="12" t="s">
        <v>37</v>
      </c>
    </row>
    <row r="375" customFormat="false" ht="16.4" hidden="false" customHeight="false" outlineLevel="0" collapsed="false">
      <c r="A375" s="15" t="s">
        <v>1884</v>
      </c>
      <c r="B375" s="3" t="s">
        <v>105</v>
      </c>
      <c r="C375" s="3" t="s">
        <v>222</v>
      </c>
      <c r="D375" s="16" t="n">
        <v>2</v>
      </c>
      <c r="E375" s="3" t="n">
        <f aca="false">VLOOKUP(D375,'[1]REF Tables'!$A$2:$B$40,2)</f>
        <v>450</v>
      </c>
      <c r="F375" s="3" t="s">
        <v>50</v>
      </c>
      <c r="G375" s="3" t="n">
        <v>13</v>
      </c>
      <c r="H375" s="3" t="s">
        <v>398</v>
      </c>
      <c r="I375" s="3" t="s">
        <v>52</v>
      </c>
      <c r="J375" s="3" t="n">
        <v>18</v>
      </c>
      <c r="K375" s="1" t="str">
        <f aca="false">IF(J375=1,"-5",IF(OR(J375=2,J375=3),"-4",IF(OR(J375=4,J375=5),"-3",IF(OR(J375=6,J375=7),"-2",IF(OR(J375=8,J375=9),"-1",IF(OR(J375=10,J375=11),"0",IF(OR(J375=12,J375=13),"+1",IF(OR(J375=14,J375=15),"+2",IF(OR(J375=16,J375=17),"+3",IF(OR(J375=18,J375=19),"+4",IF(OR(J375=20,J375=21),"+5",IF(OR(J375=22,J375=23),"+6",IF(OR(J375=24,J375=25),"+7",IF(OR(J375=26,J375=27),"+8",IF(OR(J375=28,J375=29),"+9",IF(J375=30,"+10"," "))))))))))))))))</f>
        <v>+4</v>
      </c>
      <c r="L375" s="3" t="n">
        <v>10</v>
      </c>
      <c r="M375" s="1" t="str">
        <f aca="false">IF(L375=1,"-5",IF(OR(L375=2,L375=3),"-4",IF(OR(L375=4,L375=5),"-3",IF(OR(L375=6,L375=7),"-2",IF(OR(L375=8,L375=9),"-1",IF(OR(L375=10,L375=11),"0",IF(OR(L375=12,L375=13),"+1",IF(OR(L375=14,L375=15),"+2",IF(OR(L375=16,L375=17),"+3",IF(OR(L375=18,L375=19),"+4",IF(OR(L375=20,L375=21),"+5",IF(OR(L375=22,L375=23),"+6",IF(OR(L375=24,L375=25),"+7",IF(OR(L375=26,L375=27),"+8",IF(OR(L375=28,L375=29),"+9",IF(L375=30,"+10"," "))))))))))))))))</f>
        <v>0</v>
      </c>
      <c r="N375" s="3" t="n">
        <v>15</v>
      </c>
      <c r="O375" s="1" t="str">
        <f aca="false">IF(N375=1,"-5",IF(OR(N375=2,N375=3),"-4",IF(OR(N375=4,N375=5),"-3",IF(OR(N375=6,N375=7),"-2",IF(OR(N375=8,N375=9),"-1",IF(OR(N375=10,N375=11),"0",IF(OR(N375=12,N375=13),"+1",IF(OR(N375=14,N375=15),"+2",IF(OR(N375=16,N375=17),"+3",IF(OR(N375=18,N375=19),"+4",IF(OR(N375=20,N375=21),"+5",IF(OR(N375=22,N375=23),"+6",IF(OR(N375=24,N375=25),"+7",IF(OR(N375=26,N375=27),"+8",IF(OR(N375=28,N375=29),"+9",IF(N375=30,"+10"," "))))))))))))))))</f>
        <v>+2</v>
      </c>
      <c r="P375" s="3" t="n">
        <v>8</v>
      </c>
      <c r="Q375" s="1" t="str">
        <f aca="false">IF(P375=1,"-5",IF(OR(P375=2,P375=3),"-4",IF(OR(P375=4,P375=5),"-3",IF(OR(P375=6,P375=7),"-2",IF(OR(P375=8,P375=9),"-1",IF(OR(P375=10,P375=11),"0",IF(OR(P375=12,P375=13),"+1",IF(OR(P375=14,P375=15),"+2",IF(OR(P375=16,P375=17),"+3",IF(OR(P375=18,P375=19),"+4",IF(OR(P375=20,P375=21),"+5",IF(OR(P375=22,P375=23),"+6",IF(OR(P375=24,P375=25),"+7",IF(OR(P375=26,P375=27),"+8",IF(OR(P375=28,P375=29),"+9",IF(P375=30,"+10"," "))))))))))))))))</f>
        <v>-1</v>
      </c>
      <c r="R375" s="3" t="n">
        <v>10</v>
      </c>
      <c r="S375" s="1" t="str">
        <f aca="false">IF(R375=1,"-5",IF(OR(R375=2,R375=3),"-4",IF(OR(R375=4,R375=5),"-3",IF(OR(R375=6,R375=7),"-2",IF(OR(R375=8,R375=9),"-1",IF(OR(R375=10,R375=11),"0",IF(OR(R375=12,R375=13),"+1",IF(OR(R375=14,R375=15),"+2",IF(OR(R375=16,R375=17),"+3",IF(OR(R375=18,R375=19),"+4",IF(OR(R375=20,R375=21),"+5",IF(OR(R375=22,R375=23),"+6",IF(OR(R375=24,R375=25),"+7",IF(OR(R375=26,R375=27),"+8",IF(OR(R375=28,R375=29),"+9",IF(R375=30,"+10"," "))))))))))))))))</f>
        <v>0</v>
      </c>
      <c r="T375" s="3" t="n">
        <v>9</v>
      </c>
      <c r="U375" s="1" t="str">
        <f aca="false">IF(T375=1,"-5",IF(OR(T375=2,T375=3),"-4",IF(OR(T375=4,T375=5),"-3",IF(OR(T375=6,T375=7),"-2",IF(OR(T375=8,T375=9),"-1",IF(OR(T375=10,T375=11),"0",IF(OR(T375=12,T375=13),"+1",IF(OR(T375=14,T375=15),"+2",IF(OR(T375=16,T375=17),"+3",IF(OR(T375=18,T375=19),"+4",IF(OR(T375=20,T375=21),"+5",IF(OR(T375=22,T375=23),"+6",IF(OR(T375=24,T375=25),"+7",IF(OR(T375=26,T375=27),"+8",IF(OR(T375=28,T375=29),"+9",IF(T375=30,"+10"," "))))))))))))))))</f>
        <v>-1</v>
      </c>
      <c r="V375" s="3" t="s">
        <v>37</v>
      </c>
      <c r="W375" s="3" t="s">
        <v>1885</v>
      </c>
      <c r="X375" s="11" t="s">
        <v>1886</v>
      </c>
      <c r="Y375" s="11" t="s">
        <v>1887</v>
      </c>
      <c r="Z375" s="11" t="s">
        <v>37</v>
      </c>
      <c r="AA375" s="12" t="s">
        <v>37</v>
      </c>
    </row>
    <row r="376" customFormat="false" ht="16.4" hidden="false" customHeight="false" outlineLevel="0" collapsed="false">
      <c r="A376" s="15" t="s">
        <v>1888</v>
      </c>
      <c r="B376" s="3" t="s">
        <v>170</v>
      </c>
      <c r="C376" s="3" t="s">
        <v>85</v>
      </c>
      <c r="D376" s="16" t="n">
        <v>5</v>
      </c>
      <c r="E376" s="6" t="n">
        <f aca="false">VLOOKUP(D376,'[1]REF Tables'!$A$2:$B$40,2)</f>
        <v>1800</v>
      </c>
      <c r="F376" s="3" t="s">
        <v>30</v>
      </c>
      <c r="G376" s="3" t="n">
        <v>18</v>
      </c>
      <c r="H376" s="3" t="s">
        <v>178</v>
      </c>
      <c r="I376" s="3" t="s">
        <v>224</v>
      </c>
      <c r="J376" s="3" t="n">
        <v>18</v>
      </c>
      <c r="K376" s="1" t="str">
        <f aca="false">IF(J376=1,"-5",IF(OR(J376=2,J376=3),"-4",IF(OR(J376=4,J376=5),"-3",IF(OR(J376=6,J376=7),"-2",IF(OR(J376=8,J376=9),"-1",IF(OR(J376=10,J376=11),"0",IF(OR(J376=12,J376=13),"+1",IF(OR(J376=14,J376=15),"+2",IF(OR(J376=16,J376=17),"+3",IF(OR(J376=18,J376=19),"+4",IF(OR(J376=20,J376=21),"+5",IF(OR(J376=22,J376=23),"+6",IF(OR(J376=24,J376=25),"+7",IF(OR(J376=26,J376=27),"+8",IF(OR(J376=28,J376=29),"+9",IF(J376=30,"+10"," "))))))))))))))))</f>
        <v>+4</v>
      </c>
      <c r="L376" s="3" t="n">
        <v>11</v>
      </c>
      <c r="M376" s="1" t="str">
        <f aca="false">IF(L376=1,"-5",IF(OR(L376=2,L376=3),"-4",IF(OR(L376=4,L376=5),"-3",IF(OR(L376=6,L376=7),"-2",IF(OR(L376=8,L376=9),"-1",IF(OR(L376=10,L376=11),"0",IF(OR(L376=12,L376=13),"+1",IF(OR(L376=14,L376=15),"+2",IF(OR(L376=16,L376=17),"+3",IF(OR(L376=18,L376=19),"+4",IF(OR(L376=20,L376=21),"+5",IF(OR(L376=22,L376=23),"+6",IF(OR(L376=24,L376=25),"+7",IF(OR(L376=26,L376=27),"+8",IF(OR(L376=28,L376=29),"+9",IF(L376=30,"+10"," "))))))))))))))))</f>
        <v>0</v>
      </c>
      <c r="N376" s="3" t="n">
        <v>16</v>
      </c>
      <c r="O376" s="1" t="str">
        <f aca="false">IF(N376=1,"-5",IF(OR(N376=2,N376=3),"-4",IF(OR(N376=4,N376=5),"-3",IF(OR(N376=6,N376=7),"-2",IF(OR(N376=8,N376=9),"-1",IF(OR(N376=10,N376=11),"0",IF(OR(N376=12,N376=13),"+1",IF(OR(N376=14,N376=15),"+2",IF(OR(N376=16,N376=17),"+3",IF(OR(N376=18,N376=19),"+4",IF(OR(N376=20,N376=21),"+5",IF(OR(N376=22,N376=23),"+6",IF(OR(N376=24,N376=25),"+7",IF(OR(N376=26,N376=27),"+8",IF(OR(N376=28,N376=29),"+9",IF(N376=30,"+10"," "))))))))))))))))</f>
        <v>+3</v>
      </c>
      <c r="P376" s="3" t="n">
        <v>7</v>
      </c>
      <c r="Q376" s="1" t="str">
        <f aca="false">IF(P376=1,"-5",IF(OR(P376=2,P376=3),"-4",IF(OR(P376=4,P376=5),"-3",IF(OR(P376=6,P376=7),"-2",IF(OR(P376=8,P376=9),"-1",IF(OR(P376=10,P376=11),"0",IF(OR(P376=12,P376=13),"+1",IF(OR(P376=14,P376=15),"+2",IF(OR(P376=16,P376=17),"+3",IF(OR(P376=18,P376=19),"+4",IF(OR(P376=20,P376=21),"+5",IF(OR(P376=22,P376=23),"+6",IF(OR(P376=24,P376=25),"+7",IF(OR(P376=26,P376=27),"+8",IF(OR(P376=28,P376=29),"+9",IF(P376=30,"+10"," "))))))))))))))))</f>
        <v>-2</v>
      </c>
      <c r="R376" s="3" t="n">
        <v>10</v>
      </c>
      <c r="S376" s="1" t="str">
        <f aca="false">IF(R376=1,"-5",IF(OR(R376=2,R376=3),"-4",IF(OR(R376=4,R376=5),"-3",IF(OR(R376=6,R376=7),"-2",IF(OR(R376=8,R376=9),"-1",IF(OR(R376=10,R376=11),"0",IF(OR(R376=12,R376=13),"+1",IF(OR(R376=14,R376=15),"+2",IF(OR(R376=16,R376=17),"+3",IF(OR(R376=18,R376=19),"+4",IF(OR(R376=20,R376=21),"+5",IF(OR(R376=22,R376=23),"+6",IF(OR(R376=24,R376=25),"+7",IF(OR(R376=26,R376=27),"+8",IF(OR(R376=28,R376=29),"+9",IF(R376=30,"+10"," "))))))))))))))))</f>
        <v>0</v>
      </c>
      <c r="T376" s="3" t="n">
        <v>11</v>
      </c>
      <c r="U376" s="1" t="str">
        <f aca="false">IF(T376=1,"-5",IF(OR(T376=2,T376=3),"-4",IF(OR(T376=4,T376=5),"-3",IF(OR(T376=6,T376=7),"-2",IF(OR(T376=8,T376=9),"-1",IF(OR(T376=10,T376=11),"0",IF(OR(T376=12,T376=13),"+1",IF(OR(T376=14,T376=15),"+2",IF(OR(T376=16,T376=17),"+3",IF(OR(T376=18,T376=19),"+4",IF(OR(T376=20,T376=21),"+5",IF(OR(T376=22,T376=23),"+6",IF(OR(T376=24,T376=25),"+7",IF(OR(T376=26,T376=27),"+8",IF(OR(T376=28,T376=29),"+9",IF(T376=30,"+10"," "))))))))))))))))</f>
        <v>0</v>
      </c>
      <c r="V376" s="3" t="s">
        <v>416</v>
      </c>
      <c r="W376" s="3" t="s">
        <v>1889</v>
      </c>
      <c r="X376" s="11" t="s">
        <v>1890</v>
      </c>
      <c r="Y376" s="11" t="s">
        <v>1891</v>
      </c>
      <c r="Z376" s="11" t="s">
        <v>37</v>
      </c>
      <c r="AA376" s="12" t="s">
        <v>37</v>
      </c>
    </row>
    <row r="377" customFormat="false" ht="16.4" hidden="false" customHeight="false" outlineLevel="0" collapsed="false">
      <c r="A377" s="15" t="s">
        <v>1892</v>
      </c>
      <c r="B377" s="3" t="s">
        <v>59</v>
      </c>
      <c r="C377" s="3" t="s">
        <v>37</v>
      </c>
      <c r="D377" s="16" t="n">
        <v>0.25</v>
      </c>
      <c r="E377" s="3" t="n">
        <f aca="false">VLOOKUP(D377,'[1]REF Tables'!$A$2:$B$40,2)</f>
        <v>50</v>
      </c>
      <c r="F377" s="3" t="s">
        <v>165</v>
      </c>
      <c r="G377" s="3" t="n">
        <v>13</v>
      </c>
      <c r="H377" s="3" t="s">
        <v>1893</v>
      </c>
      <c r="I377" s="3" t="s">
        <v>131</v>
      </c>
      <c r="J377" s="3" t="n">
        <v>5</v>
      </c>
      <c r="K377" s="1" t="str">
        <f aca="false">IF(J377=1,"-5",IF(OR(J377=2,J377=3),"-4",IF(OR(J377=4,J377=5),"-3",IF(OR(J377=6,J377=7),"-2",IF(OR(J377=8,J377=9),"-1",IF(OR(J377=10,J377=11),"0",IF(OR(J377=12,J377=13),"+1",IF(OR(J377=14,J377=15),"+2",IF(OR(J377=16,J377=17),"+3",IF(OR(J377=18,J377=19),"+4",IF(OR(J377=20,J377=21),"+5",IF(OR(J377=22,J377=23),"+6",IF(OR(J377=24,J377=25),"+7",IF(OR(J377=26,J377=27),"+8",IF(OR(J377=28,J377=29),"+9",IF(J377=30,"+10"," "))))))))))))))))</f>
        <v>-3</v>
      </c>
      <c r="L377" s="3" t="n">
        <v>14</v>
      </c>
      <c r="M377" s="1" t="str">
        <f aca="false">IF(L377=1,"-5",IF(OR(L377=2,L377=3),"-4",IF(OR(L377=4,L377=5),"-3",IF(OR(L377=6,L377=7),"-2",IF(OR(L377=8,L377=9),"-1",IF(OR(L377=10,L377=11),"0",IF(OR(L377=12,L377=13),"+1",IF(OR(L377=14,L377=15),"+2",IF(OR(L377=16,L377=17),"+3",IF(OR(L377=18,L377=19),"+4",IF(OR(L377=20,L377=21),"+5",IF(OR(L377=22,L377=23),"+6",IF(OR(L377=24,L377=25),"+7",IF(OR(L377=26,L377=27),"+8",IF(OR(L377=28,L377=29),"+9",IF(L377=30,"+10"," "))))))))))))))))</f>
        <v>+2</v>
      </c>
      <c r="N377" s="3" t="n">
        <v>12</v>
      </c>
      <c r="O377" s="1" t="str">
        <f aca="false">IF(N377=1,"-5",IF(OR(N377=2,N377=3),"-4",IF(OR(N377=4,N377=5),"-3",IF(OR(N377=6,N377=7),"-2",IF(OR(N377=8,N377=9),"-1",IF(OR(N377=10,N377=11),"0",IF(OR(N377=12,N377=13),"+1",IF(OR(N377=14,N377=15),"+2",IF(OR(N377=16,N377=17),"+3",IF(OR(N377=18,N377=19),"+4",IF(OR(N377=20,N377=21),"+5",IF(OR(N377=22,N377=23),"+6",IF(OR(N377=24,N377=25),"+7",IF(OR(N377=26,N377=27),"+8",IF(OR(N377=28,N377=29),"+9",IF(N377=30,"+10"," "))))))))))))))))</f>
        <v>+1</v>
      </c>
      <c r="P377" s="3" t="n">
        <v>1</v>
      </c>
      <c r="Q377" s="1" t="str">
        <f aca="false">IF(P377=1,"-5",IF(OR(P377=2,P377=3),"-4",IF(OR(P377=4,P377=5),"-3",IF(OR(P377=6,P377=7),"-2",IF(OR(P377=8,P377=9),"-1",IF(OR(P377=10,P377=11),"0",IF(OR(P377=12,P377=13),"+1",IF(OR(P377=14,P377=15),"+2",IF(OR(P377=16,P377=17),"+3",IF(OR(P377=18,P377=19),"+4",IF(OR(P377=20,P377=21),"+5",IF(OR(P377=22,P377=23),"+6",IF(OR(P377=24,P377=25),"+7",IF(OR(P377=26,P377=27),"+8",IF(OR(P377=28,P377=29),"+9",IF(P377=30,"+10"," "))))))))))))))))</f>
        <v>-5</v>
      </c>
      <c r="R377" s="3" t="n">
        <v>7</v>
      </c>
      <c r="S377" s="1" t="str">
        <f aca="false">IF(R377=1,"-5",IF(OR(R377=2,R377=3),"-4",IF(OR(R377=4,R377=5),"-3",IF(OR(R377=6,R377=7),"-2",IF(OR(R377=8,R377=9),"-1",IF(OR(R377=10,R377=11),"0",IF(OR(R377=12,R377=13),"+1",IF(OR(R377=14,R377=15),"+2",IF(OR(R377=16,R377=17),"+3",IF(OR(R377=18,R377=19),"+4",IF(OR(R377=20,R377=21),"+5",IF(OR(R377=22,R377=23),"+6",IF(OR(R377=24,R377=25),"+7",IF(OR(R377=26,R377=27),"+8",IF(OR(R377=28,R377=29),"+9",IF(R377=30,"+10"," "))))))))))))))))</f>
        <v>-2</v>
      </c>
      <c r="T377" s="3" t="n">
        <v>3</v>
      </c>
      <c r="U377" s="1" t="str">
        <f aca="false">IF(T377=1,"-5",IF(OR(T377=2,T377=3),"-4",IF(OR(T377=4,T377=5),"-3",IF(OR(T377=6,T377=7),"-2",IF(OR(T377=8,T377=9),"-1",IF(OR(T377=10,T377=11),"0",IF(OR(T377=12,T377=13),"+1",IF(OR(T377=14,T377=15),"+2",IF(OR(T377=16,T377=17),"+3",IF(OR(T377=18,T377=19),"+4",IF(OR(T377=20,T377=21),"+5",IF(OR(T377=22,T377=23),"+6",IF(OR(T377=24,T377=25),"+7",IF(OR(T377=26,T377=27),"+8",IF(OR(T377=28,T377=29),"+9",IF(T377=30,"+10"," "))))))))))))))))</f>
        <v>-4</v>
      </c>
      <c r="V377" s="3" t="s">
        <v>37</v>
      </c>
      <c r="W377" s="3" t="s">
        <v>37</v>
      </c>
      <c r="X377" s="11" t="s">
        <v>1894</v>
      </c>
      <c r="Y377" s="11" t="s">
        <v>1895</v>
      </c>
      <c r="Z377" s="11" t="s">
        <v>37</v>
      </c>
      <c r="AA377" s="12" t="s">
        <v>37</v>
      </c>
    </row>
    <row r="378" customFormat="false" ht="16.4" hidden="false" customHeight="false" outlineLevel="0" collapsed="false">
      <c r="A378" s="14" t="s">
        <v>1896</v>
      </c>
      <c r="B378" s="1" t="s">
        <v>1897</v>
      </c>
      <c r="C378" s="1" t="s">
        <v>230</v>
      </c>
      <c r="D378" s="5" t="n">
        <v>2</v>
      </c>
      <c r="E378" s="3" t="n">
        <f aca="false">VLOOKUP(D378,'[1]REF Tables'!$A$2:$B$40,2)</f>
        <v>450</v>
      </c>
      <c r="F378" s="1" t="s">
        <v>30</v>
      </c>
      <c r="G378" s="1" t="n">
        <v>12</v>
      </c>
      <c r="H378" s="1" t="s">
        <v>343</v>
      </c>
      <c r="I378" s="3" t="s">
        <v>1898</v>
      </c>
      <c r="J378" s="1" t="n">
        <v>17</v>
      </c>
      <c r="K378" s="1" t="str">
        <f aca="false">IF(J378=1,"-5",IF(OR(J378=2,J378=3),"-4",IF(OR(J378=4,J378=5),"-3",IF(OR(J378=6,J378=7),"-2",IF(OR(J378=8,J378=9),"-1",IF(OR(J378=10,J378=11),"0",IF(OR(J378=12,J378=13),"+1",IF(OR(J378=14,J378=15),"+2",IF(OR(J378=16,J378=17),"+3",IF(OR(J378=18,J378=19),"+4",IF(OR(J378=20,J378=21),"+5",IF(OR(J378=22,J378=23),"+6",IF(OR(J378=24,J378=25),"+7",IF(OR(J378=26,J378=27),"+8",IF(OR(J378=28,J378=29),"+9",IF(J378=30,"+10"," "))))))))))))))))</f>
        <v>+3</v>
      </c>
      <c r="L378" s="1" t="n">
        <v>12</v>
      </c>
      <c r="M378" s="1" t="str">
        <f aca="false">IF(L378=1,"-5",IF(OR(L378=2,L378=3),"-4",IF(OR(L378=4,L378=5),"-3",IF(OR(L378=6,L378=7),"-2",IF(OR(L378=8,L378=9),"-1",IF(OR(L378=10,L378=11),"0",IF(OR(L378=12,L378=13),"+1",IF(OR(L378=14,L378=15),"+2",IF(OR(L378=16,L378=17),"+3",IF(OR(L378=18,L378=19),"+4",IF(OR(L378=20,L378=21),"+5",IF(OR(L378=22,L378=23),"+6",IF(OR(L378=24,L378=25),"+7",IF(OR(L378=26,L378=27),"+8",IF(OR(L378=28,L378=29),"+9",IF(L378=30,"+10"," "))))))))))))))))</f>
        <v>+1</v>
      </c>
      <c r="N378" s="1" t="n">
        <v>15</v>
      </c>
      <c r="O378" s="1" t="str">
        <f aca="false">IF(N378=1,"-5",IF(OR(N378=2,N378=3),"-4",IF(OR(N378=4,N378=5),"-3",IF(OR(N378=6,N378=7),"-2",IF(OR(N378=8,N378=9),"-1",IF(OR(N378=10,N378=11),"0",IF(OR(N378=12,N378=13),"+1",IF(OR(N378=14,N378=15),"+2",IF(OR(N378=16,N378=17),"+3",IF(OR(N378=18,N378=19),"+4",IF(OR(N378=20,N378=21),"+5",IF(OR(N378=22,N378=23),"+6",IF(OR(N378=24,N378=25),"+7",IF(OR(N378=26,N378=27),"+8",IF(OR(N378=28,N378=29),"+9",IF(N378=30,"+10"," "))))))))))))))))</f>
        <v>+2</v>
      </c>
      <c r="P378" s="1" t="n">
        <v>5</v>
      </c>
      <c r="Q378" s="1" t="str">
        <f aca="false">IF(P378=1,"-5",IF(OR(P378=2,P378=3),"-4",IF(OR(P378=4,P378=5),"-3",IF(OR(P378=6,P378=7),"-2",IF(OR(P378=8,P378=9),"-1",IF(OR(P378=10,P378=11),"0",IF(OR(P378=12,P378=13),"+1",IF(OR(P378=14,P378=15),"+2",IF(OR(P378=16,P378=17),"+3",IF(OR(P378=18,P378=19),"+4",IF(OR(P378=20,P378=21),"+5",IF(OR(P378=22,P378=23),"+6",IF(OR(P378=24,P378=25),"+7",IF(OR(P378=26,P378=27),"+8",IF(OR(P378=28,P378=29),"+9",IF(P378=30,"+10"," "))))))))))))))))</f>
        <v>-3</v>
      </c>
      <c r="R378" s="1" t="n">
        <v>13</v>
      </c>
      <c r="S378" s="1" t="str">
        <f aca="false">IF(R378=1,"-5",IF(OR(R378=2,R378=3),"-4",IF(OR(R378=4,R378=5),"-3",IF(OR(R378=6,R378=7),"-2",IF(OR(R378=8,R378=9),"-1",IF(OR(R378=10,R378=11),"0",IF(OR(R378=12,R378=13),"+1",IF(OR(R378=14,R378=15),"+2",IF(OR(R378=16,R378=17),"+3",IF(OR(R378=18,R378=19),"+4",IF(OR(R378=20,R378=21),"+5",IF(OR(R378=22,R378=23),"+6",IF(OR(R378=24,R378=25),"+7",IF(OR(R378=26,R378=27),"+8",IF(OR(R378=28,R378=29),"+9",IF(R378=30,"+10"," "))))))))))))))))</f>
        <v>+1</v>
      </c>
      <c r="T378" s="1" t="n">
        <v>8</v>
      </c>
      <c r="U378" s="1" t="str">
        <f aca="false">IF(T378=1,"-5",IF(OR(T378=2,T378=3),"-4",IF(OR(T378=4,T378=5),"-3",IF(OR(T378=6,T378=7),"-2",IF(OR(T378=8,T378=9),"-1",IF(OR(T378=10,T378=11),"0",IF(OR(T378=12,T378=13),"+1",IF(OR(T378=14,T378=15),"+2",IF(OR(T378=16,T378=17),"+3",IF(OR(T378=18,T378=19),"+4",IF(OR(T378=20,T378=21),"+5",IF(OR(T378=22,T378=23),"+6",IF(OR(T378=24,T378=25),"+7",IF(OR(T378=26,T378=27),"+8",IF(OR(T378=28,T378=29),"+9",IF(T378=30,"+10"," "))))))))))))))))</f>
        <v>-1</v>
      </c>
      <c r="V378" s="1" t="s">
        <v>1899</v>
      </c>
      <c r="W378" s="1" t="s">
        <v>37</v>
      </c>
      <c r="X378" s="2" t="s">
        <v>1900</v>
      </c>
      <c r="Y378" s="2" t="s">
        <v>1901</v>
      </c>
      <c r="Z378" s="2" t="s">
        <v>37</v>
      </c>
      <c r="AA378" s="1" t="s">
        <v>37</v>
      </c>
    </row>
    <row r="379" customFormat="false" ht="16.4" hidden="false" customHeight="false" outlineLevel="0" collapsed="false">
      <c r="A379" s="15" t="s">
        <v>1902</v>
      </c>
      <c r="B379" s="3" t="s">
        <v>105</v>
      </c>
      <c r="C379" s="3" t="s">
        <v>222</v>
      </c>
      <c r="D379" s="16" t="n">
        <v>3</v>
      </c>
      <c r="E379" s="3" t="n">
        <f aca="false">VLOOKUP(D379,'[1]REF Tables'!$A$2:$B$40,2)</f>
        <v>700</v>
      </c>
      <c r="F379" s="3" t="s">
        <v>50</v>
      </c>
      <c r="G379" s="3" t="n">
        <v>14</v>
      </c>
      <c r="H379" s="3" t="s">
        <v>1903</v>
      </c>
      <c r="I379" s="3" t="s">
        <v>224</v>
      </c>
      <c r="J379" s="3" t="n">
        <v>18</v>
      </c>
      <c r="K379" s="1" t="str">
        <f aca="false">IF(J379=1,"-5",IF(OR(J379=2,J379=3),"-4",IF(OR(J379=4,J379=5),"-3",IF(OR(J379=6,J379=7),"-2",IF(OR(J379=8,J379=9),"-1",IF(OR(J379=10,J379=11),"0",IF(OR(J379=12,J379=13),"+1",IF(OR(J379=14,J379=15),"+2",IF(OR(J379=16,J379=17),"+3",IF(OR(J379=18,J379=19),"+4",IF(OR(J379=20,J379=21),"+5",IF(OR(J379=22,J379=23),"+6",IF(OR(J379=24,J379=25),"+7",IF(OR(J379=26,J379=27),"+8",IF(OR(J379=28,J379=29),"+9",IF(J379=30,"+10"," "))))))))))))))))</f>
        <v>+4</v>
      </c>
      <c r="L379" s="3" t="n">
        <v>11</v>
      </c>
      <c r="M379" s="1" t="str">
        <f aca="false">IF(L379=1,"-5",IF(OR(L379=2,L379=3),"-4",IF(OR(L379=4,L379=5),"-3",IF(OR(L379=6,L379=7),"-2",IF(OR(L379=8,L379=9),"-1",IF(OR(L379=10,L379=11),"0",IF(OR(L379=12,L379=13),"+1",IF(OR(L379=14,L379=15),"+2",IF(OR(L379=16,L379=17),"+3",IF(OR(L379=18,L379=19),"+4",IF(OR(L379=20,L379=21),"+5",IF(OR(L379=22,L379=23),"+6",IF(OR(L379=24,L379=25),"+7",IF(OR(L379=26,L379=27),"+8",IF(OR(L379=28,L379=29),"+9",IF(L379=30,"+10"," "))))))))))))))))</f>
        <v>0</v>
      </c>
      <c r="N379" s="3" t="n">
        <v>16</v>
      </c>
      <c r="O379" s="1" t="str">
        <f aca="false">IF(N379=1,"-5",IF(OR(N379=2,N379=3),"-4",IF(OR(N379=4,N379=5),"-3",IF(OR(N379=6,N379=7),"-2",IF(OR(N379=8,N379=9),"-1",IF(OR(N379=10,N379=11),"0",IF(OR(N379=12,N379=13),"+1",IF(OR(N379=14,N379=15),"+2",IF(OR(N379=16,N379=17),"+3",IF(OR(N379=18,N379=19),"+4",IF(OR(N379=20,N379=21),"+5",IF(OR(N379=22,N379=23),"+6",IF(OR(N379=24,N379=25),"+7",IF(OR(N379=26,N379=27),"+8",IF(OR(N379=28,N379=29),"+9",IF(N379=30,"+10"," "))))))))))))))))</f>
        <v>+3</v>
      </c>
      <c r="P379" s="3" t="n">
        <v>6</v>
      </c>
      <c r="Q379" s="1" t="str">
        <f aca="false">IF(P379=1,"-5",IF(OR(P379=2,P379=3),"-4",IF(OR(P379=4,P379=5),"-3",IF(OR(P379=6,P379=7),"-2",IF(OR(P379=8,P379=9),"-1",IF(OR(P379=10,P379=11),"0",IF(OR(P379=12,P379=13),"+1",IF(OR(P379=14,P379=15),"+2",IF(OR(P379=16,P379=17),"+3",IF(OR(P379=18,P379=19),"+4",IF(OR(P379=20,P379=21),"+5",IF(OR(P379=22,P379=23),"+6",IF(OR(P379=24,P379=25),"+7",IF(OR(P379=26,P379=27),"+8",IF(OR(P379=28,P379=29),"+9",IF(P379=30,"+10"," "))))))))))))))))</f>
        <v>-2</v>
      </c>
      <c r="R379" s="3" t="n">
        <v>16</v>
      </c>
      <c r="S379" s="1" t="str">
        <f aca="false">IF(R379=1,"-5",IF(OR(R379=2,R379=3),"-4",IF(OR(R379=4,R379=5),"-3",IF(OR(R379=6,R379=7),"-2",IF(OR(R379=8,R379=9),"-1",IF(OR(R379=10,R379=11),"0",IF(OR(R379=12,R379=13),"+1",IF(OR(R379=14,R379=15),"+2",IF(OR(R379=16,R379=17),"+3",IF(OR(R379=18,R379=19),"+4",IF(OR(R379=20,R379=21),"+5",IF(OR(R379=22,R379=23),"+6",IF(OR(R379=24,R379=25),"+7",IF(OR(R379=26,R379=27),"+8",IF(OR(R379=28,R379=29),"+9",IF(R379=30,"+10"," "))))))))))))))))</f>
        <v>+3</v>
      </c>
      <c r="T379" s="3" t="n">
        <v>9</v>
      </c>
      <c r="U379" s="1" t="str">
        <f aca="false">IF(T379=1,"-5",IF(OR(T379=2,T379=3),"-4",IF(OR(T379=4,T379=5),"-3",IF(OR(T379=6,T379=7),"-2",IF(OR(T379=8,T379=9),"-1",IF(OR(T379=10,T379=11),"0",IF(OR(T379=12,T379=13),"+1",IF(OR(T379=14,T379=15),"+2",IF(OR(T379=16,T379=17),"+3",IF(OR(T379=18,T379=19),"+4",IF(OR(T379=20,T379=21),"+5",IF(OR(T379=22,T379=23),"+6",IF(OR(T379=24,T379=25),"+7",IF(OR(T379=26,T379=27),"+8",IF(OR(T379=28,T379=29),"+9",IF(T379=30,"+10"," "))))))))))))))))</f>
        <v>-1</v>
      </c>
      <c r="V379" s="3" t="s">
        <v>1904</v>
      </c>
      <c r="W379" s="3" t="s">
        <v>226</v>
      </c>
      <c r="X379" s="11" t="s">
        <v>1905</v>
      </c>
      <c r="Y379" s="11" t="s">
        <v>1906</v>
      </c>
      <c r="Z379" s="11" t="s">
        <v>37</v>
      </c>
      <c r="AA379" s="12" t="s">
        <v>37</v>
      </c>
      <c r="AB379" s="1"/>
      <c r="AC379" s="1"/>
      <c r="AD379" s="1"/>
      <c r="AE379" s="1"/>
      <c r="AF379" s="1"/>
    </row>
    <row r="380" customFormat="false" ht="16.4" hidden="false" customHeight="false" outlineLevel="0" collapsed="false">
      <c r="A380" s="15" t="s">
        <v>1907</v>
      </c>
      <c r="B380" s="3" t="s">
        <v>158</v>
      </c>
      <c r="C380" s="3" t="s">
        <v>37</v>
      </c>
      <c r="D380" s="16" t="n">
        <v>0.25</v>
      </c>
      <c r="E380" s="3" t="n">
        <f aca="false">VLOOKUP(D380,'[1]REF Tables'!$A$2:$B$40,2)</f>
        <v>50</v>
      </c>
      <c r="F380" s="3" t="s">
        <v>30</v>
      </c>
      <c r="G380" s="3" t="n">
        <v>5</v>
      </c>
      <c r="H380" s="3" t="s">
        <v>1308</v>
      </c>
      <c r="I380" s="3" t="s">
        <v>1908</v>
      </c>
      <c r="J380" s="3" t="n">
        <v>3</v>
      </c>
      <c r="K380" s="1" t="str">
        <f aca="false">IF(J380=1,"-5",IF(OR(J380=2,J380=3),"-4",IF(OR(J380=4,J380=5),"-3",IF(OR(J380=6,J380=7),"-2",IF(OR(J380=8,J380=9),"-1",IF(OR(J380=10,J380=11),"0",IF(OR(J380=12,J380=13),"+1",IF(OR(J380=14,J380=15),"+2",IF(OR(J380=16,J380=17),"+3",IF(OR(J380=18,J380=19),"+4",IF(OR(J380=20,J380=21),"+5",IF(OR(J380=22,J380=23),"+6",IF(OR(J380=24,J380=25),"+7",IF(OR(J380=26,J380=27),"+8",IF(OR(J380=28,J380=29),"+9",IF(J380=30,"+10"," "))))))))))))))))</f>
        <v>-4</v>
      </c>
      <c r="L380" s="3" t="n">
        <v>1</v>
      </c>
      <c r="M380" s="1" t="str">
        <f aca="false">IF(L380=1,"-5",IF(OR(L380=2,L380=3),"-4",IF(OR(L380=4,L380=5),"-3",IF(OR(L380=6,L380=7),"-2",IF(OR(L380=8,L380=9),"-1",IF(OR(L380=10,L380=11),"0",IF(OR(L380=12,L380=13),"+1",IF(OR(L380=14,L380=15),"+2",IF(OR(L380=16,L380=17),"+3",IF(OR(L380=18,L380=19),"+4",IF(OR(L380=20,L380=21),"+5",IF(OR(L380=22,L380=23),"+6",IF(OR(L380=24,L380=25),"+7",IF(OR(L380=26,L380=27),"+8",IF(OR(L380=28,L380=29),"+9",IF(L380=30,"+10"," "))))))))))))))))</f>
        <v>-5</v>
      </c>
      <c r="N380" s="3" t="n">
        <v>10</v>
      </c>
      <c r="O380" s="1" t="str">
        <f aca="false">IF(N380=1,"-5",IF(OR(N380=2,N380=3),"-4",IF(OR(N380=4,N380=5),"-3",IF(OR(N380=6,N380=7),"-2",IF(OR(N380=8,N380=9),"-1",IF(OR(N380=10,N380=11),"0",IF(OR(N380=12,N380=13),"+1",IF(OR(N380=14,N380=15),"+2",IF(OR(N380=16,N380=17),"+3",IF(OR(N380=18,N380=19),"+4",IF(OR(N380=20,N380=21),"+5",IF(OR(N380=22,N380=23),"+6",IF(OR(N380=24,N380=25),"+7",IF(OR(N380=26,N380=27),"+8",IF(OR(N380=28,N380=29),"+9",IF(N380=30,"+10"," "))))))))))))))))</f>
        <v>0</v>
      </c>
      <c r="P380" s="3" t="n">
        <v>1</v>
      </c>
      <c r="Q380" s="1" t="str">
        <f aca="false">IF(P380=1,"-5",IF(OR(P380=2,P380=3),"-4",IF(OR(P380=4,P380=5),"-3",IF(OR(P380=6,P380=7),"-2",IF(OR(P380=8,P380=9),"-1",IF(OR(P380=10,P380=11),"0",IF(OR(P380=12,P380=13),"+1",IF(OR(P380=14,P380=15),"+2",IF(OR(P380=16,P380=17),"+3",IF(OR(P380=18,P380=19),"+4",IF(OR(P380=20,P380=21),"+5",IF(OR(P380=22,P380=23),"+6",IF(OR(P380=24,P380=25),"+7",IF(OR(P380=26,P380=27),"+8",IF(OR(P380=28,P380=29),"+9",IF(P380=30,"+10"," "))))))))))))))))</f>
        <v>-5</v>
      </c>
      <c r="R380" s="3" t="n">
        <v>3</v>
      </c>
      <c r="S380" s="1" t="str">
        <f aca="false">IF(R380=1,"-5",IF(OR(R380=2,R380=3),"-4",IF(OR(R380=4,R380=5),"-3",IF(OR(R380=6,R380=7),"-2",IF(OR(R380=8,R380=9),"-1",IF(OR(R380=10,R380=11),"0",IF(OR(R380=12,R380=13),"+1",IF(OR(R380=14,R380=15),"+2",IF(OR(R380=16,R380=17),"+3",IF(OR(R380=18,R380=19),"+4",IF(OR(R380=20,R380=21),"+5",IF(OR(R380=22,R380=23),"+6",IF(OR(R380=24,R380=25),"+7",IF(OR(R380=26,R380=27),"+8",IF(OR(R380=28,R380=29),"+9",IF(R380=30,"+10"," "))))))))))))))))</f>
        <v>-4</v>
      </c>
      <c r="T380" s="3" t="n">
        <v>1</v>
      </c>
      <c r="U380" s="1" t="str">
        <f aca="false">IF(T380=1,"-5",IF(OR(T380=2,T380=3),"-4",IF(OR(T380=4,T380=5),"-3",IF(OR(T380=6,T380=7),"-2",IF(OR(T380=8,T380=9),"-1",IF(OR(T380=10,T380=11),"0",IF(OR(T380=12,T380=13),"+1",IF(OR(T380=14,T380=15),"+2",IF(OR(T380=16,T380=17),"+3",IF(OR(T380=18,T380=19),"+4",IF(OR(T380=20,T380=21),"+5",IF(OR(T380=22,T380=23),"+6",IF(OR(T380=24,T380=25),"+7",IF(OR(T380=26,T380=27),"+8",IF(OR(T380=28,T380=29),"+9",IF(T380=30,"+10"," "))))))))))))))))</f>
        <v>-5</v>
      </c>
      <c r="V380" s="3" t="s">
        <v>37</v>
      </c>
      <c r="W380" s="3" t="s">
        <v>37</v>
      </c>
      <c r="X380" s="11" t="s">
        <v>1909</v>
      </c>
      <c r="Y380" s="11" t="s">
        <v>1910</v>
      </c>
      <c r="Z380" s="11" t="s">
        <v>37</v>
      </c>
      <c r="AA380" s="12" t="s">
        <v>37</v>
      </c>
    </row>
    <row r="381" customFormat="false" ht="16.4" hidden="false" customHeight="false" outlineLevel="0" collapsed="false">
      <c r="A381" s="7" t="s">
        <v>1911</v>
      </c>
      <c r="B381" s="1" t="s">
        <v>699</v>
      </c>
      <c r="C381" s="1" t="s">
        <v>49</v>
      </c>
      <c r="D381" s="8" t="n">
        <v>21</v>
      </c>
      <c r="E381" s="9" t="n">
        <f aca="false">VLOOKUP(D381,'[1]REF Tables'!$A$2:$B$40,2)</f>
        <v>33000</v>
      </c>
      <c r="F381" s="1" t="s">
        <v>50</v>
      </c>
      <c r="G381" s="10" t="n">
        <v>19</v>
      </c>
      <c r="H381" s="1" t="s">
        <v>1912</v>
      </c>
      <c r="I381" s="1" t="s">
        <v>42</v>
      </c>
      <c r="J381" s="10" t="n">
        <v>26</v>
      </c>
      <c r="K381" s="1" t="str">
        <f aca="false">IF(J381=1,"-5",IF(OR(J381=2,J381=3),"-4",IF(OR(J381=4,J381=5),"-3",IF(OR(J381=6,J381=7),"-2",IF(OR(J381=8,J381=9),"-1",IF(OR(J381=10,J381=11),"0",IF(OR(J381=12,J381=13),"+1",IF(OR(J381=14,J381=15),"+2",IF(OR(J381=16,J381=17),"+3",IF(OR(J381=18,J381=19),"+4",IF(OR(J381=20,J381=21),"+5",IF(OR(J381=22,J381=23),"+6",IF(OR(J381=24,J381=25),"+7",IF(OR(J381=26,J381=27),"+8",IF(OR(J381=28,J381=29),"+9",IF(J381=30,"+10"," "))))))))))))))))</f>
        <v>+8</v>
      </c>
      <c r="L381" s="10" t="n">
        <v>19</v>
      </c>
      <c r="M381" s="1" t="str">
        <f aca="false">IF(L381=1,"-5",IF(OR(L381=2,L381=3),"-4",IF(OR(L381=4,L381=5),"-3",IF(OR(L381=6,L381=7),"-2",IF(OR(L381=8,L381=9),"-1",IF(OR(L381=10,L381=11),"0",IF(OR(L381=12,L381=13),"+1",IF(OR(L381=14,L381=15),"+2",IF(OR(L381=16,L381=17),"+3",IF(OR(L381=18,L381=19),"+4",IF(OR(L381=20,L381=21),"+5",IF(OR(L381=22,L381=23),"+6",IF(OR(L381=24,L381=25),"+7",IF(OR(L381=26,L381=27),"+8",IF(OR(L381=28,L381=29),"+9",IF(L381=30,"+10"," "))))))))))))))))</f>
        <v>+4</v>
      </c>
      <c r="N381" s="10" t="n">
        <v>22</v>
      </c>
      <c r="O381" s="1" t="str">
        <f aca="false">IF(N381=1,"-5",IF(OR(N381=2,N381=3),"-4",IF(OR(N381=4,N381=5),"-3",IF(OR(N381=6,N381=7),"-2",IF(OR(N381=8,N381=9),"-1",IF(OR(N381=10,N381=11),"0",IF(OR(N381=12,N381=13),"+1",IF(OR(N381=14,N381=15),"+2",IF(OR(N381=16,N381=17),"+3",IF(OR(N381=18,N381=19),"+4",IF(OR(N381=20,N381=21),"+5",IF(OR(N381=22,N381=23),"+6",IF(OR(N381=24,N381=25),"+7",IF(OR(N381=26,N381=27),"+8",IF(OR(N381=28,N381=29),"+9",IF(N381=30,"+10"," "))))))))))))))))</f>
        <v>+6</v>
      </c>
      <c r="P381" s="10" t="n">
        <v>21</v>
      </c>
      <c r="Q381" s="1" t="str">
        <f aca="false">IF(P381=1,"-5",IF(OR(P381=2,P381=3),"-4",IF(OR(P381=4,P381=5),"-3",IF(OR(P381=6,P381=7),"-2",IF(OR(P381=8,P381=9),"-1",IF(OR(P381=10,P381=11),"0",IF(OR(P381=12,P381=13),"+1",IF(OR(P381=14,P381=15),"+2",IF(OR(P381=16,P381=17),"+3",IF(OR(P381=18,P381=19),"+4",IF(OR(P381=20,P381=21),"+5",IF(OR(P381=22,P381=23),"+6",IF(OR(P381=24,P381=25),"+7",IF(OR(P381=26,P381=27),"+8",IF(OR(P381=28,P381=29),"+9",IF(P381=30,"+10"," "))))))))))))))))</f>
        <v>+5</v>
      </c>
      <c r="R381" s="10" t="n">
        <v>18</v>
      </c>
      <c r="S381" s="1" t="str">
        <f aca="false">IF(R381=1,"-5",IF(OR(R381=2,R381=3),"-4",IF(OR(R381=4,R381=5),"-3",IF(OR(R381=6,R381=7),"-2",IF(OR(R381=8,R381=9),"-1",IF(OR(R381=10,R381=11),"0",IF(OR(R381=12,R381=13),"+1",IF(OR(R381=14,R381=15),"+2",IF(OR(R381=16,R381=17),"+3",IF(OR(R381=18,R381=19),"+4",IF(OR(R381=20,R381=21),"+5",IF(OR(R381=22,R381=23),"+6",IF(OR(R381=24,R381=25),"+7",IF(OR(R381=26,R381=27),"+8",IF(OR(R381=28,R381=29),"+9",IF(R381=30,"+10"," "))))))))))))))))</f>
        <v>+4</v>
      </c>
      <c r="T381" s="10" t="n">
        <v>23</v>
      </c>
      <c r="U381" s="1" t="str">
        <f aca="false">IF(T381=1,"-5",IF(OR(T381=2,T381=3),"-4",IF(OR(T381=4,T381=5),"-3",IF(OR(T381=6,T381=7),"-2",IF(OR(T381=8,T381=9),"-1",IF(OR(T381=10,T381=11),"0",IF(OR(T381=12,T381=13),"+1",IF(OR(T381=14,T381=15),"+2",IF(OR(T381=16,T381=17),"+3",IF(OR(T381=18,T381=19),"+4",IF(OR(T381=20,T381=21),"+5",IF(OR(T381=22,T381=23),"+6",IF(OR(T381=24,T381=25),"+7",IF(OR(T381=26,T381=27),"+8",IF(OR(T381=28,T381=29),"+9",IF(T381=30,"+10"," "))))))))))))))))</f>
        <v>+6</v>
      </c>
      <c r="V381" s="1" t="s">
        <v>1913</v>
      </c>
      <c r="W381" s="1" t="s">
        <v>174</v>
      </c>
      <c r="X381" s="11" t="s">
        <v>1914</v>
      </c>
      <c r="Y381" s="11" t="s">
        <v>1915</v>
      </c>
      <c r="Z381" s="11" t="s">
        <v>37</v>
      </c>
      <c r="AA381" s="12" t="s">
        <v>1916</v>
      </c>
    </row>
    <row r="382" customFormat="false" ht="16.4" hidden="false" customHeight="false" outlineLevel="0" collapsed="false">
      <c r="A382" s="15" t="s">
        <v>1917</v>
      </c>
      <c r="B382" s="3" t="s">
        <v>59</v>
      </c>
      <c r="C382" s="3" t="s">
        <v>37</v>
      </c>
      <c r="D382" s="16" t="n">
        <v>0.125</v>
      </c>
      <c r="E382" s="3" t="n">
        <f aca="false">VLOOKUP(D382,'[1]REF Tables'!$A$2:$B$40,2)</f>
        <v>25</v>
      </c>
      <c r="F382" s="3" t="s">
        <v>30</v>
      </c>
      <c r="G382" s="3" t="n">
        <v>12</v>
      </c>
      <c r="H382" s="3" t="s">
        <v>1662</v>
      </c>
      <c r="I382" s="3" t="s">
        <v>224</v>
      </c>
      <c r="J382" s="3" t="n">
        <v>13</v>
      </c>
      <c r="K382" s="1" t="str">
        <f aca="false">IF(J382=1,"-5",IF(OR(J382=2,J382=3),"-4",IF(OR(J382=4,J382=5),"-3",IF(OR(J382=6,J382=7),"-2",IF(OR(J382=8,J382=9),"-1",IF(OR(J382=10,J382=11),"0",IF(OR(J382=12,J382=13),"+1",IF(OR(J382=14,J382=15),"+2",IF(OR(J382=16,J382=17),"+3",IF(OR(J382=18,J382=19),"+4",IF(OR(J382=20,J382=21),"+5",IF(OR(J382=22,J382=23),"+6",IF(OR(J382=24,J382=25),"+7",IF(OR(J382=26,J382=27),"+8",IF(OR(J382=28,J382=29),"+9",IF(J382=30,"+10"," "))))))))))))))))</f>
        <v>+1</v>
      </c>
      <c r="L382" s="3" t="n">
        <v>14</v>
      </c>
      <c r="M382" s="1" t="str">
        <f aca="false">IF(L382=1,"-5",IF(OR(L382=2,L382=3),"-4",IF(OR(L382=4,L382=5),"-3",IF(OR(L382=6,L382=7),"-2",IF(OR(L382=8,L382=9),"-1",IF(OR(L382=10,L382=11),"0",IF(OR(L382=12,L382=13),"+1",IF(OR(L382=14,L382=15),"+2",IF(OR(L382=16,L382=17),"+3",IF(OR(L382=18,L382=19),"+4",IF(OR(L382=20,L382=21),"+5",IF(OR(L382=22,L382=23),"+6",IF(OR(L382=24,L382=25),"+7",IF(OR(L382=26,L382=27),"+8",IF(OR(L382=28,L382=29),"+9",IF(L382=30,"+10"," "))))))))))))))))</f>
        <v>+2</v>
      </c>
      <c r="N382" s="3" t="n">
        <v>12</v>
      </c>
      <c r="O382" s="1" t="str">
        <f aca="false">IF(N382=1,"-5",IF(OR(N382=2,N382=3),"-4",IF(OR(N382=4,N382=5),"-3",IF(OR(N382=6,N382=7),"-2",IF(OR(N382=8,N382=9),"-1",IF(OR(N382=10,N382=11),"0",IF(OR(N382=12,N382=13),"+1",IF(OR(N382=14,N382=15),"+2",IF(OR(N382=16,N382=17),"+3",IF(OR(N382=18,N382=19),"+4",IF(OR(N382=20,N382=21),"+5",IF(OR(N382=22,N382=23),"+6",IF(OR(N382=24,N382=25),"+7",IF(OR(N382=26,N382=27),"+8",IF(OR(N382=28,N382=29),"+9",IF(N382=30,"+10"," "))))))))))))))))</f>
        <v>+1</v>
      </c>
      <c r="P382" s="3" t="n">
        <v>3</v>
      </c>
      <c r="Q382" s="1" t="str">
        <f aca="false">IF(P382=1,"-5",IF(OR(P382=2,P382=3),"-4",IF(OR(P382=4,P382=5),"-3",IF(OR(P382=6,P382=7),"-2",IF(OR(P382=8,P382=9),"-1",IF(OR(P382=10,P382=11),"0",IF(OR(P382=12,P382=13),"+1",IF(OR(P382=14,P382=15),"+2",IF(OR(P382=16,P382=17),"+3",IF(OR(P382=18,P382=19),"+4",IF(OR(P382=20,P382=21),"+5",IF(OR(P382=22,P382=23),"+6",IF(OR(P382=24,P382=25),"+7",IF(OR(P382=26,P382=27),"+8",IF(OR(P382=28,P382=29),"+9",IF(P382=30,"+10"," "))))))))))))))))</f>
        <v>-4</v>
      </c>
      <c r="R382" s="3" t="n">
        <v>12</v>
      </c>
      <c r="S382" s="1" t="str">
        <f aca="false">IF(R382=1,"-5",IF(OR(R382=2,R382=3),"-4",IF(OR(R382=4,R382=5),"-3",IF(OR(R382=6,R382=7),"-2",IF(OR(R382=8,R382=9),"-1",IF(OR(R382=10,R382=11),"0",IF(OR(R382=12,R382=13),"+1",IF(OR(R382=14,R382=15),"+2",IF(OR(R382=16,R382=17),"+3",IF(OR(R382=18,R382=19),"+4",IF(OR(R382=20,R382=21),"+5",IF(OR(R382=22,R382=23),"+6",IF(OR(R382=24,R382=25),"+7",IF(OR(R382=26,R382=27),"+8",IF(OR(R382=28,R382=29),"+9",IF(R382=30,"+10"," "))))))))))))))))</f>
        <v>+1</v>
      </c>
      <c r="T382" s="3" t="n">
        <v>7</v>
      </c>
      <c r="U382" s="1" t="str">
        <f aca="false">IF(T382=1,"-5",IF(OR(T382=2,T382=3),"-4",IF(OR(T382=4,T382=5),"-3",IF(OR(T382=6,T382=7),"-2",IF(OR(T382=8,T382=9),"-1",IF(OR(T382=10,T382=11),"0",IF(OR(T382=12,T382=13),"+1",IF(OR(T382=14,T382=15),"+2",IF(OR(T382=16,T382=17),"+3",IF(OR(T382=18,T382=19),"+4",IF(OR(T382=20,T382=21),"+5",IF(OR(T382=22,T382=23),"+6",IF(OR(T382=24,T382=25),"+7",IF(OR(T382=26,T382=27),"+8",IF(OR(T382=28,T382=29),"+9",IF(T382=30,"+10"," "))))))))))))))))</f>
        <v>-2</v>
      </c>
      <c r="V382" s="3" t="s">
        <v>416</v>
      </c>
      <c r="W382" s="3" t="s">
        <v>37</v>
      </c>
      <c r="X382" s="11" t="s">
        <v>1918</v>
      </c>
      <c r="Y382" s="11" t="s">
        <v>1919</v>
      </c>
      <c r="Z382" s="11" t="s">
        <v>37</v>
      </c>
      <c r="AA382" s="12" t="s">
        <v>37</v>
      </c>
    </row>
    <row r="383" customFormat="false" ht="16.4" hidden="false" customHeight="false" outlineLevel="0" collapsed="false">
      <c r="A383" s="15" t="s">
        <v>1920</v>
      </c>
      <c r="B383" s="3" t="s">
        <v>105</v>
      </c>
      <c r="C383" s="3" t="s">
        <v>85</v>
      </c>
      <c r="D383" s="16" t="n">
        <v>2</v>
      </c>
      <c r="E383" s="3" t="n">
        <f aca="false">VLOOKUP(D383,'[1]REF Tables'!$A$2:$B$40,2)</f>
        <v>450</v>
      </c>
      <c r="F383" s="3" t="s">
        <v>30</v>
      </c>
      <c r="G383" s="3" t="n">
        <v>12</v>
      </c>
      <c r="H383" s="3" t="s">
        <v>198</v>
      </c>
      <c r="I383" s="3" t="s">
        <v>224</v>
      </c>
      <c r="J383" s="3" t="n">
        <v>16</v>
      </c>
      <c r="K383" s="1" t="str">
        <f aca="false">IF(J383=1,"-5",IF(OR(J383=2,J383=3),"-4",IF(OR(J383=4,J383=5),"-3",IF(OR(J383=6,J383=7),"-2",IF(OR(J383=8,J383=9),"-1",IF(OR(J383=10,J383=11),"0",IF(OR(J383=12,J383=13),"+1",IF(OR(J383=14,J383=15),"+2",IF(OR(J383=16,J383=17),"+3",IF(OR(J383=18,J383=19),"+4",IF(OR(J383=20,J383=21),"+5",IF(OR(J383=22,J383=23),"+6",IF(OR(J383=24,J383=25),"+7",IF(OR(J383=26,J383=27),"+8",IF(OR(J383=28,J383=29),"+9",IF(J383=30,"+10"," "))))))))))))))))</f>
        <v>+3</v>
      </c>
      <c r="L383" s="3" t="n">
        <v>14</v>
      </c>
      <c r="M383" s="1" t="str">
        <f aca="false">IF(L383=1,"-5",IF(OR(L383=2,L383=3),"-4",IF(OR(L383=4,L383=5),"-3",IF(OR(L383=6,L383=7),"-2",IF(OR(L383=8,L383=9),"-1",IF(OR(L383=10,L383=11),"0",IF(OR(L383=12,L383=13),"+1",IF(OR(L383=14,L383=15),"+2",IF(OR(L383=16,L383=17),"+3",IF(OR(L383=18,L383=19),"+4",IF(OR(L383=20,L383=21),"+5",IF(OR(L383=22,L383=23),"+6",IF(OR(L383=24,L383=25),"+7",IF(OR(L383=26,L383=27),"+8",IF(OR(L383=28,L383=29),"+9",IF(L383=30,"+10"," "))))))))))))))))</f>
        <v>+2</v>
      </c>
      <c r="N383" s="3" t="n">
        <v>13</v>
      </c>
      <c r="O383" s="1" t="str">
        <f aca="false">IF(N383=1,"-5",IF(OR(N383=2,N383=3),"-4",IF(OR(N383=4,N383=5),"-3",IF(OR(N383=6,N383=7),"-2",IF(OR(N383=8,N383=9),"-1",IF(OR(N383=10,N383=11),"0",IF(OR(N383=12,N383=13),"+1",IF(OR(N383=14,N383=15),"+2",IF(OR(N383=16,N383=17),"+3",IF(OR(N383=18,N383=19),"+4",IF(OR(N383=20,N383=21),"+5",IF(OR(N383=22,N383=23),"+6",IF(OR(N383=24,N383=25),"+7",IF(OR(N383=26,N383=27),"+8",IF(OR(N383=28,N383=29),"+9",IF(N383=30,"+10"," "))))))))))))))))</f>
        <v>+1</v>
      </c>
      <c r="P383" s="3" t="n">
        <v>5</v>
      </c>
      <c r="Q383" s="1" t="str">
        <f aca="false">IF(P383=1,"-5",IF(OR(P383=2,P383=3),"-4",IF(OR(P383=4,P383=5),"-3",IF(OR(P383=6,P383=7),"-2",IF(OR(P383=8,P383=9),"-1",IF(OR(P383=10,P383=11),"0",IF(OR(P383=12,P383=13),"+1",IF(OR(P383=14,P383=15),"+2",IF(OR(P383=16,P383=17),"+3",IF(OR(P383=18,P383=19),"+4",IF(OR(P383=20,P383=21),"+5",IF(OR(P383=22,P383=23),"+6",IF(OR(P383=24,P383=25),"+7",IF(OR(P383=26,P383=27),"+8",IF(OR(P383=28,P383=29),"+9",IF(P383=30,"+10"," "))))))))))))))))</f>
        <v>-3</v>
      </c>
      <c r="R383" s="3" t="n">
        <v>12</v>
      </c>
      <c r="S383" s="1" t="str">
        <f aca="false">IF(R383=1,"-5",IF(OR(R383=2,R383=3),"-4",IF(OR(R383=4,R383=5),"-3",IF(OR(R383=6,R383=7),"-2",IF(OR(R383=8,R383=9),"-1",IF(OR(R383=10,R383=11),"0",IF(OR(R383=12,R383=13),"+1",IF(OR(R383=14,R383=15),"+2",IF(OR(R383=16,R383=17),"+3",IF(OR(R383=18,R383=19),"+4",IF(OR(R383=20,R383=21),"+5",IF(OR(R383=22,R383=23),"+6",IF(OR(R383=24,R383=25),"+7",IF(OR(R383=26,R383=27),"+8",IF(OR(R383=28,R383=29),"+9",IF(R383=30,"+10"," "))))))))))))))))</f>
        <v>+1</v>
      </c>
      <c r="T383" s="3" t="n">
        <v>5</v>
      </c>
      <c r="U383" s="1" t="str">
        <f aca="false">IF(T383=1,"-5",IF(OR(T383=2,T383=3),"-4",IF(OR(T383=4,T383=5),"-3",IF(OR(T383=6,T383=7),"-2",IF(OR(T383=8,T383=9),"-1",IF(OR(T383=10,T383=11),"0",IF(OR(T383=12,T383=13),"+1",IF(OR(T383=14,T383=15),"+2",IF(OR(T383=16,T383=17),"+3",IF(OR(T383=18,T383=19),"+4",IF(OR(T383=20,T383=21),"+5",IF(OR(T383=22,T383=23),"+6",IF(OR(T383=24,T383=25),"+7",IF(OR(T383=26,T383=27),"+8",IF(OR(T383=28,T383=29),"+9",IF(T383=30,"+10"," "))))))))))))))))</f>
        <v>-3</v>
      </c>
      <c r="V383" s="3" t="s">
        <v>1921</v>
      </c>
      <c r="W383" s="3" t="s">
        <v>37</v>
      </c>
      <c r="X383" s="11" t="s">
        <v>1922</v>
      </c>
      <c r="Y383" s="11" t="s">
        <v>1923</v>
      </c>
      <c r="Z383" s="11" t="s">
        <v>37</v>
      </c>
      <c r="AA383" s="12" t="s">
        <v>37</v>
      </c>
    </row>
    <row r="384" customFormat="false" ht="16.4" hidden="false" customHeight="false" outlineLevel="0" collapsed="false">
      <c r="A384" s="15" t="s">
        <v>1924</v>
      </c>
      <c r="B384" s="3" t="s">
        <v>77</v>
      </c>
      <c r="C384" s="3" t="s">
        <v>49</v>
      </c>
      <c r="D384" s="16" t="n">
        <v>3</v>
      </c>
      <c r="E384" s="3" t="n">
        <f aca="false">VLOOKUP(D384,'[1]REF Tables'!$A$2:$B$40,2)</f>
        <v>700</v>
      </c>
      <c r="F384" s="3" t="s">
        <v>30</v>
      </c>
      <c r="G384" s="3" t="n">
        <v>11</v>
      </c>
      <c r="H384" s="3" t="s">
        <v>343</v>
      </c>
      <c r="I384" s="3" t="s">
        <v>160</v>
      </c>
      <c r="J384" s="3" t="n">
        <v>16</v>
      </c>
      <c r="K384" s="1" t="str">
        <f aca="false">IF(J384=1,"-5",IF(OR(J384=2,J384=3),"-4",IF(OR(J384=4,J384=5),"-3",IF(OR(J384=6,J384=7),"-2",IF(OR(J384=8,J384=9),"-1",IF(OR(J384=10,J384=11),"0",IF(OR(J384=12,J384=13),"+1",IF(OR(J384=14,J384=15),"+2",IF(OR(J384=16,J384=17),"+3",IF(OR(J384=18,J384=19),"+4",IF(OR(J384=20,J384=21),"+5",IF(OR(J384=22,J384=23),"+6",IF(OR(J384=24,J384=25),"+7",IF(OR(J384=26,J384=27),"+8",IF(OR(J384=28,J384=29),"+9",IF(J384=30,"+10"," "))))))))))))))))</f>
        <v>+3</v>
      </c>
      <c r="L384" s="3" t="n">
        <v>8</v>
      </c>
      <c r="M384" s="1" t="str">
        <f aca="false">IF(L384=1,"-5",IF(OR(L384=2,L384=3),"-4",IF(OR(L384=4,L384=5),"-3",IF(OR(L384=6,L384=7),"-2",IF(OR(L384=8,L384=9),"-1",IF(OR(L384=10,L384=11),"0",IF(OR(L384=12,L384=13),"+1",IF(OR(L384=14,L384=15),"+2",IF(OR(L384=16,L384=17),"+3",IF(OR(L384=18,L384=19),"+4",IF(OR(L384=20,L384=21),"+5",IF(OR(L384=22,L384=23),"+6",IF(OR(L384=24,L384=25),"+7",IF(OR(L384=26,L384=27),"+8",IF(OR(L384=28,L384=29),"+9",IF(L384=30,"+10"," "))))))))))))))))</f>
        <v>-1</v>
      </c>
      <c r="N384" s="3" t="n">
        <v>15</v>
      </c>
      <c r="O384" s="1" t="str">
        <f aca="false">IF(N384=1,"-5",IF(OR(N384=2,N384=3),"-4",IF(OR(N384=4,N384=5),"-3",IF(OR(N384=6,N384=7),"-2",IF(OR(N384=8,N384=9),"-1",IF(OR(N384=10,N384=11),"0",IF(OR(N384=12,N384=13),"+1",IF(OR(N384=14,N384=15),"+2",IF(OR(N384=16,N384=17),"+3",IF(OR(N384=18,N384=19),"+4",IF(OR(N384=20,N384=21),"+5",IF(OR(N384=22,N384=23),"+6",IF(OR(N384=24,N384=25),"+7",IF(OR(N384=26,N384=27),"+8",IF(OR(N384=28,N384=29),"+9",IF(N384=30,"+10"," "))))))))))))))))</f>
        <v>+2</v>
      </c>
      <c r="P384" s="3" t="n">
        <v>6</v>
      </c>
      <c r="Q384" s="1" t="str">
        <f aca="false">IF(P384=1,"-5",IF(OR(P384=2,P384=3),"-4",IF(OR(P384=4,P384=5),"-3",IF(OR(P384=6,P384=7),"-2",IF(OR(P384=8,P384=9),"-1",IF(OR(P384=10,P384=11),"0",IF(OR(P384=12,P384=13),"+1",IF(OR(P384=14,P384=15),"+2",IF(OR(P384=16,P384=17),"+3",IF(OR(P384=18,P384=19),"+4",IF(OR(P384=20,P384=21),"+5",IF(OR(P384=22,P384=23),"+6",IF(OR(P384=24,P384=25),"+7",IF(OR(P384=26,P384=27),"+8",IF(OR(P384=28,P384=29),"+9",IF(P384=30,"+10"," "))))))))))))))))</f>
        <v>-2</v>
      </c>
      <c r="R384" s="3" t="n">
        <v>10</v>
      </c>
      <c r="S384" s="1" t="str">
        <f aca="false">IF(R384=1,"-5",IF(OR(R384=2,R384=3),"-4",IF(OR(R384=4,R384=5),"-3",IF(OR(R384=6,R384=7),"-2",IF(OR(R384=8,R384=9),"-1",IF(OR(R384=10,R384=11),"0",IF(OR(R384=12,R384=13),"+1",IF(OR(R384=14,R384=15),"+2",IF(OR(R384=16,R384=17),"+3",IF(OR(R384=18,R384=19),"+4",IF(OR(R384=20,R384=21),"+5",IF(OR(R384=22,R384=23),"+6",IF(OR(R384=24,R384=25),"+7",IF(OR(R384=26,R384=27),"+8",IF(OR(R384=28,R384=29),"+9",IF(R384=30,"+10"," "))))))))))))))))</f>
        <v>0</v>
      </c>
      <c r="T384" s="3" t="n">
        <v>12</v>
      </c>
      <c r="U384" s="1" t="str">
        <f aca="false">IF(T384=1,"-5",IF(OR(T384=2,T384=3),"-4",IF(OR(T384=4,T384=5),"-3",IF(OR(T384=6,T384=7),"-2",IF(OR(T384=8,T384=9),"-1",IF(OR(T384=10,T384=11),"0",IF(OR(T384=12,T384=13),"+1",IF(OR(T384=14,T384=15),"+2",IF(OR(T384=16,T384=17),"+3",IF(OR(T384=18,T384=19),"+4",IF(OR(T384=20,T384=21),"+5",IF(OR(T384=22,T384=23),"+6",IF(OR(T384=24,T384=25),"+7",IF(OR(T384=26,T384=27),"+8",IF(OR(T384=28,T384=29),"+9",IF(T384=30,"+10"," "))))))))))))))))</f>
        <v>+1</v>
      </c>
      <c r="V384" s="3" t="s">
        <v>1925</v>
      </c>
      <c r="W384" s="3" t="s">
        <v>1130</v>
      </c>
      <c r="X384" s="11" t="s">
        <v>1926</v>
      </c>
      <c r="Y384" s="11" t="s">
        <v>1927</v>
      </c>
      <c r="Z384" s="11" t="s">
        <v>37</v>
      </c>
      <c r="AA384" s="12" t="s">
        <v>37</v>
      </c>
    </row>
    <row r="385" customFormat="false" ht="16.4" hidden="false" customHeight="false" outlineLevel="0" collapsed="false">
      <c r="A385" s="15" t="s">
        <v>1928</v>
      </c>
      <c r="B385" s="3" t="s">
        <v>197</v>
      </c>
      <c r="C385" s="3" t="s">
        <v>106</v>
      </c>
      <c r="D385" s="16" t="n">
        <v>0.125</v>
      </c>
      <c r="E385" s="3" t="n">
        <f aca="false">VLOOKUP(D385,'[1]REF Tables'!$A$2:$B$40,2)</f>
        <v>25</v>
      </c>
      <c r="F385" s="3" t="s">
        <v>30</v>
      </c>
      <c r="G385" s="3" t="n">
        <v>15</v>
      </c>
      <c r="H385" s="3" t="s">
        <v>1662</v>
      </c>
      <c r="I385" s="3" t="s">
        <v>665</v>
      </c>
      <c r="J385" s="3" t="n">
        <v>10</v>
      </c>
      <c r="K385" s="1" t="str">
        <f aca="false">IF(J385=1,"-5",IF(OR(J385=2,J385=3),"-4",IF(OR(J385=4,J385=5),"-3",IF(OR(J385=6,J385=7),"-2",IF(OR(J385=8,J385=9),"-1",IF(OR(J385=10,J385=11),"0",IF(OR(J385=12,J385=13),"+1",IF(OR(J385=14,J385=15),"+2",IF(OR(J385=16,J385=17),"+3",IF(OR(J385=18,J385=19),"+4",IF(OR(J385=20,J385=21),"+5",IF(OR(J385=22,J385=23),"+6",IF(OR(J385=24,J385=25),"+7",IF(OR(J385=26,J385=27),"+8",IF(OR(J385=28,J385=29),"+9",IF(J385=30,"+10"," "))))))))))))))))</f>
        <v>0</v>
      </c>
      <c r="L385" s="3" t="n">
        <v>13</v>
      </c>
      <c r="M385" s="1" t="str">
        <f aca="false">IF(L385=1,"-5",IF(OR(L385=2,L385=3),"-4",IF(OR(L385=4,L385=5),"-3",IF(OR(L385=6,L385=7),"-2",IF(OR(L385=8,L385=9),"-1",IF(OR(L385=10,L385=11),"0",IF(OR(L385=12,L385=13),"+1",IF(OR(L385=14,L385=15),"+2",IF(OR(L385=16,L385=17),"+3",IF(OR(L385=18,L385=19),"+4",IF(OR(L385=20,L385=21),"+5",IF(OR(L385=22,L385=23),"+6",IF(OR(L385=24,L385=25),"+7",IF(OR(L385=26,L385=27),"+8",IF(OR(L385=28,L385=29),"+9",IF(L385=30,"+10"," "))))))))))))))))</f>
        <v>+1</v>
      </c>
      <c r="N385" s="3" t="n">
        <v>12</v>
      </c>
      <c r="O385" s="1" t="str">
        <f aca="false">IF(N385=1,"-5",IF(OR(N385=2,N385=3),"-4",IF(OR(N385=4,N385=5),"-3",IF(OR(N385=6,N385=7),"-2",IF(OR(N385=8,N385=9),"-1",IF(OR(N385=10,N385=11),"0",IF(OR(N385=12,N385=13),"+1",IF(OR(N385=14,N385=15),"+2",IF(OR(N385=16,N385=17),"+3",IF(OR(N385=18,N385=19),"+4",IF(OR(N385=20,N385=21),"+5",IF(OR(N385=22,N385=23),"+6",IF(OR(N385=24,N385=25),"+7",IF(OR(N385=26,N385=27),"+8",IF(OR(N385=28,N385=29),"+9",IF(N385=30,"+10"," "))))))))))))))))</f>
        <v>+1</v>
      </c>
      <c r="P385" s="3" t="n">
        <v>4</v>
      </c>
      <c r="Q385" s="1" t="str">
        <f aca="false">IF(P385=1,"-5",IF(OR(P385=2,P385=3),"-4",IF(OR(P385=4,P385=5),"-3",IF(OR(P385=6,P385=7),"-2",IF(OR(P385=8,P385=9),"-1",IF(OR(P385=10,P385=11),"0",IF(OR(P385=12,P385=13),"+1",IF(OR(P385=14,P385=15),"+2",IF(OR(P385=16,P385=17),"+3",IF(OR(P385=18,P385=19),"+4",IF(OR(P385=20,P385=21),"+5",IF(OR(P385=22,P385=23),"+6",IF(OR(P385=24,P385=25),"+7",IF(OR(P385=26,P385=27),"+8",IF(OR(P385=28,P385=29),"+9",IF(P385=30,"+10"," "))))))))))))))))</f>
        <v>-3</v>
      </c>
      <c r="R385" s="3" t="n">
        <v>10</v>
      </c>
      <c r="S385" s="1" t="str">
        <f aca="false">IF(R385=1,"-5",IF(OR(R385=2,R385=3),"-4",IF(OR(R385=4,R385=5),"-3",IF(OR(R385=6,R385=7),"-2",IF(OR(R385=8,R385=9),"-1",IF(OR(R385=10,R385=11),"0",IF(OR(R385=12,R385=13),"+1",IF(OR(R385=14,R385=15),"+2",IF(OR(R385=16,R385=17),"+3",IF(OR(R385=18,R385=19),"+4",IF(OR(R385=20,R385=21),"+5",IF(OR(R385=22,R385=23),"+6",IF(OR(R385=24,R385=25),"+7",IF(OR(R385=26,R385=27),"+8",IF(OR(R385=28,R385=29),"+9",IF(R385=30,"+10"," "))))))))))))))))</f>
        <v>0</v>
      </c>
      <c r="T385" s="3" t="n">
        <v>5</v>
      </c>
      <c r="U385" s="1" t="str">
        <f aca="false">IF(T385=1,"-5",IF(OR(T385=2,T385=3),"-4",IF(OR(T385=4,T385=5),"-3",IF(OR(T385=6,T385=7),"-2",IF(OR(T385=8,T385=9),"-1",IF(OR(T385=10,T385=11),"0",IF(OR(T385=12,T385=13),"+1",IF(OR(T385=14,T385=15),"+2",IF(OR(T385=16,T385=17),"+3",IF(OR(T385=18,T385=19),"+4",IF(OR(T385=20,T385=21),"+5",IF(OR(T385=22,T385=23),"+6",IF(OR(T385=24,T385=25),"+7",IF(OR(T385=26,T385=27),"+8",IF(OR(T385=28,T385=29),"+9",IF(T385=30,"+10"," "))))))))))))))))</f>
        <v>-3</v>
      </c>
      <c r="V385" s="3" t="s">
        <v>37</v>
      </c>
      <c r="W385" s="3" t="s">
        <v>1929</v>
      </c>
      <c r="X385" s="11" t="s">
        <v>1930</v>
      </c>
      <c r="Y385" s="11" t="s">
        <v>1931</v>
      </c>
      <c r="Z385" s="11" t="s">
        <v>37</v>
      </c>
      <c r="AA385" s="12" t="s">
        <v>37</v>
      </c>
    </row>
    <row r="386" customFormat="false" ht="16.4" hidden="false" customHeight="false" outlineLevel="0" collapsed="false">
      <c r="A386" s="15" t="s">
        <v>1932</v>
      </c>
      <c r="B386" s="3" t="s">
        <v>48</v>
      </c>
      <c r="C386" s="3" t="s">
        <v>222</v>
      </c>
      <c r="D386" s="16" t="n">
        <v>11</v>
      </c>
      <c r="E386" s="6" t="n">
        <f aca="false">VLOOKUP(D386,'[1]REF Tables'!$A$2:$B$40,2)</f>
        <v>7200</v>
      </c>
      <c r="F386" s="3" t="s">
        <v>30</v>
      </c>
      <c r="G386" s="3" t="n">
        <v>17</v>
      </c>
      <c r="H386" s="3" t="s">
        <v>1933</v>
      </c>
      <c r="I386" s="3" t="s">
        <v>1934</v>
      </c>
      <c r="J386" s="3" t="n">
        <v>14</v>
      </c>
      <c r="K386" s="1" t="str">
        <f aca="false">IF(J386=1,"-5",IF(OR(J386=2,J386=3),"-4",IF(OR(J386=4,J386=5),"-3",IF(OR(J386=6,J386=7),"-2",IF(OR(J386=8,J386=9),"-1",IF(OR(J386=10,J386=11),"0",IF(OR(J386=12,J386=13),"+1",IF(OR(J386=14,J386=15),"+2",IF(OR(J386=16,J386=17),"+3",IF(OR(J386=18,J386=19),"+4",IF(OR(J386=20,J386=21),"+5",IF(OR(J386=22,J386=23),"+6",IF(OR(J386=24,J386=25),"+7",IF(OR(J386=26,J386=27),"+8",IF(OR(J386=28,J386=29),"+9",IF(J386=30,"+10"," "))))))))))))))))</f>
        <v>+2</v>
      </c>
      <c r="L386" s="3" t="n">
        <v>14</v>
      </c>
      <c r="M386" s="1" t="str">
        <f aca="false">IF(L386=1,"-5",IF(OR(L386=2,L386=3),"-4",IF(OR(L386=4,L386=5),"-3",IF(OR(L386=6,L386=7),"-2",IF(OR(L386=8,L386=9),"-1",IF(OR(L386=10,L386=11),"0",IF(OR(L386=12,L386=13),"+1",IF(OR(L386=14,L386=15),"+2",IF(OR(L386=16,L386=17),"+3",IF(OR(L386=18,L386=19),"+4",IF(OR(L386=20,L386=21),"+5",IF(OR(L386=22,L386=23),"+6",IF(OR(L386=24,L386=25),"+7",IF(OR(L386=26,L386=27),"+8",IF(OR(L386=28,L386=29),"+9",IF(L386=30,"+10"," "))))))))))))))))</f>
        <v>+2</v>
      </c>
      <c r="N386" s="3" t="n">
        <v>14</v>
      </c>
      <c r="O386" s="1" t="str">
        <f aca="false">IF(N386=1,"-5",IF(OR(N386=2,N386=3),"-4",IF(OR(N386=4,N386=5),"-3",IF(OR(N386=6,N386=7),"-2",IF(OR(N386=8,N386=9),"-1",IF(OR(N386=10,N386=11),"0",IF(OR(N386=12,N386=13),"+1",IF(OR(N386=14,N386=15),"+2",IF(OR(N386=16,N386=17),"+3",IF(OR(N386=18,N386=19),"+4",IF(OR(N386=20,N386=21),"+5",IF(OR(N386=22,N386=23),"+6",IF(OR(N386=24,N386=25),"+7",IF(OR(N386=26,N386=27),"+8",IF(OR(N386=28,N386=29),"+9",IF(N386=30,"+10"," "))))))))))))))))</f>
        <v>+2</v>
      </c>
      <c r="P386" s="3" t="n">
        <v>20</v>
      </c>
      <c r="Q386" s="1" t="str">
        <f aca="false">IF(P386=1,"-5",IF(OR(P386=2,P386=3),"-4",IF(OR(P386=4,P386=5),"-3",IF(OR(P386=6,P386=7),"-2",IF(OR(P386=8,P386=9),"-1",IF(OR(P386=10,P386=11),"0",IF(OR(P386=12,P386=13),"+1",IF(OR(P386=14,P386=15),"+2",IF(OR(P386=16,P386=17),"+3",IF(OR(P386=18,P386=19),"+4",IF(OR(P386=20,P386=21),"+5",IF(OR(P386=22,P386=23),"+6",IF(OR(P386=24,P386=25),"+7",IF(OR(P386=26,P386=27),"+8",IF(OR(P386=28,P386=29),"+9",IF(P386=30,"+10"," "))))))))))))))))</f>
        <v>+5</v>
      </c>
      <c r="R386" s="3" t="n">
        <v>15</v>
      </c>
      <c r="S386" s="1" t="str">
        <f aca="false">IF(R386=1,"-5",IF(OR(R386=2,R386=3),"-4",IF(OR(R386=4,R386=5),"-3",IF(OR(R386=6,R386=7),"-2",IF(OR(R386=8,R386=9),"-1",IF(OR(R386=10,R386=11),"0",IF(OR(R386=12,R386=13),"+1",IF(OR(R386=14,R386=15),"+2",IF(OR(R386=16,R386=17),"+3",IF(OR(R386=18,R386=19),"+4",IF(OR(R386=20,R386=21),"+5",IF(OR(R386=22,R386=23),"+6",IF(OR(R386=24,R386=25),"+7",IF(OR(R386=26,R386=27),"+8",IF(OR(R386=28,R386=29),"+9",IF(R386=30,"+10"," "))))))))))))))))</f>
        <v>+2</v>
      </c>
      <c r="T386" s="3" t="n">
        <v>13</v>
      </c>
      <c r="U386" s="1" t="str">
        <f aca="false">IF(T386=1,"-5",IF(OR(T386=2,T386=3),"-4",IF(OR(T386=4,T386=5),"-3",IF(OR(T386=6,T386=7),"-2",IF(OR(T386=8,T386=9),"-1",IF(OR(T386=10,T386=11),"0",IF(OR(T386=12,T386=13),"+1",IF(OR(T386=14,T386=15),"+2",IF(OR(T386=16,T386=17),"+3",IF(OR(T386=18,T386=19),"+4",IF(OR(T386=20,T386=21),"+5",IF(OR(T386=22,T386=23),"+6",IF(OR(T386=24,T386=25),"+7",IF(OR(T386=26,T386=27),"+8",IF(OR(T386=28,T386=29),"+9",IF(T386=30,"+10"," "))))))))))))))))</f>
        <v>+1</v>
      </c>
      <c r="V386" s="3" t="s">
        <v>1935</v>
      </c>
      <c r="W386" s="3" t="s">
        <v>1936</v>
      </c>
      <c r="X386" s="11" t="s">
        <v>1937</v>
      </c>
      <c r="Y386" s="11" t="s">
        <v>1938</v>
      </c>
      <c r="Z386" s="11" t="s">
        <v>1939</v>
      </c>
      <c r="AA386" s="12" t="s">
        <v>37</v>
      </c>
    </row>
    <row r="387" customFormat="false" ht="16.4" hidden="false" customHeight="false" outlineLevel="0" collapsed="false">
      <c r="A387" s="1" t="s">
        <v>1940</v>
      </c>
      <c r="B387" s="1" t="s">
        <v>77</v>
      </c>
      <c r="C387" s="1" t="s">
        <v>85</v>
      </c>
      <c r="D387" s="5" t="n">
        <v>3</v>
      </c>
      <c r="E387" s="3" t="n">
        <f aca="false">VLOOKUP(D387,'[1]REF Tables'!$A$2:$B$40,2)</f>
        <v>700</v>
      </c>
      <c r="F387" s="1" t="s">
        <v>30</v>
      </c>
      <c r="G387" s="1" t="n">
        <v>13</v>
      </c>
      <c r="H387" s="1" t="s">
        <v>866</v>
      </c>
      <c r="I387" s="3" t="s">
        <v>1941</v>
      </c>
      <c r="J387" s="1" t="n">
        <v>6</v>
      </c>
      <c r="K387" s="1" t="str">
        <f aca="false">IF(J387=1,"-5",IF(OR(J387=2,J387=3),"-4",IF(OR(J387=4,J387=5),"-3",IF(OR(J387=6,J387=7),"-2",IF(OR(J387=8,J387=9),"-1",IF(OR(J387=10,J387=11),"0",IF(OR(J387=12,J387=13),"+1",IF(OR(J387=14,J387=15),"+2",IF(OR(J387=16,J387=17),"+3",IF(OR(J387=18,J387=19),"+4",IF(OR(J387=20,J387=21),"+5",IF(OR(J387=22,J387=23),"+6",IF(OR(J387=24,J387=25),"+7",IF(OR(J387=26,J387=27),"+8",IF(OR(J387=28,J387=29),"+9",IF(J387=30,"+10"," "))))))))))))))))</f>
        <v>-2</v>
      </c>
      <c r="L387" s="1" t="n">
        <v>16</v>
      </c>
      <c r="M387" s="1" t="str">
        <f aca="false">IF(L387=1,"-5",IF(OR(L387=2,L387=3),"-4",IF(OR(L387=4,L387=5),"-3",IF(OR(L387=6,L387=7),"-2",IF(OR(L387=8,L387=9),"-1",IF(OR(L387=10,L387=11),"0",IF(OR(L387=12,L387=13),"+1",IF(OR(L387=14,L387=15),"+2",IF(OR(L387=16,L387=17),"+3",IF(OR(L387=18,L387=19),"+4",IF(OR(L387=20,L387=21),"+5",IF(OR(L387=22,L387=23),"+6",IF(OR(L387=24,L387=25),"+7",IF(OR(L387=26,L387=27),"+8",IF(OR(L387=28,L387=29),"+9",IF(L387=30,"+10"," "))))))))))))))))</f>
        <v>+3</v>
      </c>
      <c r="N387" s="1" t="n">
        <v>16</v>
      </c>
      <c r="O387" s="1" t="str">
        <f aca="false">IF(N387=1,"-5",IF(OR(N387=2,N387=3),"-4",IF(OR(N387=4,N387=5),"-3",IF(OR(N387=6,N387=7),"-2",IF(OR(N387=8,N387=9),"-1",IF(OR(N387=10,N387=11),"0",IF(OR(N387=12,N387=13),"+1",IF(OR(N387=14,N387=15),"+2",IF(OR(N387=16,N387=17),"+3",IF(OR(N387=18,N387=19),"+4",IF(OR(N387=20,N387=21),"+5",IF(OR(N387=22,N387=23),"+6",IF(OR(N387=24,N387=25),"+7",IF(OR(N387=26,N387=27),"+8",IF(OR(N387=28,N387=29),"+9",IF(N387=30,"+10"," "))))))))))))))))</f>
        <v>+3</v>
      </c>
      <c r="P387" s="1" t="n">
        <v>12</v>
      </c>
      <c r="Q387" s="1" t="str">
        <f aca="false">IF(P387=1,"-5",IF(OR(P387=2,P387=3),"-4",IF(OR(P387=4,P387=5),"-3",IF(OR(P387=6,P387=7),"-2",IF(OR(P387=8,P387=9),"-1",IF(OR(P387=10,P387=11),"0",IF(OR(P387=12,P387=13),"+1",IF(OR(P387=14,P387=15),"+2",IF(OR(P387=16,P387=17),"+3",IF(OR(P387=18,P387=19),"+4",IF(OR(P387=20,P387=21),"+5",IF(OR(P387=22,P387=23),"+6",IF(OR(P387=24,P387=25),"+7",IF(OR(P387=26,P387=27),"+8",IF(OR(P387=28,P387=29),"+9",IF(P387=30,"+10"," "))))))))))))))))</f>
        <v>+1</v>
      </c>
      <c r="R387" s="1" t="n">
        <v>14</v>
      </c>
      <c r="S387" s="1" t="str">
        <f aca="false">IF(R387=1,"-5",IF(OR(R387=2,R387=3),"-4",IF(OR(R387=4,R387=5),"-3",IF(OR(R387=6,R387=7),"-2",IF(OR(R387=8,R387=9),"-1",IF(OR(R387=10,R387=11),"0",IF(OR(R387=12,R387=13),"+1",IF(OR(R387=14,R387=15),"+2",IF(OR(R387=16,R387=17),"+3",IF(OR(R387=18,R387=19),"+4",IF(OR(R387=20,R387=21),"+5",IF(OR(R387=22,R387=23),"+6",IF(OR(R387=24,R387=25),"+7",IF(OR(R387=26,R387=27),"+8",IF(OR(R387=28,R387=29),"+9",IF(R387=30,"+10"," "))))))))))))))))</f>
        <v>+2</v>
      </c>
      <c r="T387" s="1" t="n">
        <v>15</v>
      </c>
      <c r="U387" s="1" t="str">
        <f aca="false">IF(T387=1,"-5",IF(OR(T387=2,T387=3),"-4",IF(OR(T387=4,T387=5),"-3",IF(OR(T387=6,T387=7),"-2",IF(OR(T387=8,T387=9),"-1",IF(OR(T387=10,T387=11),"0",IF(OR(T387=12,T387=13),"+1",IF(OR(T387=14,T387=15),"+2",IF(OR(T387=16,T387=17),"+3",IF(OR(T387=18,T387=19),"+4",IF(OR(T387=20,T387=21),"+5",IF(OR(T387=22,T387=23),"+6",IF(OR(T387=24,T387=25),"+7",IF(OR(T387=26,T387=27),"+8",IF(OR(T387=28,T387=29),"+9",IF(T387=30,"+10"," "))))))))))))))))</f>
        <v>+2</v>
      </c>
      <c r="V387" s="1" t="s">
        <v>37</v>
      </c>
      <c r="W387" s="1" t="s">
        <v>1942</v>
      </c>
      <c r="X387" s="2" t="s">
        <v>1943</v>
      </c>
      <c r="Y387" s="2" t="s">
        <v>1944</v>
      </c>
      <c r="Z387" s="2" t="s">
        <v>37</v>
      </c>
      <c r="AA387" s="1" t="s">
        <v>37</v>
      </c>
    </row>
    <row r="388" customFormat="false" ht="16.4" hidden="false" customHeight="false" outlineLevel="0" collapsed="false">
      <c r="A388" s="15" t="s">
        <v>1945</v>
      </c>
      <c r="B388" s="3" t="s">
        <v>59</v>
      </c>
      <c r="C388" s="3" t="s">
        <v>37</v>
      </c>
      <c r="D388" s="16" t="n">
        <v>0.125</v>
      </c>
      <c r="E388" s="3" t="n">
        <f aca="false">VLOOKUP(D388,'[1]REF Tables'!$A$2:$B$40,2)</f>
        <v>25</v>
      </c>
      <c r="F388" s="3" t="s">
        <v>30</v>
      </c>
      <c r="G388" s="3" t="n">
        <v>10</v>
      </c>
      <c r="H388" s="3" t="s">
        <v>152</v>
      </c>
      <c r="I388" s="3" t="s">
        <v>224</v>
      </c>
      <c r="J388" s="3" t="n">
        <v>14</v>
      </c>
      <c r="K388" s="1" t="str">
        <f aca="false">IF(J388=1,"-5",IF(OR(J388=2,J388=3),"-4",IF(OR(J388=4,J388=5),"-3",IF(OR(J388=6,J388=7),"-2",IF(OR(J388=8,J388=9),"-1",IF(OR(J388=10,J388=11),"0",IF(OR(J388=12,J388=13),"+1",IF(OR(J388=14,J388=15),"+2",IF(OR(J388=16,J388=17),"+3",IF(OR(J388=18,J388=19),"+4",IF(OR(J388=20,J388=21),"+5",IF(OR(J388=22,J388=23),"+6",IF(OR(J388=24,J388=25),"+7",IF(OR(J388=26,J388=27),"+8",IF(OR(J388=28,J388=29),"+9",IF(J388=30,"+10"," "))))))))))))))))</f>
        <v>+2</v>
      </c>
      <c r="L388" s="3" t="n">
        <v>10</v>
      </c>
      <c r="M388" s="1" t="str">
        <f aca="false">IF(L388=1,"-5",IF(OR(L388=2,L388=3),"-4",IF(OR(L388=4,L388=5),"-3",IF(OR(L388=6,L388=7),"-2",IF(OR(L388=8,L388=9),"-1",IF(OR(L388=10,L388=11),"0",IF(OR(L388=12,L388=13),"+1",IF(OR(L388=14,L388=15),"+2",IF(OR(L388=16,L388=17),"+3",IF(OR(L388=18,L388=19),"+4",IF(OR(L388=20,L388=21),"+5",IF(OR(L388=22,L388=23),"+6",IF(OR(L388=24,L388=25),"+7",IF(OR(L388=26,L388=27),"+8",IF(OR(L388=28,L388=29),"+9",IF(L388=30,"+10"," "))))))))))))))))</f>
        <v>0</v>
      </c>
      <c r="N388" s="3" t="n">
        <v>13</v>
      </c>
      <c r="O388" s="1" t="str">
        <f aca="false">IF(N388=1,"-5",IF(OR(N388=2,N388=3),"-4",IF(OR(N388=4,N388=5),"-3",IF(OR(N388=6,N388=7),"-2",IF(OR(N388=8,N388=9),"-1",IF(OR(N388=10,N388=11),"0",IF(OR(N388=12,N388=13),"+1",IF(OR(N388=14,N388=15),"+2",IF(OR(N388=16,N388=17),"+3",IF(OR(N388=18,N388=19),"+4",IF(OR(N388=20,N388=21),"+5",IF(OR(N388=22,N388=23),"+6",IF(OR(N388=24,N388=25),"+7",IF(OR(N388=26,N388=27),"+8",IF(OR(N388=28,N388=29),"+9",IF(N388=30,"+10"," "))))))))))))))))</f>
        <v>+1</v>
      </c>
      <c r="P388" s="3" t="n">
        <v>2</v>
      </c>
      <c r="Q388" s="1" t="str">
        <f aca="false">IF(P388=1,"-5",IF(OR(P388=2,P388=3),"-4",IF(OR(P388=4,P388=5),"-3",IF(OR(P388=6,P388=7),"-2",IF(OR(P388=8,P388=9),"-1",IF(OR(P388=10,P388=11),"0",IF(OR(P388=12,P388=13),"+1",IF(OR(P388=14,P388=15),"+2",IF(OR(P388=16,P388=17),"+3",IF(OR(P388=18,P388=19),"+4",IF(OR(P388=20,P388=21),"+5",IF(OR(P388=22,P388=23),"+6",IF(OR(P388=24,P388=25),"+7",IF(OR(P388=26,P388=27),"+8",IF(OR(P388=28,P388=29),"+9",IF(P388=30,"+10"," "))))))))))))))))</f>
        <v>-4</v>
      </c>
      <c r="R388" s="3" t="n">
        <v>10</v>
      </c>
      <c r="S388" s="1" t="str">
        <f aca="false">IF(R388=1,"-5",IF(OR(R388=2,R388=3),"-4",IF(OR(R388=4,R388=5),"-3",IF(OR(R388=6,R388=7),"-2",IF(OR(R388=8,R388=9),"-1",IF(OR(R388=10,R388=11),"0",IF(OR(R388=12,R388=13),"+1",IF(OR(R388=14,R388=15),"+2",IF(OR(R388=16,R388=17),"+3",IF(OR(R388=18,R388=19),"+4",IF(OR(R388=20,R388=21),"+5",IF(OR(R388=22,R388=23),"+6",IF(OR(R388=24,R388=25),"+7",IF(OR(R388=26,R388=27),"+8",IF(OR(R388=28,R388=29),"+9",IF(R388=30,"+10"," "))))))))))))))))</f>
        <v>0</v>
      </c>
      <c r="T388" s="3" t="n">
        <v>5</v>
      </c>
      <c r="U388" s="1" t="str">
        <f aca="false">IF(T388=1,"-5",IF(OR(T388=2,T388=3),"-4",IF(OR(T388=4,T388=5),"-3",IF(OR(T388=6,T388=7),"-2",IF(OR(T388=8,T388=9),"-1",IF(OR(T388=10,T388=11),"0",IF(OR(T388=12,T388=13),"+1",IF(OR(T388=14,T388=15),"+2",IF(OR(T388=16,T388=17),"+3",IF(OR(T388=18,T388=19),"+4",IF(OR(T388=20,T388=21),"+5",IF(OR(T388=22,T388=23),"+6",IF(OR(T388=24,T388=25),"+7",IF(OR(T388=26,T388=27),"+8",IF(OR(T388=28,T388=29),"+9",IF(T388=30,"+10"," "))))))))))))))))</f>
        <v>-3</v>
      </c>
      <c r="V388" s="3" t="s">
        <v>37</v>
      </c>
      <c r="W388" s="3" t="s">
        <v>37</v>
      </c>
      <c r="X388" s="11" t="s">
        <v>1946</v>
      </c>
      <c r="Y388" s="11" t="s">
        <v>1947</v>
      </c>
      <c r="Z388" s="11" t="s">
        <v>37</v>
      </c>
      <c r="AA388" s="12" t="s">
        <v>37</v>
      </c>
    </row>
    <row r="389" customFormat="false" ht="16.4" hidden="false" customHeight="false" outlineLevel="0" collapsed="false">
      <c r="A389" s="15" t="s">
        <v>1948</v>
      </c>
      <c r="B389" s="3" t="s">
        <v>158</v>
      </c>
      <c r="C389" s="3" t="s">
        <v>106</v>
      </c>
      <c r="D389" s="16" t="n">
        <v>0.5</v>
      </c>
      <c r="E389" s="3" t="n">
        <f aca="false">VLOOKUP(D389,'[1]REF Tables'!$A$2:$B$40,2)</f>
        <v>100</v>
      </c>
      <c r="F389" s="3" t="s">
        <v>30</v>
      </c>
      <c r="G389" s="3" t="n">
        <v>12</v>
      </c>
      <c r="H389" s="3" t="s">
        <v>503</v>
      </c>
      <c r="I389" s="3" t="s">
        <v>160</v>
      </c>
      <c r="J389" s="3" t="n">
        <v>10</v>
      </c>
      <c r="K389" s="1" t="str">
        <f aca="false">IF(J389=1,"-5",IF(OR(J389=2,J389=3),"-4",IF(OR(J389=4,J389=5),"-3",IF(OR(J389=6,J389=7),"-2",IF(OR(J389=8,J389=9),"-1",IF(OR(J389=10,J389=11),"0",IF(OR(J389=12,J389=13),"+1",IF(OR(J389=14,J389=15),"+2",IF(OR(J389=16,J389=17),"+3",IF(OR(J389=18,J389=19),"+4",IF(OR(J389=20,J389=21),"+5",IF(OR(J389=22,J389=23),"+6",IF(OR(J389=24,J389=25),"+7",IF(OR(J389=26,J389=27),"+8",IF(OR(J389=28,J389=29),"+9",IF(J389=30,"+10"," "))))))))))))))))</f>
        <v>0</v>
      </c>
      <c r="L389" s="3" t="n">
        <v>10</v>
      </c>
      <c r="M389" s="1" t="str">
        <f aca="false">IF(L389=1,"-5",IF(OR(L389=2,L389=3),"-4",IF(OR(L389=4,L389=5),"-3",IF(OR(L389=6,L389=7),"-2",IF(OR(L389=8,L389=9),"-1",IF(OR(L389=10,L389=11),"0",IF(OR(L389=12,L389=13),"+1",IF(OR(L389=14,L389=15),"+2",IF(OR(L389=16,L389=17),"+3",IF(OR(L389=18,L389=19),"+4",IF(OR(L389=20,L389=21),"+5",IF(OR(L389=22,L389=23),"+6",IF(OR(L389=24,L389=25),"+7",IF(OR(L389=26,L389=27),"+8",IF(OR(L389=28,L389=29),"+9",IF(L389=30,"+10"," "))))))))))))))))</f>
        <v>0</v>
      </c>
      <c r="N389" s="3" t="n">
        <v>12</v>
      </c>
      <c r="O389" s="1" t="str">
        <f aca="false">IF(N389=1,"-5",IF(OR(N389=2,N389=3),"-4",IF(OR(N389=4,N389=5),"-3",IF(OR(N389=6,N389=7),"-2",IF(OR(N389=8,N389=9),"-1",IF(OR(N389=10,N389=11),"0",IF(OR(N389=12,N389=13),"+1",IF(OR(N389=14,N389=15),"+2",IF(OR(N389=16,N389=17),"+3",IF(OR(N389=18,N389=19),"+4",IF(OR(N389=20,N389=21),"+5",IF(OR(N389=22,N389=23),"+6",IF(OR(N389=24,N389=25),"+7",IF(OR(N389=26,N389=27),"+8",IF(OR(N389=28,N389=29),"+9",IF(N389=30,"+10"," "))))))))))))))))</f>
        <v>+1</v>
      </c>
      <c r="P389" s="3" t="n">
        <v>10</v>
      </c>
      <c r="Q389" s="1" t="str">
        <f aca="false">IF(P389=1,"-5",IF(OR(P389=2,P389=3),"-4",IF(OR(P389=4,P389=5),"-3",IF(OR(P389=6,P389=7),"-2",IF(OR(P389=8,P389=9),"-1",IF(OR(P389=10,P389=11),"0",IF(OR(P389=12,P389=13),"+1",IF(OR(P389=14,P389=15),"+2",IF(OR(P389=16,P389=17),"+3",IF(OR(P389=18,P389=19),"+4",IF(OR(P389=20,P389=21),"+5",IF(OR(P389=22,P389=23),"+6",IF(OR(P389=24,P389=25),"+7",IF(OR(P389=26,P389=27),"+8",IF(OR(P389=28,P389=29),"+9",IF(P389=30,"+10"," "))))))))))))))))</f>
        <v>0</v>
      </c>
      <c r="R389" s="3" t="n">
        <v>13</v>
      </c>
      <c r="S389" s="1" t="str">
        <f aca="false">IF(R389=1,"-5",IF(OR(R389=2,R389=3),"-4",IF(OR(R389=4,R389=5),"-3",IF(OR(R389=6,R389=7),"-2",IF(OR(R389=8,R389=9),"-1",IF(OR(R389=10,R389=11),"0",IF(OR(R389=12,R389=13),"+1",IF(OR(R389=14,R389=15),"+2",IF(OR(R389=16,R389=17),"+3",IF(OR(R389=18,R389=19),"+4",IF(OR(R389=20,R389=21),"+5",IF(OR(R389=22,R389=23),"+6",IF(OR(R389=24,R389=25),"+7",IF(OR(R389=26,R389=27),"+8",IF(OR(R389=28,R389=29),"+9",IF(R389=30,"+10"," "))))))))))))))))</f>
        <v>+1</v>
      </c>
      <c r="T389" s="3" t="n">
        <v>7</v>
      </c>
      <c r="U389" s="1" t="str">
        <f aca="false">IF(T389=1,"-5",IF(OR(T389=2,T389=3),"-4",IF(OR(T389=4,T389=5),"-3",IF(OR(T389=6,T389=7),"-2",IF(OR(T389=8,T389=9),"-1",IF(OR(T389=10,T389=11),"0",IF(OR(T389=12,T389=13),"+1",IF(OR(T389=14,T389=15),"+2",IF(OR(T389=16,T389=17),"+3",IF(OR(T389=18,T389=19),"+4",IF(OR(T389=20,T389=21),"+5",IF(OR(T389=22,T389=23),"+6",IF(OR(T389=24,T389=25),"+7",IF(OR(T389=26,T389=27),"+8",IF(OR(T389=28,T389=29),"+9",IF(T389=30,"+10"," "))))))))))))))))</f>
        <v>-2</v>
      </c>
      <c r="V389" s="3" t="s">
        <v>37</v>
      </c>
      <c r="W389" s="3" t="s">
        <v>37</v>
      </c>
      <c r="X389" s="11" t="s">
        <v>1949</v>
      </c>
      <c r="Y389" s="11" t="s">
        <v>1950</v>
      </c>
      <c r="Z389" s="11" t="s">
        <v>37</v>
      </c>
      <c r="AA389" s="12" t="s">
        <v>37</v>
      </c>
    </row>
    <row r="390" customFormat="false" ht="16.4" hidden="false" customHeight="false" outlineLevel="0" collapsed="false">
      <c r="A390" s="15" t="s">
        <v>1951</v>
      </c>
      <c r="B390" s="3" t="s">
        <v>158</v>
      </c>
      <c r="C390" s="3" t="s">
        <v>106</v>
      </c>
      <c r="D390" s="16" t="n">
        <v>0</v>
      </c>
      <c r="E390" s="3" t="n">
        <f aca="false">VLOOKUP(D390,'[1]REF Tables'!$A$2:$B$40,2)</f>
        <v>10</v>
      </c>
      <c r="F390" s="3" t="s">
        <v>165</v>
      </c>
      <c r="G390" s="3" t="n">
        <v>10</v>
      </c>
      <c r="H390" s="3" t="s">
        <v>1252</v>
      </c>
      <c r="I390" s="3" t="s">
        <v>1770</v>
      </c>
      <c r="J390" s="3" t="n">
        <v>8</v>
      </c>
      <c r="K390" s="1" t="str">
        <f aca="false">IF(J390=1,"-5",IF(OR(J390=2,J390=3),"-4",IF(OR(J390=4,J390=5),"-3",IF(OR(J390=6,J390=7),"-2",IF(OR(J390=8,J390=9),"-1",IF(OR(J390=10,J390=11),"0",IF(OR(J390=12,J390=13),"+1",IF(OR(J390=14,J390=15),"+2",IF(OR(J390=16,J390=17),"+3",IF(OR(J390=18,J390=19),"+4",IF(OR(J390=20,J390=21),"+5",IF(OR(J390=22,J390=23),"+6",IF(OR(J390=24,J390=25),"+7",IF(OR(J390=26,J390=27),"+8",IF(OR(J390=28,J390=29),"+9",IF(J390=30,"+10"," "))))))))))))))))</f>
        <v>-1</v>
      </c>
      <c r="L390" s="3" t="n">
        <v>10</v>
      </c>
      <c r="M390" s="1" t="str">
        <f aca="false">IF(L390=1,"-5",IF(OR(L390=2,L390=3),"-4",IF(OR(L390=4,L390=5),"-3",IF(OR(L390=6,L390=7),"-2",IF(OR(L390=8,L390=9),"-1",IF(OR(L390=10,L390=11),"0",IF(OR(L390=12,L390=13),"+1",IF(OR(L390=14,L390=15),"+2",IF(OR(L390=16,L390=17),"+3",IF(OR(L390=18,L390=19),"+4",IF(OR(L390=20,L390=21),"+5",IF(OR(L390=22,L390=23),"+6",IF(OR(L390=24,L390=25),"+7",IF(OR(L390=26,L390=27),"+8",IF(OR(L390=28,L390=29),"+9",IF(L390=30,"+10"," "))))))))))))))))</f>
        <v>0</v>
      </c>
      <c r="N390" s="3" t="n">
        <v>10</v>
      </c>
      <c r="O390" s="1" t="str">
        <f aca="false">IF(N390=1,"-5",IF(OR(N390=2,N390=3),"-4",IF(OR(N390=4,N390=5),"-3",IF(OR(N390=6,N390=7),"-2",IF(OR(N390=8,N390=9),"-1",IF(OR(N390=10,N390=11),"0",IF(OR(N390=12,N390=13),"+1",IF(OR(N390=14,N390=15),"+2",IF(OR(N390=16,N390=17),"+3",IF(OR(N390=18,N390=19),"+4",IF(OR(N390=20,N390=21),"+5",IF(OR(N390=22,N390=23),"+6",IF(OR(N390=24,N390=25),"+7",IF(OR(N390=26,N390=27),"+8",IF(OR(N390=28,N390=29),"+9",IF(N390=30,"+10"," "))))))))))))))))</f>
        <v>0</v>
      </c>
      <c r="P390" s="3" t="n">
        <v>8</v>
      </c>
      <c r="Q390" s="1" t="str">
        <f aca="false">IF(P390=1,"-5",IF(OR(P390=2,P390=3),"-4",IF(OR(P390=4,P390=5),"-3",IF(OR(P390=6,P390=7),"-2",IF(OR(P390=8,P390=9),"-1",IF(OR(P390=10,P390=11),"0",IF(OR(P390=12,P390=13),"+1",IF(OR(P390=14,P390=15),"+2",IF(OR(P390=16,P390=17),"+3",IF(OR(P390=18,P390=19),"+4",IF(OR(P390=20,P390=21),"+5",IF(OR(P390=22,P390=23),"+6",IF(OR(P390=24,P390=25),"+7",IF(OR(P390=26,P390=27),"+8",IF(OR(P390=28,P390=29),"+9",IF(P390=30,"+10"," "))))))))))))))))</f>
        <v>-1</v>
      </c>
      <c r="R390" s="3" t="n">
        <v>11</v>
      </c>
      <c r="S390" s="1" t="str">
        <f aca="false">IF(R390=1,"-5",IF(OR(R390=2,R390=3),"-4",IF(OR(R390=4,R390=5),"-3",IF(OR(R390=6,R390=7),"-2",IF(OR(R390=8,R390=9),"-1",IF(OR(R390=10,R390=11),"0",IF(OR(R390=12,R390=13),"+1",IF(OR(R390=14,R390=15),"+2",IF(OR(R390=16,R390=17),"+3",IF(OR(R390=18,R390=19),"+4",IF(OR(R390=20,R390=21),"+5",IF(OR(R390=22,R390=23),"+6",IF(OR(R390=24,R390=25),"+7",IF(OR(R390=26,R390=27),"+8",IF(OR(R390=28,R390=29),"+9",IF(R390=30,"+10"," "))))))))))))))))</f>
        <v>0</v>
      </c>
      <c r="T390" s="3" t="n">
        <v>5</v>
      </c>
      <c r="U390" s="1" t="str">
        <f aca="false">IF(T390=1,"-5",IF(OR(T390=2,T390=3),"-4",IF(OR(T390=4,T390=5),"-3",IF(OR(T390=6,T390=7),"-2",IF(OR(T390=8,T390=9),"-1",IF(OR(T390=10,T390=11),"0",IF(OR(T390=12,T390=13),"+1",IF(OR(T390=14,T390=15),"+2",IF(OR(T390=16,T390=17),"+3",IF(OR(T390=18,T390=19),"+4",IF(OR(T390=20,T390=21),"+5",IF(OR(T390=22,T390=23),"+6",IF(OR(T390=24,T390=25),"+7",IF(OR(T390=26,T390=27),"+8",IF(OR(T390=28,T390=29),"+9",IF(T390=30,"+10"," "))))))))))))))))</f>
        <v>-3</v>
      </c>
      <c r="V390" s="3" t="s">
        <v>37</v>
      </c>
      <c r="W390" s="3" t="s">
        <v>37</v>
      </c>
      <c r="X390" s="11" t="s">
        <v>1952</v>
      </c>
      <c r="Y390" s="11" t="s">
        <v>1953</v>
      </c>
      <c r="Z390" s="11" t="s">
        <v>37</v>
      </c>
      <c r="AA390" s="12" t="s">
        <v>37</v>
      </c>
    </row>
    <row r="391" customFormat="false" ht="16.4" hidden="false" customHeight="false" outlineLevel="0" collapsed="false">
      <c r="A391" s="15" t="s">
        <v>1954</v>
      </c>
      <c r="B391" s="3" t="s">
        <v>158</v>
      </c>
      <c r="C391" s="3" t="s">
        <v>106</v>
      </c>
      <c r="D391" s="16" t="n">
        <v>2</v>
      </c>
      <c r="E391" s="3" t="n">
        <f aca="false">VLOOKUP(D391,'[1]REF Tables'!$A$2:$B$40,2)</f>
        <v>450</v>
      </c>
      <c r="F391" s="3" t="s">
        <v>50</v>
      </c>
      <c r="G391" s="3" t="n">
        <v>13</v>
      </c>
      <c r="H391" s="3" t="s">
        <v>1955</v>
      </c>
      <c r="I391" s="3" t="s">
        <v>42</v>
      </c>
      <c r="J391" s="3" t="n">
        <v>12</v>
      </c>
      <c r="K391" s="1" t="str">
        <f aca="false">IF(J391=1,"-5",IF(OR(J391=2,J391=3),"-4",IF(OR(J391=4,J391=5),"-3",IF(OR(J391=6,J391=7),"-2",IF(OR(J391=8,J391=9),"-1",IF(OR(J391=10,J391=11),"0",IF(OR(J391=12,J391=13),"+1",IF(OR(J391=14,J391=15),"+2",IF(OR(J391=16,J391=17),"+3",IF(OR(J391=18,J391=19),"+4",IF(OR(J391=20,J391=21),"+5",IF(OR(J391=22,J391=23),"+6",IF(OR(J391=24,J391=25),"+7",IF(OR(J391=26,J391=27),"+8",IF(OR(J391=28,J391=29),"+9",IF(J391=30,"+10"," "))))))))))))))))</f>
        <v>+1</v>
      </c>
      <c r="L391" s="3" t="n">
        <v>10</v>
      </c>
      <c r="M391" s="1" t="str">
        <f aca="false">IF(L391=1,"-5",IF(OR(L391=2,L391=3),"-4",IF(OR(L391=4,L391=5),"-3",IF(OR(L391=6,L391=7),"-2",IF(OR(L391=8,L391=9),"-1",IF(OR(L391=10,L391=11),"0",IF(OR(L391=12,L391=13),"+1",IF(OR(L391=14,L391=15),"+2",IF(OR(L391=16,L391=17),"+3",IF(OR(L391=18,L391=19),"+4",IF(OR(L391=20,L391=21),"+5",IF(OR(L391=22,L391=23),"+6",IF(OR(L391=24,L391=25),"+7",IF(OR(L391=26,L391=27),"+8",IF(OR(L391=28,L391=29),"+9",IF(L391=30,"+10"," "))))))))))))))))</f>
        <v>0</v>
      </c>
      <c r="N391" s="3" t="n">
        <v>14</v>
      </c>
      <c r="O391" s="1" t="str">
        <f aca="false">IF(N391=1,"-5",IF(OR(N391=2,N391=3),"-4",IF(OR(N391=4,N391=5),"-3",IF(OR(N391=6,N391=7),"-2",IF(OR(N391=8,N391=9),"-1",IF(OR(N391=10,N391=11),"0",IF(OR(N391=12,N391=13),"+1",IF(OR(N391=14,N391=15),"+2",IF(OR(N391=16,N391=17),"+3",IF(OR(N391=18,N391=19),"+4",IF(OR(N391=20,N391=21),"+5",IF(OR(N391=22,N391=23),"+6",IF(OR(N391=24,N391=25),"+7",IF(OR(N391=26,N391=27),"+8",IF(OR(N391=28,N391=29),"+9",IF(N391=30,"+10"," "))))))))))))))))</f>
        <v>+2</v>
      </c>
      <c r="P391" s="3" t="n">
        <v>13</v>
      </c>
      <c r="Q391" s="1" t="str">
        <f aca="false">IF(P391=1,"-5",IF(OR(P391=2,P391=3),"-4",IF(OR(P391=4,P391=5),"-3",IF(OR(P391=6,P391=7),"-2",IF(OR(P391=8,P391=9),"-1",IF(OR(P391=10,P391=11),"0",IF(OR(P391=12,P391=13),"+1",IF(OR(P391=14,P391=15),"+2",IF(OR(P391=16,P391=17),"+3",IF(OR(P391=18,P391=19),"+4",IF(OR(P391=20,P391=21),"+5",IF(OR(P391=22,P391=23),"+6",IF(OR(P391=24,P391=25),"+7",IF(OR(P391=26,P391=27),"+8",IF(OR(P391=28,P391=29),"+9",IF(P391=30,"+10"," "))))))))))))))))</f>
        <v>+1</v>
      </c>
      <c r="R391" s="3" t="n">
        <v>15</v>
      </c>
      <c r="S391" s="1" t="str">
        <f aca="false">IF(R391=1,"-5",IF(OR(R391=2,R391=3),"-4",IF(OR(R391=4,R391=5),"-3",IF(OR(R391=6,R391=7),"-2",IF(OR(R391=8,R391=9),"-1",IF(OR(R391=10,R391=11),"0",IF(OR(R391=12,R391=13),"+1",IF(OR(R391=14,R391=15),"+2",IF(OR(R391=16,R391=17),"+3",IF(OR(R391=18,R391=19),"+4",IF(OR(R391=20,R391=21),"+5",IF(OR(R391=22,R391=23),"+6",IF(OR(R391=24,R391=25),"+7",IF(OR(R391=26,R391=27),"+8",IF(OR(R391=28,R391=29),"+9",IF(R391=30,"+10"," "))))))))))))))))</f>
        <v>+2</v>
      </c>
      <c r="T391" s="3" t="n">
        <v>10</v>
      </c>
      <c r="U391" s="1" t="str">
        <f aca="false">IF(T391=1,"-5",IF(OR(T391=2,T391=3),"-4",IF(OR(T391=4,T391=5),"-3",IF(OR(T391=6,T391=7),"-2",IF(OR(T391=8,T391=9),"-1",IF(OR(T391=10,T391=11),"0",IF(OR(T391=12,T391=13),"+1",IF(OR(T391=14,T391=15),"+2",IF(OR(T391=16,T391=17),"+3",IF(OR(T391=18,T391=19),"+4",IF(OR(T391=20,T391=21),"+5",IF(OR(T391=22,T391=23),"+6",IF(OR(T391=24,T391=25),"+7",IF(OR(T391=26,T391=27),"+8",IF(OR(T391=28,T391=29),"+9",IF(T391=30,"+10"," "))))))))))))))))</f>
        <v>0</v>
      </c>
      <c r="V391" s="3" t="s">
        <v>37</v>
      </c>
      <c r="W391" s="3" t="s">
        <v>37</v>
      </c>
      <c r="X391" s="11" t="s">
        <v>1956</v>
      </c>
      <c r="Y391" s="11" t="s">
        <v>1957</v>
      </c>
      <c r="Z391" s="11" t="s">
        <v>37</v>
      </c>
      <c r="AA391" s="12" t="s">
        <v>37</v>
      </c>
    </row>
    <row r="392" customFormat="false" ht="16.4" hidden="false" customHeight="false" outlineLevel="0" collapsed="false">
      <c r="A392" s="15" t="s">
        <v>1958</v>
      </c>
      <c r="B392" s="3" t="s">
        <v>105</v>
      </c>
      <c r="C392" s="3" t="s">
        <v>222</v>
      </c>
      <c r="D392" s="16" t="n">
        <v>8</v>
      </c>
      <c r="E392" s="6" t="n">
        <f aca="false">VLOOKUP(D392,'[1]REF Tables'!$A$2:$B$40,2)</f>
        <v>3900</v>
      </c>
      <c r="F392" s="3" t="s">
        <v>50</v>
      </c>
      <c r="G392" s="3" t="n">
        <v>15</v>
      </c>
      <c r="H392" s="3" t="s">
        <v>1527</v>
      </c>
      <c r="I392" s="3" t="s">
        <v>224</v>
      </c>
      <c r="J392" s="3" t="n">
        <v>18</v>
      </c>
      <c r="K392" s="1" t="str">
        <f aca="false">IF(J392=1,"-5",IF(OR(J392=2,J392=3),"-4",IF(OR(J392=4,J392=5),"-3",IF(OR(J392=6,J392=7),"-2",IF(OR(J392=8,J392=9),"-1",IF(OR(J392=10,J392=11),"0",IF(OR(J392=12,J392=13),"+1",IF(OR(J392=14,J392=15),"+2",IF(OR(J392=16,J392=17),"+3",IF(OR(J392=18,J392=19),"+4",IF(OR(J392=20,J392=21),"+5",IF(OR(J392=22,J392=23),"+6",IF(OR(J392=24,J392=25),"+7",IF(OR(J392=26,J392=27),"+8",IF(OR(J392=28,J392=29),"+9",IF(J392=30,"+10"," "))))))))))))))))</f>
        <v>+4</v>
      </c>
      <c r="L392" s="3" t="n">
        <v>17</v>
      </c>
      <c r="M392" s="1" t="str">
        <f aca="false">IF(L392=1,"-5",IF(OR(L392=2,L392=3),"-4",IF(OR(L392=4,L392=5),"-3",IF(OR(L392=6,L392=7),"-2",IF(OR(L392=8,L392=9),"-1",IF(OR(L392=10,L392=11),"0",IF(OR(L392=12,L392=13),"+1",IF(OR(L392=14,L392=15),"+2",IF(OR(L392=16,L392=17),"+3",IF(OR(L392=18,L392=19),"+4",IF(OR(L392=20,L392=21),"+5",IF(OR(L392=22,L392=23),"+6",IF(OR(L392=24,L392=25),"+7",IF(OR(L392=26,L392=27),"+8",IF(OR(L392=28,L392=29),"+9",IF(L392=30,"+10"," "))))))))))))))))</f>
        <v>+3</v>
      </c>
      <c r="N392" s="3" t="n">
        <v>14</v>
      </c>
      <c r="O392" s="1" t="str">
        <f aca="false">IF(N392=1,"-5",IF(OR(N392=2,N392=3),"-4",IF(OR(N392=4,N392=5),"-3",IF(OR(N392=6,N392=7),"-2",IF(OR(N392=8,N392=9),"-1",IF(OR(N392=10,N392=11),"0",IF(OR(N392=12,N392=13),"+1",IF(OR(N392=14,N392=15),"+2",IF(OR(N392=16,N392=17),"+3",IF(OR(N392=18,N392=19),"+4",IF(OR(N392=20,N392=21),"+5",IF(OR(N392=22,N392=23),"+6",IF(OR(N392=24,N392=25),"+7",IF(OR(N392=26,N392=27),"+8",IF(OR(N392=28,N392=29),"+9",IF(N392=30,"+10"," "))))))))))))))))</f>
        <v>+2</v>
      </c>
      <c r="P392" s="3" t="n">
        <v>16</v>
      </c>
      <c r="Q392" s="1" t="str">
        <f aca="false">IF(P392=1,"-5",IF(OR(P392=2,P392=3),"-4",IF(OR(P392=4,P392=5),"-3",IF(OR(P392=6,P392=7),"-2",IF(OR(P392=8,P392=9),"-1",IF(OR(P392=10,P392=11),"0",IF(OR(P392=12,P392=13),"+1",IF(OR(P392=14,P392=15),"+2",IF(OR(P392=16,P392=17),"+3",IF(OR(P392=18,P392=19),"+4",IF(OR(P392=20,P392=21),"+5",IF(OR(P392=22,P392=23),"+6",IF(OR(P392=24,P392=25),"+7",IF(OR(P392=26,P392=27),"+8",IF(OR(P392=28,P392=29),"+9",IF(P392=30,"+10"," "))))))))))))))))</f>
        <v>+3</v>
      </c>
      <c r="R392" s="3" t="n">
        <v>15</v>
      </c>
      <c r="S392" s="1" t="str">
        <f aca="false">IF(R392=1,"-5",IF(OR(R392=2,R392=3),"-4",IF(OR(R392=4,R392=5),"-3",IF(OR(R392=6,R392=7),"-2",IF(OR(R392=8,R392=9),"-1",IF(OR(R392=10,R392=11),"0",IF(OR(R392=12,R392=13),"+1",IF(OR(R392=14,R392=15),"+2",IF(OR(R392=16,R392=17),"+3",IF(OR(R392=18,R392=19),"+4",IF(OR(R392=20,R392=21),"+5",IF(OR(R392=22,R392=23),"+6",IF(OR(R392=24,R392=25),"+7",IF(OR(R392=26,R392=27),"+8",IF(OR(R392=28,R392=29),"+9",IF(R392=30,"+10"," "))))))))))))))))</f>
        <v>+2</v>
      </c>
      <c r="T392" s="3" t="n">
        <v>16</v>
      </c>
      <c r="U392" s="1" t="str">
        <f aca="false">IF(T392=1,"-5",IF(OR(T392=2,T392=3),"-4",IF(OR(T392=4,T392=5),"-3",IF(OR(T392=6,T392=7),"-2",IF(OR(T392=8,T392=9),"-1",IF(OR(T392=10,T392=11),"0",IF(OR(T392=12,T392=13),"+1",IF(OR(T392=14,T392=15),"+2",IF(OR(T392=16,T392=17),"+3",IF(OR(T392=18,T392=19),"+4",IF(OR(T392=20,T392=21),"+5",IF(OR(T392=22,T392=23),"+6",IF(OR(T392=24,T392=25),"+7",IF(OR(T392=26,T392=27),"+8",IF(OR(T392=28,T392=29),"+9",IF(T392=30,"+10"," "))))))))))))))))</f>
        <v>+3</v>
      </c>
      <c r="V392" s="3" t="s">
        <v>1959</v>
      </c>
      <c r="W392" s="3" t="s">
        <v>467</v>
      </c>
      <c r="X392" s="11" t="s">
        <v>1960</v>
      </c>
      <c r="Y392" s="11" t="s">
        <v>1961</v>
      </c>
      <c r="Z392" s="11" t="s">
        <v>37</v>
      </c>
      <c r="AA392" s="12" t="s">
        <v>37</v>
      </c>
    </row>
    <row r="393" customFormat="false" ht="16.4" hidden="false" customHeight="false" outlineLevel="0" collapsed="false">
      <c r="A393" s="15" t="s">
        <v>1962</v>
      </c>
      <c r="B393" s="3" t="s">
        <v>105</v>
      </c>
      <c r="C393" s="3" t="s">
        <v>502</v>
      </c>
      <c r="D393" s="16" t="n">
        <v>10</v>
      </c>
      <c r="E393" s="6" t="n">
        <f aca="false">VLOOKUP(D393,'[1]REF Tables'!$A$2:$B$40,2)</f>
        <v>5900</v>
      </c>
      <c r="F393" s="3" t="s">
        <v>50</v>
      </c>
      <c r="G393" s="3" t="n">
        <v>18</v>
      </c>
      <c r="H393" s="3" t="s">
        <v>984</v>
      </c>
      <c r="I393" s="3" t="s">
        <v>224</v>
      </c>
      <c r="J393" s="3" t="n">
        <v>19</v>
      </c>
      <c r="K393" s="1" t="str">
        <f aca="false">IF(J393=1,"-5",IF(OR(J393=2,J393=3),"-4",IF(OR(J393=4,J393=5),"-3",IF(OR(J393=6,J393=7),"-2",IF(OR(J393=8,J393=9),"-1",IF(OR(J393=10,J393=11),"0",IF(OR(J393=12,J393=13),"+1",IF(OR(J393=14,J393=15),"+2",IF(OR(J393=16,J393=17),"+3",IF(OR(J393=18,J393=19),"+4",IF(OR(J393=20,J393=21),"+5",IF(OR(J393=22,J393=23),"+6",IF(OR(J393=24,J393=25),"+7",IF(OR(J393=26,J393=27),"+8",IF(OR(J393=28,J393=29),"+9",IF(J393=30,"+10"," "))))))))))))))))</f>
        <v>+4</v>
      </c>
      <c r="L393" s="3" t="n">
        <v>18</v>
      </c>
      <c r="M393" s="1" t="str">
        <f aca="false">IF(L393=1,"-5",IF(OR(L393=2,L393=3),"-4",IF(OR(L393=4,L393=5),"-3",IF(OR(L393=6,L393=7),"-2",IF(OR(L393=8,L393=9),"-1",IF(OR(L393=10,L393=11),"0",IF(OR(L393=12,L393=13),"+1",IF(OR(L393=14,L393=15),"+2",IF(OR(L393=16,L393=17),"+3",IF(OR(L393=18,L393=19),"+4",IF(OR(L393=20,L393=21),"+5",IF(OR(L393=22,L393=23),"+6",IF(OR(L393=24,L393=25),"+7",IF(OR(L393=26,L393=27),"+8",IF(OR(L393=28,L393=29),"+9",IF(L393=30,"+10"," "))))))))))))))))</f>
        <v>+4</v>
      </c>
      <c r="N393" s="3" t="n">
        <v>16</v>
      </c>
      <c r="O393" s="1" t="str">
        <f aca="false">IF(N393=1,"-5",IF(OR(N393=2,N393=3),"-4",IF(OR(N393=4,N393=5),"-3",IF(OR(N393=6,N393=7),"-2",IF(OR(N393=8,N393=9),"-1",IF(OR(N393=10,N393=11),"0",IF(OR(N393=12,N393=13),"+1",IF(OR(N393=14,N393=15),"+2",IF(OR(N393=16,N393=17),"+3",IF(OR(N393=18,N393=19),"+4",IF(OR(N393=20,N393=21),"+5",IF(OR(N393=22,N393=23),"+6",IF(OR(N393=24,N393=25),"+7",IF(OR(N393=26,N393=27),"+8",IF(OR(N393=28,N393=29),"+9",IF(N393=30,"+10"," "))))))))))))))))</f>
        <v>+3</v>
      </c>
      <c r="P393" s="3" t="n">
        <v>16</v>
      </c>
      <c r="Q393" s="1" t="str">
        <f aca="false">IF(P393=1,"-5",IF(OR(P393=2,P393=3),"-4",IF(OR(P393=4,P393=5),"-3",IF(OR(P393=6,P393=7),"-2",IF(OR(P393=8,P393=9),"-1",IF(OR(P393=10,P393=11),"0",IF(OR(P393=12,P393=13),"+1",IF(OR(P393=14,P393=15),"+2",IF(OR(P393=16,P393=17),"+3",IF(OR(P393=18,P393=19),"+4",IF(OR(P393=20,P393=21),"+5",IF(OR(P393=22,P393=23),"+6",IF(OR(P393=24,P393=25),"+7",IF(OR(P393=26,P393=27),"+8",IF(OR(P393=28,P393=29),"+9",IF(P393=30,"+10"," "))))))))))))))))</f>
        <v>+3</v>
      </c>
      <c r="R393" s="3" t="n">
        <v>19</v>
      </c>
      <c r="S393" s="1" t="str">
        <f aca="false">IF(R393=1,"-5",IF(OR(R393=2,R393=3),"-4",IF(OR(R393=4,R393=5),"-3",IF(OR(R393=6,R393=7),"-2",IF(OR(R393=8,R393=9),"-1",IF(OR(R393=10,R393=11),"0",IF(OR(R393=12,R393=13),"+1",IF(OR(R393=14,R393=15),"+2",IF(OR(R393=16,R393=17),"+3",IF(OR(R393=18,R393=19),"+4",IF(OR(R393=20,R393=21),"+5",IF(OR(R393=22,R393=23),"+6",IF(OR(R393=24,R393=25),"+7",IF(OR(R393=26,R393=27),"+8",IF(OR(R393=28,R393=29),"+9",IF(R393=30,"+10"," "))))))))))))))))</f>
        <v>+4</v>
      </c>
      <c r="T393" s="3" t="n">
        <v>18</v>
      </c>
      <c r="U393" s="1" t="str">
        <f aca="false">IF(T393=1,"-5",IF(OR(T393=2,T393=3),"-4",IF(OR(T393=4,T393=5),"-3",IF(OR(T393=6,T393=7),"-2",IF(OR(T393=8,T393=9),"-1",IF(OR(T393=10,T393=11),"0",IF(OR(T393=12,T393=13),"+1",IF(OR(T393=14,T393=15),"+2",IF(OR(T393=16,T393=17),"+3",IF(OR(T393=18,T393=19),"+4",IF(OR(T393=20,T393=21),"+5",IF(OR(T393=22,T393=23),"+6",IF(OR(T393=24,T393=25),"+7",IF(OR(T393=26,T393=27),"+8",IF(OR(T393=28,T393=29),"+9",IF(T393=30,"+10"," "))))))))))))))))</f>
        <v>+4</v>
      </c>
      <c r="V393" s="3" t="s">
        <v>1963</v>
      </c>
      <c r="W393" s="3" t="s">
        <v>1964</v>
      </c>
      <c r="X393" s="11" t="s">
        <v>1965</v>
      </c>
      <c r="Y393" s="11" t="s">
        <v>1966</v>
      </c>
      <c r="Z393" s="11" t="s">
        <v>37</v>
      </c>
      <c r="AA393" s="12" t="s">
        <v>37</v>
      </c>
    </row>
    <row r="394" customFormat="false" ht="16.4" hidden="false" customHeight="false" outlineLevel="0" collapsed="false">
      <c r="A394" s="15" t="s">
        <v>1967</v>
      </c>
      <c r="B394" s="3" t="s">
        <v>77</v>
      </c>
      <c r="C394" s="3" t="s">
        <v>49</v>
      </c>
      <c r="D394" s="16" t="n">
        <v>4</v>
      </c>
      <c r="E394" s="6" t="n">
        <f aca="false">VLOOKUP(D394,'[1]REF Tables'!$A$2:$B$40,2)</f>
        <v>1100</v>
      </c>
      <c r="F394" s="3" t="s">
        <v>50</v>
      </c>
      <c r="G394" s="3" t="n">
        <v>15</v>
      </c>
      <c r="H394" s="3" t="s">
        <v>1968</v>
      </c>
      <c r="I394" s="3" t="s">
        <v>42</v>
      </c>
      <c r="J394" s="3" t="n">
        <v>15</v>
      </c>
      <c r="K394" s="1" t="str">
        <f aca="false">IF(J394=1,"-5",IF(OR(J394=2,J394=3),"-4",IF(OR(J394=4,J394=5),"-3",IF(OR(J394=6,J394=7),"-2",IF(OR(J394=8,J394=9),"-1",IF(OR(J394=10,J394=11),"0",IF(OR(J394=12,J394=13),"+1",IF(OR(J394=14,J394=15),"+2",IF(OR(J394=16,J394=17),"+3",IF(OR(J394=18,J394=19),"+4",IF(OR(J394=20,J394=21),"+5",IF(OR(J394=22,J394=23),"+6",IF(OR(J394=24,J394=25),"+7",IF(OR(J394=26,J394=27),"+8",IF(OR(J394=28,J394=29),"+9",IF(J394=30,"+10"," "))))))))))))))))</f>
        <v>+2</v>
      </c>
      <c r="L394" s="3" t="n">
        <v>16</v>
      </c>
      <c r="M394" s="1" t="str">
        <f aca="false">IF(L394=1,"-5",IF(OR(L394=2,L394=3),"-4",IF(OR(L394=4,L394=5),"-3",IF(OR(L394=6,L394=7),"-2",IF(OR(L394=8,L394=9),"-1",IF(OR(L394=10,L394=11),"0",IF(OR(L394=12,L394=13),"+1",IF(OR(L394=14,L394=15),"+2",IF(OR(L394=16,L394=17),"+3",IF(OR(L394=18,L394=19),"+4",IF(OR(L394=20,L394=21),"+5",IF(OR(L394=22,L394=23),"+6",IF(OR(L394=24,L394=25),"+7",IF(OR(L394=26,L394=27),"+8",IF(OR(L394=28,L394=29),"+9",IF(L394=30,"+10"," "))))))))))))))))</f>
        <v>+3</v>
      </c>
      <c r="N394" s="3" t="n">
        <v>12</v>
      </c>
      <c r="O394" s="1" t="str">
        <f aca="false">IF(N394=1,"-5",IF(OR(N394=2,N394=3),"-4",IF(OR(N394=4,N394=5),"-3",IF(OR(N394=6,N394=7),"-2",IF(OR(N394=8,N394=9),"-1",IF(OR(N394=10,N394=11),"0",IF(OR(N394=12,N394=13),"+1",IF(OR(N394=14,N394=15),"+2",IF(OR(N394=16,N394=17),"+3",IF(OR(N394=18,N394=19),"+4",IF(OR(N394=20,N394=21),"+5",IF(OR(N394=22,N394=23),"+6",IF(OR(N394=24,N394=25),"+7",IF(OR(N394=26,N394=27),"+8",IF(OR(N394=28,N394=29),"+9",IF(N394=30,"+10"," "))))))))))))))))</f>
        <v>+1</v>
      </c>
      <c r="P394" s="3" t="n">
        <v>15</v>
      </c>
      <c r="Q394" s="1" t="str">
        <f aca="false">IF(P394=1,"-5",IF(OR(P394=2,P394=3),"-4",IF(OR(P394=4,P394=5),"-3",IF(OR(P394=6,P394=7),"-2",IF(OR(P394=8,P394=9),"-1",IF(OR(P394=10,P394=11),"0",IF(OR(P394=12,P394=13),"+1",IF(OR(P394=14,P394=15),"+2",IF(OR(P394=16,P394=17),"+3",IF(OR(P394=18,P394=19),"+4",IF(OR(P394=20,P394=21),"+5",IF(OR(P394=22,P394=23),"+6",IF(OR(P394=24,P394=25),"+7",IF(OR(P394=26,P394=27),"+8",IF(OR(P394=28,P394=29),"+9",IF(P394=30,"+10"," "))))))))))))))))</f>
        <v>+2</v>
      </c>
      <c r="R394" s="3" t="n">
        <v>15</v>
      </c>
      <c r="S394" s="1" t="str">
        <f aca="false">IF(R394=1,"-5",IF(OR(R394=2,R394=3),"-4",IF(OR(R394=4,R394=5),"-3",IF(OR(R394=6,R394=7),"-2",IF(OR(R394=8,R394=9),"-1",IF(OR(R394=10,R394=11),"0",IF(OR(R394=12,R394=13),"+1",IF(OR(R394=14,R394=15),"+2",IF(OR(R394=16,R394=17),"+3",IF(OR(R394=18,R394=19),"+4",IF(OR(R394=20,R394=21),"+5",IF(OR(R394=22,R394=23),"+6",IF(OR(R394=24,R394=25),"+7",IF(OR(R394=26,R394=27),"+8",IF(OR(R394=28,R394=29),"+9",IF(R394=30,"+10"," "))))))))))))))))</f>
        <v>+2</v>
      </c>
      <c r="T394" s="3" t="n">
        <v>16</v>
      </c>
      <c r="U394" s="1" t="str">
        <f aca="false">IF(T394=1,"-5",IF(OR(T394=2,T394=3),"-4",IF(OR(T394=4,T394=5),"-3",IF(OR(T394=6,T394=7),"-2",IF(OR(T394=8,T394=9),"-1",IF(OR(T394=10,T394=11),"0",IF(OR(T394=12,T394=13),"+1",IF(OR(T394=14,T394=15),"+2",IF(OR(T394=16,T394=17),"+3",IF(OR(T394=18,T394=19),"+4",IF(OR(T394=20,T394=21),"+5",IF(OR(T394=22,T394=23),"+6",IF(OR(T394=24,T394=25),"+7",IF(OR(T394=26,T394=27),"+8",IF(OR(T394=28,T394=29),"+9",IF(T394=30,"+10"," "))))))))))))))))</f>
        <v>+3</v>
      </c>
      <c r="V394" s="3" t="s">
        <v>37</v>
      </c>
      <c r="W394" s="3" t="s">
        <v>1969</v>
      </c>
      <c r="X394" s="11" t="s">
        <v>1970</v>
      </c>
      <c r="Y394" s="11" t="s">
        <v>1971</v>
      </c>
      <c r="Z394" s="11" t="s">
        <v>37</v>
      </c>
      <c r="AA394" s="12" t="s">
        <v>37</v>
      </c>
      <c r="AB394" s="1"/>
      <c r="AC394" s="1"/>
      <c r="AD394" s="1"/>
      <c r="AE394" s="1"/>
      <c r="AF394" s="1"/>
    </row>
    <row r="395" customFormat="false" ht="16.4" hidden="false" customHeight="false" outlineLevel="0" collapsed="false">
      <c r="A395" s="15" t="s">
        <v>1972</v>
      </c>
      <c r="B395" s="3" t="s">
        <v>221</v>
      </c>
      <c r="C395" s="3" t="s">
        <v>222</v>
      </c>
      <c r="D395" s="16" t="n">
        <v>13</v>
      </c>
      <c r="E395" s="6" t="n">
        <f aca="false">VLOOKUP(D395,'[1]REF Tables'!$A$2:$B$40,2)</f>
        <v>10000</v>
      </c>
      <c r="F395" s="3" t="s">
        <v>50</v>
      </c>
      <c r="G395" s="3" t="n">
        <v>18</v>
      </c>
      <c r="H395" s="3" t="s">
        <v>1973</v>
      </c>
      <c r="I395" s="3" t="s">
        <v>1974</v>
      </c>
      <c r="J395" s="3" t="n">
        <v>21</v>
      </c>
      <c r="K395" s="1" t="str">
        <f aca="false">IF(J395=1,"-5",IF(OR(J395=2,J395=3),"-4",IF(OR(J395=4,J395=5),"-3",IF(OR(J395=6,J395=7),"-2",IF(OR(J395=8,J395=9),"-1",IF(OR(J395=10,J395=11),"0",IF(OR(J395=12,J395=13),"+1",IF(OR(J395=14,J395=15),"+2",IF(OR(J395=16,J395=17),"+3",IF(OR(J395=18,J395=19),"+4",IF(OR(J395=20,J395=21),"+5",IF(OR(J395=22,J395=23),"+6",IF(OR(J395=24,J395=25),"+7",IF(OR(J395=26,J395=27),"+8",IF(OR(J395=28,J395=29),"+9",IF(J395=30,"+10"," "))))))))))))))))</f>
        <v>+5</v>
      </c>
      <c r="L395" s="3" t="n">
        <v>10</v>
      </c>
      <c r="M395" s="1" t="str">
        <f aca="false">IF(L395=1,"-5",IF(OR(L395=2,L395=3),"-4",IF(OR(L395=4,L395=5),"-3",IF(OR(L395=6,L395=7),"-2",IF(OR(L395=8,L395=9),"-1",IF(OR(L395=10,L395=11),"0",IF(OR(L395=12,L395=13),"+1",IF(OR(L395=14,L395=15),"+2",IF(OR(L395=16,L395=17),"+3",IF(OR(L395=18,L395=19),"+4",IF(OR(L395=20,L395=21),"+5",IF(OR(L395=22,L395=23),"+6",IF(OR(L395=24,L395=25),"+7",IF(OR(L395=26,L395=27),"+8",IF(OR(L395=28,L395=29),"+9",IF(L395=30,"+10"," "))))))))))))))))</f>
        <v>0</v>
      </c>
      <c r="N395" s="3" t="n">
        <v>22</v>
      </c>
      <c r="O395" s="1" t="str">
        <f aca="false">IF(N395=1,"-5",IF(OR(N395=2,N395=3),"-4",IF(OR(N395=4,N395=5),"-3",IF(OR(N395=6,N395=7),"-2",IF(OR(N395=8,N395=9),"-1",IF(OR(N395=10,N395=11),"0",IF(OR(N395=12,N395=13),"+1",IF(OR(N395=14,N395=15),"+2",IF(OR(N395=16,N395=17),"+3",IF(OR(N395=18,N395=19),"+4",IF(OR(N395=20,N395=21),"+5",IF(OR(N395=22,N395=23),"+6",IF(OR(N395=24,N395=25),"+7",IF(OR(N395=26,N395=27),"+8",IF(OR(N395=28,N395=29),"+9",IF(N395=30,"+10"," "))))))))))))))))</f>
        <v>+6</v>
      </c>
      <c r="P395" s="3" t="n">
        <v>19</v>
      </c>
      <c r="Q395" s="1" t="str">
        <f aca="false">IF(P395=1,"-5",IF(OR(P395=2,P395=3),"-4",IF(OR(P395=4,P395=5),"-3",IF(OR(P395=6,P395=7),"-2",IF(OR(P395=8,P395=9),"-1",IF(OR(P395=10,P395=11),"0",IF(OR(P395=12,P395=13),"+1",IF(OR(P395=14,P395=15),"+2",IF(OR(P395=16,P395=17),"+3",IF(OR(P395=18,P395=19),"+4",IF(OR(P395=20,P395=21),"+5",IF(OR(P395=22,P395=23),"+6",IF(OR(P395=24,P395=25),"+7",IF(OR(P395=26,P395=27),"+8",IF(OR(P395=28,P395=29),"+9",IF(P395=30,"+10"," "))))))))))))))))</f>
        <v>+4</v>
      </c>
      <c r="R395" s="3" t="n">
        <v>12</v>
      </c>
      <c r="S395" s="1" t="str">
        <f aca="false">IF(R395=1,"-5",IF(OR(R395=2,R395=3),"-4",IF(OR(R395=4,R395=5),"-3",IF(OR(R395=6,R395=7),"-2",IF(OR(R395=8,R395=9),"-1",IF(OR(R395=10,R395=11),"0",IF(OR(R395=12,R395=13),"+1",IF(OR(R395=14,R395=15),"+2",IF(OR(R395=16,R395=17),"+3",IF(OR(R395=18,R395=19),"+4",IF(OR(R395=20,R395=21),"+5",IF(OR(R395=22,R395=23),"+6",IF(OR(R395=24,R395=25),"+7",IF(OR(R395=26,R395=27),"+8",IF(OR(R395=28,R395=29),"+9",IF(R395=30,"+10"," "))))))))))))))))</f>
        <v>+1</v>
      </c>
      <c r="T395" s="3" t="n">
        <v>15</v>
      </c>
      <c r="U395" s="1" t="str">
        <f aca="false">IF(T395=1,"-5",IF(OR(T395=2,T395=3),"-4",IF(OR(T395=4,T395=5),"-3",IF(OR(T395=6,T395=7),"-2",IF(OR(T395=8,T395=9),"-1",IF(OR(T395=10,T395=11),"0",IF(OR(T395=12,T395=13),"+1",IF(OR(T395=14,T395=15),"+2",IF(OR(T395=16,T395=17),"+3",IF(OR(T395=18,T395=19),"+4",IF(OR(T395=20,T395=21),"+5",IF(OR(T395=22,T395=23),"+6",IF(OR(T395=24,T395=25),"+7",IF(OR(T395=26,T395=27),"+8",IF(OR(T395=28,T395=29),"+9",IF(T395=30,"+10"," "))))))))))))))))</f>
        <v>+2</v>
      </c>
      <c r="V395" s="3" t="s">
        <v>1975</v>
      </c>
      <c r="W395" s="3" t="s">
        <v>1409</v>
      </c>
      <c r="X395" s="11" t="s">
        <v>1976</v>
      </c>
      <c r="Y395" s="11" t="s">
        <v>1977</v>
      </c>
      <c r="Z395" s="11" t="s">
        <v>37</v>
      </c>
      <c r="AA395" s="12" t="s">
        <v>37</v>
      </c>
    </row>
    <row r="396" customFormat="false" ht="16.4" hidden="false" customHeight="false" outlineLevel="0" collapsed="false">
      <c r="A396" s="7" t="s">
        <v>1978</v>
      </c>
      <c r="B396" s="1" t="s">
        <v>699</v>
      </c>
      <c r="C396" s="1" t="s">
        <v>49</v>
      </c>
      <c r="D396" s="8" t="n">
        <v>13</v>
      </c>
      <c r="E396" s="9" t="n">
        <f aca="false">VLOOKUP(D396,'[1]REF Tables'!$A$2:$B$40,2)</f>
        <v>10000</v>
      </c>
      <c r="F396" s="1" t="s">
        <v>30</v>
      </c>
      <c r="G396" s="10" t="n">
        <v>20</v>
      </c>
      <c r="H396" s="1" t="s">
        <v>1413</v>
      </c>
      <c r="I396" s="1" t="s">
        <v>42</v>
      </c>
      <c r="J396" s="10" t="n">
        <v>20</v>
      </c>
      <c r="K396" s="1" t="str">
        <f aca="false">IF(J396=1,"-5",IF(OR(J396=2,J396=3),"-4",IF(OR(J396=4,J396=5),"-3",IF(OR(J396=6,J396=7),"-2",IF(OR(J396=8,J396=9),"-1",IF(OR(J396=10,J396=11),"0",IF(OR(J396=12,J396=13),"+1",IF(OR(J396=14,J396=15),"+2",IF(OR(J396=16,J396=17),"+3",IF(OR(J396=18,J396=19),"+4",IF(OR(J396=20,J396=21),"+5",IF(OR(J396=22,J396=23),"+6",IF(OR(J396=24,J396=25),"+7",IF(OR(J396=26,J396=27),"+8",IF(OR(J396=28,J396=29),"+9",IF(J396=30,"+10"," "))))))))))))))))</f>
        <v>+5</v>
      </c>
      <c r="L396" s="10" t="n">
        <v>10</v>
      </c>
      <c r="M396" s="1" t="str">
        <f aca="false">IF(L396=1,"-5",IF(OR(L396=2,L396=3),"-4",IF(OR(L396=4,L396=5),"-3",IF(OR(L396=6,L396=7),"-2",IF(OR(L396=8,L396=9),"-1",IF(OR(L396=10,L396=11),"0",IF(OR(L396=12,L396=13),"+1",IF(OR(L396=14,L396=15),"+2",IF(OR(L396=16,L396=17),"+3",IF(OR(L396=18,L396=19),"+4",IF(OR(L396=20,L396=21),"+5",IF(OR(L396=22,L396=23),"+6",IF(OR(L396=24,L396=25),"+7",IF(OR(L396=26,L396=27),"+8",IF(OR(L396=28,L396=29),"+9",IF(L396=30,"+10"," "))))))))))))))))</f>
        <v>0</v>
      </c>
      <c r="N396" s="10" t="n">
        <v>17</v>
      </c>
      <c r="O396" s="1" t="str">
        <f aca="false">IF(N396=1,"-5",IF(OR(N396=2,N396=3),"-4",IF(OR(N396=4,N396=5),"-3",IF(OR(N396=6,N396=7),"-2",IF(OR(N396=8,N396=9),"-1",IF(OR(N396=10,N396=11),"0",IF(OR(N396=12,N396=13),"+1",IF(OR(N396=14,N396=15),"+2",IF(OR(N396=16,N396=17),"+3",IF(OR(N396=18,N396=19),"+4",IF(OR(N396=20,N396=21),"+5",IF(OR(N396=22,N396=23),"+6",IF(OR(N396=24,N396=25),"+7",IF(OR(N396=26,N396=27),"+8",IF(OR(N396=28,N396=29),"+9",IF(N396=30,"+10"," "))))))))))))))))</f>
        <v>+3</v>
      </c>
      <c r="P396" s="10" t="n">
        <v>16</v>
      </c>
      <c r="Q396" s="1" t="str">
        <f aca="false">IF(P396=1,"-5",IF(OR(P396=2,P396=3),"-4",IF(OR(P396=4,P396=5),"-3",IF(OR(P396=6,P396=7),"-2",IF(OR(P396=8,P396=9),"-1",IF(OR(P396=10,P396=11),"0",IF(OR(P396=12,P396=13),"+1",IF(OR(P396=14,P396=15),"+2",IF(OR(P396=16,P396=17),"+3",IF(OR(P396=18,P396=19),"+4",IF(OR(P396=20,P396=21),"+5",IF(OR(P396=22,P396=23),"+6",IF(OR(P396=24,P396=25),"+7",IF(OR(P396=26,P396=27),"+8",IF(OR(P396=28,P396=29),"+9",IF(P396=30,"+10"," "))))))))))))))))</f>
        <v>+3</v>
      </c>
      <c r="R396" s="10" t="n">
        <v>14</v>
      </c>
      <c r="S396" s="1" t="str">
        <f aca="false">IF(R396=1,"-5",IF(OR(R396=2,R396=3),"-4",IF(OR(R396=4,R396=5),"-3",IF(OR(R396=6,R396=7),"-2",IF(OR(R396=8,R396=9),"-1",IF(OR(R396=10,R396=11),"0",IF(OR(R396=12,R396=13),"+1",IF(OR(R396=14,R396=15),"+2",IF(OR(R396=16,R396=17),"+3",IF(OR(R396=18,R396=19),"+4",IF(OR(R396=20,R396=21),"+5",IF(OR(R396=22,R396=23),"+6",IF(OR(R396=24,R396=25),"+7",IF(OR(R396=26,R396=27),"+8",IF(OR(R396=28,R396=29),"+9",IF(R396=30,"+10"," "))))))))))))))))</f>
        <v>+2</v>
      </c>
      <c r="T396" s="10" t="n">
        <v>19</v>
      </c>
      <c r="U396" s="1" t="str">
        <f aca="false">IF(T396=1,"-5",IF(OR(T396=2,T396=3),"-4",IF(OR(T396=4,T396=5),"-3",IF(OR(T396=6,T396=7),"-2",IF(OR(T396=8,T396=9),"-1",IF(OR(T396=10,T396=11),"0",IF(OR(T396=12,T396=13),"+1",IF(OR(T396=14,T396=15),"+2",IF(OR(T396=16,T396=17),"+3",IF(OR(T396=18,T396=19),"+4",IF(OR(T396=20,T396=21),"+5",IF(OR(T396=22,T396=23),"+6",IF(OR(T396=24,T396=25),"+7",IF(OR(T396=26,T396=27),"+8",IF(OR(T396=28,T396=29),"+9",IF(T396=30,"+10"," "))))))))))))))))</f>
        <v>+4</v>
      </c>
      <c r="V396" s="1" t="s">
        <v>1979</v>
      </c>
      <c r="W396" s="1" t="s">
        <v>1980</v>
      </c>
      <c r="X396" s="11" t="s">
        <v>1981</v>
      </c>
      <c r="Y396" s="11" t="s">
        <v>1982</v>
      </c>
      <c r="Z396" s="11" t="s">
        <v>37</v>
      </c>
      <c r="AA396" s="12" t="s">
        <v>37</v>
      </c>
    </row>
    <row r="397" customFormat="false" ht="16.4" hidden="false" customHeight="false" outlineLevel="0" collapsed="false">
      <c r="A397" s="15" t="s">
        <v>1983</v>
      </c>
      <c r="B397" s="3" t="s">
        <v>39</v>
      </c>
      <c r="C397" s="3" t="s">
        <v>40</v>
      </c>
      <c r="D397" s="16" t="n">
        <v>9</v>
      </c>
      <c r="E397" s="6" t="n">
        <f aca="false">VLOOKUP(D397,'[1]REF Tables'!$A$2:$B$40,2)</f>
        <v>5000</v>
      </c>
      <c r="F397" s="3" t="s">
        <v>30</v>
      </c>
      <c r="G397" s="3" t="n">
        <v>12</v>
      </c>
      <c r="H397" s="3" t="s">
        <v>365</v>
      </c>
      <c r="I397" s="3" t="s">
        <v>42</v>
      </c>
      <c r="J397" s="3" t="n">
        <v>9</v>
      </c>
      <c r="K397" s="1" t="str">
        <f aca="false">IF(J397=1,"-5",IF(OR(J397=2,J397=3),"-4",IF(OR(J397=4,J397=5),"-3",IF(OR(J397=6,J397=7),"-2",IF(OR(J397=8,J397=9),"-1",IF(OR(J397=10,J397=11),"0",IF(OR(J397=12,J397=13),"+1",IF(OR(J397=14,J397=15),"+2",IF(OR(J397=16,J397=17),"+3",IF(OR(J397=18,J397=19),"+4",IF(OR(J397=20,J397=21),"+5",IF(OR(J397=22,J397=23),"+6",IF(OR(J397=24,J397=25),"+7",IF(OR(J397=26,J397=27),"+8",IF(OR(J397=28,J397=29),"+9",IF(J397=30,"+10"," "))))))))))))))))</f>
        <v>-1</v>
      </c>
      <c r="L397" s="3" t="n">
        <v>14</v>
      </c>
      <c r="M397" s="1" t="str">
        <f aca="false">IF(L397=1,"-5",IF(OR(L397=2,L397=3),"-4",IF(OR(L397=4,L397=5),"-3",IF(OR(L397=6,L397=7),"-2",IF(OR(L397=8,L397=9),"-1",IF(OR(L397=10,L397=11),"0",IF(OR(L397=12,L397=13),"+1",IF(OR(L397=14,L397=15),"+2",IF(OR(L397=16,L397=17),"+3",IF(OR(L397=18,L397=19),"+4",IF(OR(L397=20,L397=21),"+5",IF(OR(L397=22,L397=23),"+6",IF(OR(L397=24,L397=25),"+7",IF(OR(L397=26,L397=27),"+8",IF(OR(L397=28,L397=29),"+9",IF(L397=30,"+10"," "))))))))))))))))</f>
        <v>+2</v>
      </c>
      <c r="N397" s="3" t="n">
        <v>12</v>
      </c>
      <c r="O397" s="1" t="str">
        <f aca="false">IF(N397=1,"-5",IF(OR(N397=2,N397=3),"-4",IF(OR(N397=4,N397=5),"-3",IF(OR(N397=6,N397=7),"-2",IF(OR(N397=8,N397=9),"-1",IF(OR(N397=10,N397=11),"0",IF(OR(N397=12,N397=13),"+1",IF(OR(N397=14,N397=15),"+2",IF(OR(N397=16,N397=17),"+3",IF(OR(N397=18,N397=19),"+4",IF(OR(N397=20,N397=21),"+5",IF(OR(N397=22,N397=23),"+6",IF(OR(N397=24,N397=25),"+7",IF(OR(N397=26,N397=27),"+8",IF(OR(N397=28,N397=29),"+9",IF(N397=30,"+10"," "))))))))))))))))</f>
        <v>+1</v>
      </c>
      <c r="P397" s="3" t="n">
        <v>17</v>
      </c>
      <c r="Q397" s="1" t="str">
        <f aca="false">IF(P397=1,"-5",IF(OR(P397=2,P397=3),"-4",IF(OR(P397=4,P397=5),"-3",IF(OR(P397=6,P397=7),"-2",IF(OR(P397=8,P397=9),"-1",IF(OR(P397=10,P397=11),"0",IF(OR(P397=12,P397=13),"+1",IF(OR(P397=14,P397=15),"+2",IF(OR(P397=16,P397=17),"+3",IF(OR(P397=18,P397=19),"+4",IF(OR(P397=20,P397=21),"+5",IF(OR(P397=22,P397=23),"+6",IF(OR(P397=24,P397=25),"+7",IF(OR(P397=26,P397=27),"+8",IF(OR(P397=28,P397=29),"+9",IF(P397=30,"+10"," "))))))))))))))))</f>
        <v>+3</v>
      </c>
      <c r="R397" s="3" t="n">
        <v>12</v>
      </c>
      <c r="S397" s="1" t="str">
        <f aca="false">IF(R397=1,"-5",IF(OR(R397=2,R397=3),"-4",IF(OR(R397=4,R397=5),"-3",IF(OR(R397=6,R397=7),"-2",IF(OR(R397=8,R397=9),"-1",IF(OR(R397=10,R397=11),"0",IF(OR(R397=12,R397=13),"+1",IF(OR(R397=14,R397=15),"+2",IF(OR(R397=16,R397=17),"+3",IF(OR(R397=18,R397=19),"+4",IF(OR(R397=20,R397=21),"+5",IF(OR(R397=22,R397=23),"+6",IF(OR(R397=24,R397=25),"+7",IF(OR(R397=26,R397=27),"+8",IF(OR(R397=28,R397=29),"+9",IF(R397=30,"+10"," "))))))))))))))))</f>
        <v>+1</v>
      </c>
      <c r="T397" s="3" t="n">
        <v>11</v>
      </c>
      <c r="U397" s="1" t="str">
        <f aca="false">IF(T397=1,"-5",IF(OR(T397=2,T397=3),"-4",IF(OR(T397=4,T397=5),"-3",IF(OR(T397=6,T397=7),"-2",IF(OR(T397=8,T397=9),"-1",IF(OR(T397=10,T397=11),"0",IF(OR(T397=12,T397=13),"+1",IF(OR(T397=14,T397=15),"+2",IF(OR(T397=16,T397=17),"+3",IF(OR(T397=18,T397=19),"+4",IF(OR(T397=20,T397=21),"+5",IF(OR(T397=22,T397=23),"+6",IF(OR(T397=24,T397=25),"+7",IF(OR(T397=26,T397=27),"+8",IF(OR(T397=28,T397=29),"+9",IF(T397=30,"+10"," "))))))))))))))))</f>
        <v>0</v>
      </c>
      <c r="V397" s="3" t="s">
        <v>1230</v>
      </c>
      <c r="W397" s="3" t="s">
        <v>44</v>
      </c>
      <c r="X397" s="11" t="s">
        <v>1984</v>
      </c>
      <c r="Y397" s="11" t="s">
        <v>1985</v>
      </c>
      <c r="Z397" s="11" t="s">
        <v>37</v>
      </c>
      <c r="AA397" s="12" t="s">
        <v>37</v>
      </c>
    </row>
    <row r="398" customFormat="false" ht="16.4" hidden="false" customHeight="false" outlineLevel="0" collapsed="false">
      <c r="A398" s="15" t="s">
        <v>1986</v>
      </c>
      <c r="B398" s="3" t="s">
        <v>77</v>
      </c>
      <c r="C398" s="3" t="s">
        <v>85</v>
      </c>
      <c r="D398" s="16" t="n">
        <v>3</v>
      </c>
      <c r="E398" s="3" t="n">
        <f aca="false">VLOOKUP(D398,'[1]REF Tables'!$A$2:$B$40,2)</f>
        <v>700</v>
      </c>
      <c r="F398" s="3" t="s">
        <v>30</v>
      </c>
      <c r="G398" s="3" t="n">
        <v>14</v>
      </c>
      <c r="H398" s="3" t="s">
        <v>866</v>
      </c>
      <c r="I398" s="3" t="s">
        <v>42</v>
      </c>
      <c r="J398" s="3" t="n">
        <v>15</v>
      </c>
      <c r="K398" s="1" t="str">
        <f aca="false">IF(J398=1,"-5",IF(OR(J398=2,J398=3),"-4",IF(OR(J398=4,J398=5),"-3",IF(OR(J398=6,J398=7),"-2",IF(OR(J398=8,J398=9),"-1",IF(OR(J398=10,J398=11),"0",IF(OR(J398=12,J398=13),"+1",IF(OR(J398=14,J398=15),"+2",IF(OR(J398=16,J398=17),"+3",IF(OR(J398=18,J398=19),"+4",IF(OR(J398=20,J398=21),"+5",IF(OR(J398=22,J398=23),"+6",IF(OR(J398=24,J398=25),"+7",IF(OR(J398=26,J398=27),"+8",IF(OR(J398=28,J398=29),"+9",IF(J398=30,"+10"," "))))))))))))))))</f>
        <v>+2</v>
      </c>
      <c r="L398" s="3" t="n">
        <v>14</v>
      </c>
      <c r="M398" s="1" t="str">
        <f aca="false">IF(L398=1,"-5",IF(OR(L398=2,L398=3),"-4",IF(OR(L398=4,L398=5),"-3",IF(OR(L398=6,L398=7),"-2",IF(OR(L398=8,L398=9),"-1",IF(OR(L398=10,L398=11),"0",IF(OR(L398=12,L398=13),"+1",IF(OR(L398=14,L398=15),"+2",IF(OR(L398=16,L398=17),"+3",IF(OR(L398=18,L398=19),"+4",IF(OR(L398=20,L398=21),"+5",IF(OR(L398=22,L398=23),"+6",IF(OR(L398=24,L398=25),"+7",IF(OR(L398=26,L398=27),"+8",IF(OR(L398=28,L398=29),"+9",IF(L398=30,"+10"," "))))))))))))))))</f>
        <v>+2</v>
      </c>
      <c r="N398" s="3" t="n">
        <v>16</v>
      </c>
      <c r="O398" s="1" t="str">
        <f aca="false">IF(N398=1,"-5",IF(OR(N398=2,N398=3),"-4",IF(OR(N398=4,N398=5),"-3",IF(OR(N398=6,N398=7),"-2",IF(OR(N398=8,N398=9),"-1",IF(OR(N398=10,N398=11),"0",IF(OR(N398=12,N398=13),"+1",IF(OR(N398=14,N398=15),"+2",IF(OR(N398=16,N398=17),"+3",IF(OR(N398=18,N398=19),"+4",IF(OR(N398=20,N398=21),"+5",IF(OR(N398=22,N398=23),"+6",IF(OR(N398=24,N398=25),"+7",IF(OR(N398=26,N398=27),"+8",IF(OR(N398=28,N398=29),"+9",IF(N398=30,"+10"," "))))))))))))))))</f>
        <v>+3</v>
      </c>
      <c r="P398" s="3" t="n">
        <v>10</v>
      </c>
      <c r="Q398" s="1" t="str">
        <f aca="false">IF(P398=1,"-5",IF(OR(P398=2,P398=3),"-4",IF(OR(P398=4,P398=5),"-3",IF(OR(P398=6,P398=7),"-2",IF(OR(P398=8,P398=9),"-1",IF(OR(P398=10,P398=11),"0",IF(OR(P398=12,P398=13),"+1",IF(OR(P398=14,P398=15),"+2",IF(OR(P398=16,P398=17),"+3",IF(OR(P398=18,P398=19),"+4",IF(OR(P398=20,P398=21),"+5",IF(OR(P398=22,P398=23),"+6",IF(OR(P398=24,P398=25),"+7",IF(OR(P398=26,P398=27),"+8",IF(OR(P398=28,P398=29),"+9",IF(P398=30,"+10"," "))))))))))))))))</f>
        <v>0</v>
      </c>
      <c r="R398" s="3" t="n">
        <v>13</v>
      </c>
      <c r="S398" s="1" t="str">
        <f aca="false">IF(R398=1,"-5",IF(OR(R398=2,R398=3),"-4",IF(OR(R398=4,R398=5),"-3",IF(OR(R398=6,R398=7),"-2",IF(OR(R398=8,R398=9),"-1",IF(OR(R398=10,R398=11),"0",IF(OR(R398=12,R398=13),"+1",IF(OR(R398=14,R398=15),"+2",IF(OR(R398=16,R398=17),"+3",IF(OR(R398=18,R398=19),"+4",IF(OR(R398=20,R398=21),"+5",IF(OR(R398=22,R398=23),"+6",IF(OR(R398=24,R398=25),"+7",IF(OR(R398=26,R398=27),"+8",IF(OR(R398=28,R398=29),"+9",IF(R398=30,"+10"," "))))))))))))))))</f>
        <v>+1</v>
      </c>
      <c r="T398" s="3" t="n">
        <v>15</v>
      </c>
      <c r="U398" s="1" t="str">
        <f aca="false">IF(T398=1,"-5",IF(OR(T398=2,T398=3),"-4",IF(OR(T398=4,T398=5),"-3",IF(OR(T398=6,T398=7),"-2",IF(OR(T398=8,T398=9),"-1",IF(OR(T398=10,T398=11),"0",IF(OR(T398=12,T398=13),"+1",IF(OR(T398=14,T398=15),"+2",IF(OR(T398=16,T398=17),"+3",IF(OR(T398=18,T398=19),"+4",IF(OR(T398=20,T398=21),"+5",IF(OR(T398=22,T398=23),"+6",IF(OR(T398=24,T398=25),"+7",IF(OR(T398=26,T398=27),"+8",IF(OR(T398=28,T398=29),"+9",IF(T398=30,"+10"," "))))))))))))))))</f>
        <v>+2</v>
      </c>
      <c r="V398" s="3" t="s">
        <v>440</v>
      </c>
      <c r="W398" s="3" t="s">
        <v>1130</v>
      </c>
      <c r="X398" s="11" t="s">
        <v>1987</v>
      </c>
      <c r="Y398" s="11" t="s">
        <v>1988</v>
      </c>
      <c r="Z398" s="11" t="s">
        <v>37</v>
      </c>
      <c r="AA398" s="12" t="s">
        <v>37</v>
      </c>
    </row>
    <row r="399" customFormat="false" ht="16.4" hidden="false" customHeight="false" outlineLevel="0" collapsed="false">
      <c r="A399" s="15" t="s">
        <v>1989</v>
      </c>
      <c r="B399" s="3" t="s">
        <v>48</v>
      </c>
      <c r="C399" s="3" t="s">
        <v>49</v>
      </c>
      <c r="D399" s="16" t="n">
        <v>3</v>
      </c>
      <c r="E399" s="3" t="n">
        <f aca="false">VLOOKUP(D399,'[1]REF Tables'!$A$2:$B$40,2)</f>
        <v>700</v>
      </c>
      <c r="F399" s="3" t="s">
        <v>165</v>
      </c>
      <c r="G399" s="3" t="n">
        <v>15</v>
      </c>
      <c r="H399" s="3" t="s">
        <v>1990</v>
      </c>
      <c r="I399" s="3" t="s">
        <v>131</v>
      </c>
      <c r="J399" s="3" t="n">
        <v>6</v>
      </c>
      <c r="K399" s="1" t="str">
        <f aca="false">IF(J399=1,"-5",IF(OR(J399=2,J399=3),"-4",IF(OR(J399=4,J399=5),"-3",IF(OR(J399=6,J399=7),"-2",IF(OR(J399=8,J399=9),"-1",IF(OR(J399=10,J399=11),"0",IF(OR(J399=12,J399=13),"+1",IF(OR(J399=14,J399=15),"+2",IF(OR(J399=16,J399=17),"+3",IF(OR(J399=18,J399=19),"+4",IF(OR(J399=20,J399=21),"+5",IF(OR(J399=22,J399=23),"+6",IF(OR(J399=24,J399=25),"+7",IF(OR(J399=26,J399=27),"+8",IF(OR(J399=28,J399=29),"+9",IF(J399=30,"+10"," "))))))))))))))))</f>
        <v>-2</v>
      </c>
      <c r="L399" s="3" t="n">
        <v>16</v>
      </c>
      <c r="M399" s="1" t="str">
        <f aca="false">IF(L399=1,"-5",IF(OR(L399=2,L399=3),"-4",IF(OR(L399=4,L399=5),"-3",IF(OR(L399=6,L399=7),"-2",IF(OR(L399=8,L399=9),"-1",IF(OR(L399=10,L399=11),"0",IF(OR(L399=12,L399=13),"+1",IF(OR(L399=14,L399=15),"+2",IF(OR(L399=16,L399=17),"+3",IF(OR(L399=18,L399=19),"+4",IF(OR(L399=20,L399=21),"+5",IF(OR(L399=22,L399=23),"+6",IF(OR(L399=24,L399=25),"+7",IF(OR(L399=26,L399=27),"+8",IF(OR(L399=28,L399=29),"+9",IF(L399=30,"+10"," "))))))))))))))))</f>
        <v>+3</v>
      </c>
      <c r="N399" s="3" t="n">
        <v>14</v>
      </c>
      <c r="O399" s="1" t="str">
        <f aca="false">IF(N399=1,"-5",IF(OR(N399=2,N399=3),"-4",IF(OR(N399=4,N399=5),"-3",IF(OR(N399=6,N399=7),"-2",IF(OR(N399=8,N399=9),"-1",IF(OR(N399=10,N399=11),"0",IF(OR(N399=12,N399=13),"+1",IF(OR(N399=14,N399=15),"+2",IF(OR(N399=16,N399=17),"+3",IF(OR(N399=18,N399=19),"+4",IF(OR(N399=20,N399=21),"+5",IF(OR(N399=22,N399=23),"+6",IF(OR(N399=24,N399=25),"+7",IF(OR(N399=26,N399=27),"+8",IF(OR(N399=28,N399=29),"+9",IF(N399=30,"+10"," "))))))))))))))))</f>
        <v>+2</v>
      </c>
      <c r="P399" s="3" t="n">
        <v>13</v>
      </c>
      <c r="Q399" s="1" t="str">
        <f aca="false">IF(P399=1,"-5",IF(OR(P399=2,P399=3),"-4",IF(OR(P399=4,P399=5),"-3",IF(OR(P399=6,P399=7),"-2",IF(OR(P399=8,P399=9),"-1",IF(OR(P399=10,P399=11),"0",IF(OR(P399=12,P399=13),"+1",IF(OR(P399=14,P399=15),"+2",IF(OR(P399=16,P399=17),"+3",IF(OR(P399=18,P399=19),"+4",IF(OR(P399=20,P399=21),"+5",IF(OR(P399=22,P399=23),"+6",IF(OR(P399=24,P399=25),"+7",IF(OR(P399=26,P399=27),"+8",IF(OR(P399=28,P399=29),"+9",IF(P399=30,"+10"," "))))))))))))))))</f>
        <v>+1</v>
      </c>
      <c r="R399" s="3" t="n">
        <v>12</v>
      </c>
      <c r="S399" s="1" t="str">
        <f aca="false">IF(R399=1,"-5",IF(OR(R399=2,R399=3),"-4",IF(OR(R399=4,R399=5),"-3",IF(OR(R399=6,R399=7),"-2",IF(OR(R399=8,R399=9),"-1",IF(OR(R399=10,R399=11),"0",IF(OR(R399=12,R399=13),"+1",IF(OR(R399=14,R399=15),"+2",IF(OR(R399=16,R399=17),"+3",IF(OR(R399=18,R399=19),"+4",IF(OR(R399=20,R399=21),"+5",IF(OR(R399=22,R399=23),"+6",IF(OR(R399=24,R399=25),"+7",IF(OR(R399=26,R399=27),"+8",IF(OR(R399=28,R399=29),"+9",IF(R399=30,"+10"," "))))))))))))))))</f>
        <v>+1</v>
      </c>
      <c r="T399" s="3" t="n">
        <v>15</v>
      </c>
      <c r="U399" s="1" t="str">
        <f aca="false">IF(T399=1,"-5",IF(OR(T399=2,T399=3),"-4",IF(OR(T399=4,T399=5),"-3",IF(OR(T399=6,T399=7),"-2",IF(OR(T399=8,T399=9),"-1",IF(OR(T399=10,T399=11),"0",IF(OR(T399=12,T399=13),"+1",IF(OR(T399=14,T399=15),"+2",IF(OR(T399=16,T399=17),"+3",IF(OR(T399=18,T399=19),"+4",IF(OR(T399=20,T399=21),"+5",IF(OR(T399=22,T399=23),"+6",IF(OR(T399=24,T399=25),"+7",IF(OR(T399=26,T399=27),"+8",IF(OR(T399=28,T399=29),"+9",IF(T399=30,"+10"," "))))))))))))))))</f>
        <v>+2</v>
      </c>
      <c r="V399" s="3" t="s">
        <v>1991</v>
      </c>
      <c r="W399" s="3" t="s">
        <v>1992</v>
      </c>
      <c r="X399" s="11" t="s">
        <v>1993</v>
      </c>
      <c r="Y399" s="11" t="s">
        <v>1994</v>
      </c>
      <c r="Z399" s="11" t="s">
        <v>37</v>
      </c>
      <c r="AA399" s="12" t="s">
        <v>37</v>
      </c>
    </row>
    <row r="400" customFormat="false" ht="16.4" hidden="false" customHeight="false" outlineLevel="0" collapsed="false">
      <c r="A400" s="15" t="s">
        <v>1995</v>
      </c>
      <c r="B400" s="3" t="s">
        <v>48</v>
      </c>
      <c r="C400" s="3" t="s">
        <v>49</v>
      </c>
      <c r="D400" s="16" t="n">
        <v>0.125</v>
      </c>
      <c r="E400" s="3" t="n">
        <f aca="false">VLOOKUP(D400,'[1]REF Tables'!$A$2:$B$40,2)</f>
        <v>25</v>
      </c>
      <c r="F400" s="3" t="s">
        <v>315</v>
      </c>
      <c r="G400" s="3" t="n">
        <v>11</v>
      </c>
      <c r="H400" s="3" t="s">
        <v>1996</v>
      </c>
      <c r="I400" s="3" t="s">
        <v>563</v>
      </c>
      <c r="J400" s="3" t="n">
        <v>3</v>
      </c>
      <c r="K400" s="1" t="str">
        <f aca="false">IF(J400=1,"-5",IF(OR(J400=2,J400=3),"-4",IF(OR(J400=4,J400=5),"-3",IF(OR(J400=6,J400=7),"-2",IF(OR(J400=8,J400=9),"-1",IF(OR(J400=10,J400=11),"0",IF(OR(J400=12,J400=13),"+1",IF(OR(J400=14,J400=15),"+2",IF(OR(J400=16,J400=17),"+3",IF(OR(J400=18,J400=19),"+4",IF(OR(J400=20,J400=21),"+5",IF(OR(J400=22,J400=23),"+6",IF(OR(J400=24,J400=25),"+7",IF(OR(J400=26,J400=27),"+8",IF(OR(J400=28,J400=29),"+9",IF(J400=30,"+10"," "))))))))))))))))</f>
        <v>-4</v>
      </c>
      <c r="L400" s="3" t="n">
        <v>13</v>
      </c>
      <c r="M400" s="1" t="str">
        <f aca="false">IF(L400=1,"-5",IF(OR(L400=2,L400=3),"-4",IF(OR(L400=4,L400=5),"-3",IF(OR(L400=6,L400=7),"-2",IF(OR(L400=8,L400=9),"-1",IF(OR(L400=10,L400=11),"0",IF(OR(L400=12,L400=13),"+1",IF(OR(L400=14,L400=15),"+2",IF(OR(L400=16,L400=17),"+3",IF(OR(L400=18,L400=19),"+4",IF(OR(L400=20,L400=21),"+5",IF(OR(L400=22,L400=23),"+6",IF(OR(L400=24,L400=25),"+7",IF(OR(L400=26,L400=27),"+8",IF(OR(L400=28,L400=29),"+9",IF(L400=30,"+10"," "))))))))))))))))</f>
        <v>+1</v>
      </c>
      <c r="N400" s="3" t="n">
        <v>10</v>
      </c>
      <c r="O400" s="1" t="str">
        <f aca="false">IF(N400=1,"-5",IF(OR(N400=2,N400=3),"-4",IF(OR(N400=4,N400=5),"-3",IF(OR(N400=6,N400=7),"-2",IF(OR(N400=8,N400=9),"-1",IF(OR(N400=10,N400=11),"0",IF(OR(N400=12,N400=13),"+1",IF(OR(N400=14,N400=15),"+2",IF(OR(N400=16,N400=17),"+3",IF(OR(N400=18,N400=19),"+4",IF(OR(N400=20,N400=21),"+5",IF(OR(N400=22,N400=23),"+6",IF(OR(N400=24,N400=25),"+7",IF(OR(N400=26,N400=27),"+8",IF(OR(N400=28,N400=29),"+9",IF(N400=30,"+10"," "))))))))))))))))</f>
        <v>0</v>
      </c>
      <c r="P400" s="3" t="n">
        <v>6</v>
      </c>
      <c r="Q400" s="1" t="str">
        <f aca="false">IF(P400=1,"-5",IF(OR(P400=2,P400=3),"-4",IF(OR(P400=4,P400=5),"-3",IF(OR(P400=6,P400=7),"-2",IF(OR(P400=8,P400=9),"-1",IF(OR(P400=10,P400=11),"0",IF(OR(P400=12,P400=13),"+1",IF(OR(P400=14,P400=15),"+2",IF(OR(P400=16,P400=17),"+3",IF(OR(P400=18,P400=19),"+4",IF(OR(P400=20,P400=21),"+5",IF(OR(P400=22,P400=23),"+6",IF(OR(P400=24,P400=25),"+7",IF(OR(P400=26,P400=27),"+8",IF(OR(P400=28,P400=29),"+9",IF(P400=30,"+10"," "))))))))))))))))</f>
        <v>-2</v>
      </c>
      <c r="R400" s="3" t="n">
        <v>10</v>
      </c>
      <c r="S400" s="1" t="str">
        <f aca="false">IF(R400=1,"-5",IF(OR(R400=2,R400=3),"-4",IF(OR(R400=4,R400=5),"-3",IF(OR(R400=6,R400=7),"-2",IF(OR(R400=8,R400=9),"-1",IF(OR(R400=10,R400=11),"0",IF(OR(R400=12,R400=13),"+1",IF(OR(R400=14,R400=15),"+2",IF(OR(R400=16,R400=17),"+3",IF(OR(R400=18,R400=19),"+4",IF(OR(R400=20,R400=21),"+5",IF(OR(R400=22,R400=23),"+6",IF(OR(R400=24,R400=25),"+7",IF(OR(R400=26,R400=27),"+8",IF(OR(R400=28,R400=29),"+9",IF(R400=30,"+10"," "))))))))))))))))</f>
        <v>0</v>
      </c>
      <c r="T400" s="3" t="n">
        <v>9</v>
      </c>
      <c r="U400" s="1" t="str">
        <f aca="false">IF(T400=1,"-5",IF(OR(T400=2,T400=3),"-4",IF(OR(T400=4,T400=5),"-3",IF(OR(T400=6,T400=7),"-2",IF(OR(T400=8,T400=9),"-1",IF(OR(T400=10,T400=11),"0",IF(OR(T400=12,T400=13),"+1",IF(OR(T400=14,T400=15),"+2",IF(OR(T400=16,T400=17),"+3",IF(OR(T400=18,T400=19),"+4",IF(OR(T400=20,T400=21),"+5",IF(OR(T400=22,T400=23),"+6",IF(OR(T400=24,T400=25),"+7",IF(OR(T400=26,T400=27),"+8",IF(OR(T400=28,T400=29),"+9",IF(T400=30,"+10"," "))))))))))))))))</f>
        <v>-1</v>
      </c>
      <c r="V400" s="3" t="s">
        <v>37</v>
      </c>
      <c r="W400" s="3" t="s">
        <v>37</v>
      </c>
      <c r="X400" s="11" t="s">
        <v>1997</v>
      </c>
      <c r="Y400" s="11" t="s">
        <v>1998</v>
      </c>
      <c r="Z400" s="11" t="s">
        <v>37</v>
      </c>
      <c r="AA400" s="12" t="s">
        <v>37</v>
      </c>
    </row>
    <row r="401" customFormat="false" ht="16.4" hidden="false" customHeight="false" outlineLevel="0" collapsed="false">
      <c r="A401" s="15" t="s">
        <v>1999</v>
      </c>
      <c r="B401" s="3" t="s">
        <v>48</v>
      </c>
      <c r="C401" s="3" t="s">
        <v>49</v>
      </c>
      <c r="D401" s="16" t="n">
        <v>4</v>
      </c>
      <c r="E401" s="6" t="n">
        <f aca="false">VLOOKUP(D401,'[1]REF Tables'!$A$2:$B$40,2)</f>
        <v>1100</v>
      </c>
      <c r="F401" s="3" t="s">
        <v>30</v>
      </c>
      <c r="G401" s="3" t="n">
        <v>15</v>
      </c>
      <c r="H401" s="3" t="s">
        <v>2000</v>
      </c>
      <c r="I401" s="3" t="s">
        <v>131</v>
      </c>
      <c r="J401" s="3" t="n">
        <v>6</v>
      </c>
      <c r="K401" s="1" t="str">
        <f aca="false">IF(J401=1,"-5",IF(OR(J401=2,J401=3),"-4",IF(OR(J401=4,J401=5),"-3",IF(OR(J401=6,J401=7),"-2",IF(OR(J401=8,J401=9),"-1",IF(OR(J401=10,J401=11),"0",IF(OR(J401=12,J401=13),"+1",IF(OR(J401=14,J401=15),"+2",IF(OR(J401=16,J401=17),"+3",IF(OR(J401=18,J401=19),"+4",IF(OR(J401=20,J401=21),"+5",IF(OR(J401=22,J401=23),"+6",IF(OR(J401=24,J401=25),"+7",IF(OR(J401=26,J401=27),"+8",IF(OR(J401=28,J401=29),"+9",IF(J401=30,"+10"," "))))))))))))))))</f>
        <v>-2</v>
      </c>
      <c r="L401" s="3" t="n">
        <v>16</v>
      </c>
      <c r="M401" s="1" t="str">
        <f aca="false">IF(L401=1,"-5",IF(OR(L401=2,L401=3),"-4",IF(OR(L401=4,L401=5),"-3",IF(OR(L401=6,L401=7),"-2",IF(OR(L401=8,L401=9),"-1",IF(OR(L401=10,L401=11),"0",IF(OR(L401=12,L401=13),"+1",IF(OR(L401=14,L401=15),"+2",IF(OR(L401=16,L401=17),"+3",IF(OR(L401=18,L401=19),"+4",IF(OR(L401=20,L401=21),"+5",IF(OR(L401=22,L401=23),"+6",IF(OR(L401=24,L401=25),"+7",IF(OR(L401=26,L401=27),"+8",IF(OR(L401=28,L401=29),"+9",IF(L401=30,"+10"," "))))))))))))))))</f>
        <v>+3</v>
      </c>
      <c r="N401" s="3" t="n">
        <v>14</v>
      </c>
      <c r="O401" s="1" t="str">
        <f aca="false">IF(N401=1,"-5",IF(OR(N401=2,N401=3),"-4",IF(OR(N401=4,N401=5),"-3",IF(OR(N401=6,N401=7),"-2",IF(OR(N401=8,N401=9),"-1",IF(OR(N401=10,N401=11),"0",IF(OR(N401=12,N401=13),"+1",IF(OR(N401=14,N401=15),"+2",IF(OR(N401=16,N401=17),"+3",IF(OR(N401=18,N401=19),"+4",IF(OR(N401=20,N401=21),"+5",IF(OR(N401=22,N401=23),"+6",IF(OR(N401=24,N401=25),"+7",IF(OR(N401=26,N401=27),"+8",IF(OR(N401=28,N401=29),"+9",IF(N401=30,"+10"," "))))))))))))))))</f>
        <v>+2</v>
      </c>
      <c r="P401" s="3" t="n">
        <v>16</v>
      </c>
      <c r="Q401" s="1" t="str">
        <f aca="false">IF(P401=1,"-5",IF(OR(P401=2,P401=3),"-4",IF(OR(P401=4,P401=5),"-3",IF(OR(P401=6,P401=7),"-2",IF(OR(P401=8,P401=9),"-1",IF(OR(P401=10,P401=11),"0",IF(OR(P401=12,P401=13),"+1",IF(OR(P401=14,P401=15),"+2",IF(OR(P401=16,P401=17),"+3",IF(OR(P401=18,P401=19),"+4",IF(OR(P401=20,P401=21),"+5",IF(OR(P401=22,P401=23),"+6",IF(OR(P401=24,P401=25),"+7",IF(OR(P401=26,P401=27),"+8",IF(OR(P401=28,P401=29),"+9",IF(P401=30,"+10"," "))))))))))))))))</f>
        <v>+3</v>
      </c>
      <c r="R401" s="3" t="n">
        <v>12</v>
      </c>
      <c r="S401" s="1" t="str">
        <f aca="false">IF(R401=1,"-5",IF(OR(R401=2,R401=3),"-4",IF(OR(R401=4,R401=5),"-3",IF(OR(R401=6,R401=7),"-2",IF(OR(R401=8,R401=9),"-1",IF(OR(R401=10,R401=11),"0",IF(OR(R401=12,R401=13),"+1",IF(OR(R401=14,R401=15),"+2",IF(OR(R401=16,R401=17),"+3",IF(OR(R401=18,R401=19),"+4",IF(OR(R401=20,R401=21),"+5",IF(OR(R401=22,R401=23),"+6",IF(OR(R401=24,R401=25),"+7",IF(OR(R401=26,R401=27),"+8",IF(OR(R401=28,R401=29),"+9",IF(R401=30,"+10"," "))))))))))))))))</f>
        <v>+1</v>
      </c>
      <c r="T401" s="3" t="n">
        <v>18</v>
      </c>
      <c r="U401" s="1" t="str">
        <f aca="false">IF(T401=1,"-5",IF(OR(T401=2,T401=3),"-4",IF(OR(T401=4,T401=5),"-3",IF(OR(T401=6,T401=7),"-2",IF(OR(T401=8,T401=9),"-1",IF(OR(T401=10,T401=11),"0",IF(OR(T401=12,T401=13),"+1",IF(OR(T401=14,T401=15),"+2",IF(OR(T401=16,T401=17),"+3",IF(OR(T401=18,T401=19),"+4",IF(OR(T401=20,T401=21),"+5",IF(OR(T401=22,T401=23),"+6",IF(OR(T401=24,T401=25),"+7",IF(OR(T401=26,T401=27),"+8",IF(OR(T401=28,T401=29),"+9",IF(T401=30,"+10"," "))))))))))))))))</f>
        <v>+4</v>
      </c>
      <c r="V401" s="3" t="s">
        <v>2001</v>
      </c>
      <c r="W401" s="3" t="s">
        <v>2002</v>
      </c>
      <c r="X401" s="11" t="s">
        <v>2003</v>
      </c>
      <c r="Y401" s="11" t="s">
        <v>1994</v>
      </c>
      <c r="Z401" s="11" t="s">
        <v>37</v>
      </c>
      <c r="AA401" s="12" t="s">
        <v>37</v>
      </c>
    </row>
    <row r="402" customFormat="false" ht="16.4" hidden="false" customHeight="false" outlineLevel="0" collapsed="false">
      <c r="A402" s="15" t="s">
        <v>2004</v>
      </c>
      <c r="B402" s="3" t="s">
        <v>48</v>
      </c>
      <c r="C402" s="3" t="s">
        <v>222</v>
      </c>
      <c r="D402" s="16" t="n">
        <v>13</v>
      </c>
      <c r="E402" s="6" t="n">
        <f aca="false">VLOOKUP(D402,'[1]REF Tables'!$A$2:$B$40,2)</f>
        <v>10000</v>
      </c>
      <c r="F402" s="3" t="s">
        <v>601</v>
      </c>
      <c r="G402" s="3" t="n">
        <v>16</v>
      </c>
      <c r="H402" s="3" t="s">
        <v>2005</v>
      </c>
      <c r="I402" s="3" t="s">
        <v>42</v>
      </c>
      <c r="J402" s="3" t="n">
        <v>27</v>
      </c>
      <c r="K402" s="1" t="str">
        <f aca="false">IF(J402=1,"-5",IF(OR(J402=2,J402=3),"-4",IF(OR(J402=4,J402=5),"-3",IF(OR(J402=6,J402=7),"-2",IF(OR(J402=8,J402=9),"-1",IF(OR(J402=10,J402=11),"0",IF(OR(J402=12,J402=13),"+1",IF(OR(J402=14,J402=15),"+2",IF(OR(J402=16,J402=17),"+3",IF(OR(J402=18,J402=19),"+4",IF(OR(J402=20,J402=21),"+5",IF(OR(J402=22,J402=23),"+6",IF(OR(J402=24,J402=25),"+7",IF(OR(J402=26,J402=27),"+8",IF(OR(J402=28,J402=29),"+9",IF(J402=30,"+10"," "))))))))))))))))</f>
        <v>+8</v>
      </c>
      <c r="L402" s="3" t="n">
        <v>7</v>
      </c>
      <c r="M402" s="1" t="str">
        <f aca="false">IF(L402=1,"-5",IF(OR(L402=2,L402=3),"-4",IF(OR(L402=4,L402=5),"-3",IF(OR(L402=6,L402=7),"-2",IF(OR(L402=8,L402=9),"-1",IF(OR(L402=10,L402=11),"0",IF(OR(L402=12,L402=13),"+1",IF(OR(L402=14,L402=15),"+2",IF(OR(L402=16,L402=17),"+3",IF(OR(L402=18,L402=19),"+4",IF(OR(L402=20,L402=21),"+5",IF(OR(L402=22,L402=23),"+6",IF(OR(L402=24,L402=25),"+7",IF(OR(L402=26,L402=27),"+8",IF(OR(L402=28,L402=29),"+9",IF(L402=30,"+10"," "))))))))))))))))</f>
        <v>-2</v>
      </c>
      <c r="N402" s="3" t="n">
        <v>21</v>
      </c>
      <c r="O402" s="1" t="str">
        <f aca="false">IF(N402=1,"-5",IF(OR(N402=2,N402=3),"-4",IF(OR(N402=4,N402=5),"-3",IF(OR(N402=6,N402=7),"-2",IF(OR(N402=8,N402=9),"-1",IF(OR(N402=10,N402=11),"0",IF(OR(N402=12,N402=13),"+1",IF(OR(N402=14,N402=15),"+2",IF(OR(N402=16,N402=17),"+3",IF(OR(N402=18,N402=19),"+4",IF(OR(N402=20,N402=21),"+5",IF(OR(N402=22,N402=23),"+6",IF(OR(N402=24,N402=25),"+7",IF(OR(N402=26,N402=27),"+8",IF(OR(N402=28,N402=29),"+9",IF(N402=30,"+10"," "))))))))))))))))</f>
        <v>+5</v>
      </c>
      <c r="P402" s="3" t="n">
        <v>3</v>
      </c>
      <c r="Q402" s="1" t="str">
        <f aca="false">IF(P402=1,"-5",IF(OR(P402=2,P402=3),"-4",IF(OR(P402=4,P402=5),"-3",IF(OR(P402=6,P402=7),"-2",IF(OR(P402=8,P402=9),"-1",IF(OR(P402=10,P402=11),"0",IF(OR(P402=12,P402=13),"+1",IF(OR(P402=14,P402=15),"+2",IF(OR(P402=16,P402=17),"+3",IF(OR(P402=18,P402=19),"+4",IF(OR(P402=20,P402=21),"+5",IF(OR(P402=22,P402=23),"+6",IF(OR(P402=24,P402=25),"+7",IF(OR(P402=26,P402=27),"+8",IF(OR(P402=28,P402=29),"+9",IF(P402=30,"+10"," "))))))))))))))))</f>
        <v>-4</v>
      </c>
      <c r="R402" s="3" t="n">
        <v>16</v>
      </c>
      <c r="S402" s="1" t="str">
        <f aca="false">IF(R402=1,"-5",IF(OR(R402=2,R402=3),"-4",IF(OR(R402=4,R402=5),"-3",IF(OR(R402=6,R402=7),"-2",IF(OR(R402=8,R402=9),"-1",IF(OR(R402=10,R402=11),"0",IF(OR(R402=12,R402=13),"+1",IF(OR(R402=14,R402=15),"+2",IF(OR(R402=16,R402=17),"+3",IF(OR(R402=18,R402=19),"+4",IF(OR(R402=20,R402=21),"+5",IF(OR(R402=22,R402=23),"+6",IF(OR(R402=24,R402=25),"+7",IF(OR(R402=26,R402=27),"+8",IF(OR(R402=28,R402=29),"+9",IF(R402=30,"+10"," "))))))))))))))))</f>
        <v>+3</v>
      </c>
      <c r="T402" s="3" t="n">
        <v>12</v>
      </c>
      <c r="U402" s="1" t="str">
        <f aca="false">IF(T402=1,"-5",IF(OR(T402=2,T402=3),"-4",IF(OR(T402=4,T402=5),"-3",IF(OR(T402=6,T402=7),"-2",IF(OR(T402=8,T402=9),"-1",IF(OR(T402=10,T402=11),"0",IF(OR(T402=12,T402=13),"+1",IF(OR(T402=14,T402=15),"+2",IF(OR(T402=16,T402=17),"+3",IF(OR(T402=18,T402=19),"+4",IF(OR(T402=20,T402=21),"+5",IF(OR(T402=22,T402=23),"+6",IF(OR(T402=24,T402=25),"+7",IF(OR(T402=26,T402=27),"+8",IF(OR(T402=28,T402=29),"+9",IF(T402=30,"+10"," "))))))))))))))))</f>
        <v>+1</v>
      </c>
      <c r="V402" s="3" t="s">
        <v>2006</v>
      </c>
      <c r="W402" s="3" t="s">
        <v>37</v>
      </c>
      <c r="X402" s="11" t="s">
        <v>2007</v>
      </c>
      <c r="Y402" s="11" t="s">
        <v>2008</v>
      </c>
      <c r="Z402" s="11" t="s">
        <v>37</v>
      </c>
      <c r="AA402" s="12" t="s">
        <v>37</v>
      </c>
    </row>
    <row r="403" customFormat="false" ht="16.4" hidden="false" customHeight="false" outlineLevel="0" collapsed="false">
      <c r="A403" s="1" t="s">
        <v>2009</v>
      </c>
      <c r="B403" s="1" t="s">
        <v>1052</v>
      </c>
      <c r="C403" s="1" t="s">
        <v>85</v>
      </c>
      <c r="D403" s="5" t="n">
        <v>2</v>
      </c>
      <c r="E403" s="3" t="n">
        <f aca="false">VLOOKUP(D403,'[1]REF Tables'!$A$2:$B$40,2)</f>
        <v>450</v>
      </c>
      <c r="F403" s="1" t="s">
        <v>30</v>
      </c>
      <c r="G403" s="1" t="n">
        <v>11</v>
      </c>
      <c r="H403" s="1" t="s">
        <v>1206</v>
      </c>
      <c r="I403" s="3" t="s">
        <v>42</v>
      </c>
      <c r="J403" s="1" t="n">
        <v>9</v>
      </c>
      <c r="K403" s="1" t="str">
        <f aca="false">IF(J403=1,"-5",IF(OR(J403=2,J403=3),"-4",IF(OR(J403=4,J403=5),"-3",IF(OR(J403=6,J403=7),"-2",IF(OR(J403=8,J403=9),"-1",IF(OR(J403=10,J403=11),"0",IF(OR(J403=12,J403=13),"+1",IF(OR(J403=14,J403=15),"+2",IF(OR(J403=16,J403=17),"+3",IF(OR(J403=18,J403=19),"+4",IF(OR(J403=20,J403=21),"+5",IF(OR(J403=22,J403=23),"+6",IF(OR(J403=24,J403=25),"+7",IF(OR(J403=26,J403=27),"+8",IF(OR(J403=28,J403=29),"+9",IF(J403=30,"+10"," "))))))))))))))))</f>
        <v>-1</v>
      </c>
      <c r="L403" s="1" t="n">
        <v>13</v>
      </c>
      <c r="M403" s="1" t="str">
        <f aca="false">IF(L403=1,"-5",IF(OR(L403=2,L403=3),"-4",IF(OR(L403=4,L403=5),"-3",IF(OR(L403=6,L403=7),"-2",IF(OR(L403=8,L403=9),"-1",IF(OR(L403=10,L403=11),"0",IF(OR(L403=12,L403=13),"+1",IF(OR(L403=14,L403=15),"+2",IF(OR(L403=16,L403=17),"+3",IF(OR(L403=18,L403=19),"+4",IF(OR(L403=20,L403=21),"+5",IF(OR(L403=22,L403=23),"+6",IF(OR(L403=24,L403=25),"+7",IF(OR(L403=26,L403=27),"+8",IF(OR(L403=28,L403=29),"+9",IF(L403=30,"+10"," "))))))))))))))))</f>
        <v>+1</v>
      </c>
      <c r="N403" s="1" t="n">
        <v>10</v>
      </c>
      <c r="O403" s="1" t="str">
        <f aca="false">IF(N403=1,"-5",IF(OR(N403=2,N403=3),"-4",IF(OR(N403=4,N403=5),"-3",IF(OR(N403=6,N403=7),"-2",IF(OR(N403=8,N403=9),"-1",IF(OR(N403=10,N403=11),"0",IF(OR(N403=12,N403=13),"+1",IF(OR(N403=14,N403=15),"+2",IF(OR(N403=16,N403=17),"+3",IF(OR(N403=18,N403=19),"+4",IF(OR(N403=20,N403=21),"+5",IF(OR(N403=22,N403=23),"+6",IF(OR(N403=24,N403=25),"+7",IF(OR(N403=26,N403=27),"+8",IF(OR(N403=28,N403=29),"+9",IF(N403=30,"+10"," "))))))))))))))))</f>
        <v>0</v>
      </c>
      <c r="P403" s="1" t="n">
        <v>16</v>
      </c>
      <c r="Q403" s="1" t="str">
        <f aca="false">IF(P403=1,"-5",IF(OR(P403=2,P403=3),"-4",IF(OR(P403=4,P403=5),"-3",IF(OR(P403=6,P403=7),"-2",IF(OR(P403=8,P403=9),"-1",IF(OR(P403=10,P403=11),"0",IF(OR(P403=12,P403=13),"+1",IF(OR(P403=14,P403=15),"+2",IF(OR(P403=16,P403=17),"+3",IF(OR(P403=18,P403=19),"+4",IF(OR(P403=20,P403=21),"+5",IF(OR(P403=22,P403=23),"+6",IF(OR(P403=24,P403=25),"+7",IF(OR(P403=26,P403=27),"+8",IF(OR(P403=28,P403=29),"+9",IF(P403=30,"+10"," "))))))))))))))))</f>
        <v>+3</v>
      </c>
      <c r="R403" s="1" t="n">
        <v>14</v>
      </c>
      <c r="S403" s="1" t="str">
        <f aca="false">IF(R403=1,"-5",IF(OR(R403=2,R403=3),"-4",IF(OR(R403=4,R403=5),"-3",IF(OR(R403=6,R403=7),"-2",IF(OR(R403=8,R403=9),"-1",IF(OR(R403=10,R403=11),"0",IF(OR(R403=12,R403=13),"+1",IF(OR(R403=14,R403=15),"+2",IF(OR(R403=16,R403=17),"+3",IF(OR(R403=18,R403=19),"+4",IF(OR(R403=20,R403=21),"+5",IF(OR(R403=22,R403=23),"+6",IF(OR(R403=24,R403=25),"+7",IF(OR(R403=26,R403=27),"+8",IF(OR(R403=28,R403=29),"+9",IF(R403=30,"+10"," "))))))))))))))))</f>
        <v>+2</v>
      </c>
      <c r="T403" s="1" t="n">
        <v>13</v>
      </c>
      <c r="U403" s="1" t="str">
        <f aca="false">IF(T403=1,"-5",IF(OR(T403=2,T403=3),"-4",IF(OR(T403=4,T403=5),"-3",IF(OR(T403=6,T403=7),"-2",IF(OR(T403=8,T403=9),"-1",IF(OR(T403=10,T403=11),"0",IF(OR(T403=12,T403=13),"+1",IF(OR(T403=14,T403=15),"+2",IF(OR(T403=16,T403=17),"+3",IF(OR(T403=18,T403=19),"+4",IF(OR(T403=20,T403=21),"+5",IF(OR(T403=22,T403=23),"+6",IF(OR(T403=24,T403=25),"+7",IF(OR(T403=26,T403=27),"+8",IF(OR(T403=28,T403=29),"+9",IF(T403=30,"+10"," "))))))))))))))))</f>
        <v>+1</v>
      </c>
      <c r="V403" s="1" t="s">
        <v>2010</v>
      </c>
      <c r="W403" s="1" t="s">
        <v>2011</v>
      </c>
      <c r="X403" s="2" t="s">
        <v>2012</v>
      </c>
      <c r="Y403" s="2" t="s">
        <v>2013</v>
      </c>
      <c r="Z403" s="2" t="s">
        <v>37</v>
      </c>
      <c r="AA403" s="1" t="s">
        <v>37</v>
      </c>
    </row>
    <row r="404" customFormat="false" ht="16.4" hidden="false" customHeight="false" outlineLevel="0" collapsed="false">
      <c r="A404" s="14" t="s">
        <v>2014</v>
      </c>
      <c r="B404" s="1" t="s">
        <v>158</v>
      </c>
      <c r="C404" s="1" t="s">
        <v>85</v>
      </c>
      <c r="D404" s="5" t="n">
        <v>0.125</v>
      </c>
      <c r="E404" s="3" t="n">
        <f aca="false">VLOOKUP(D404,'[1]REF Tables'!$A$2:$B$40,2)</f>
        <v>25</v>
      </c>
      <c r="F404" s="1" t="s">
        <v>165</v>
      </c>
      <c r="G404" s="1" t="n">
        <v>13</v>
      </c>
      <c r="H404" s="1" t="s">
        <v>1893</v>
      </c>
      <c r="I404" s="3" t="s">
        <v>160</v>
      </c>
      <c r="J404" s="1" t="n">
        <v>6</v>
      </c>
      <c r="K404" s="1" t="str">
        <f aca="false">IF(J404=1,"-5",IF(OR(J404=2,J404=3),"-4",IF(OR(J404=4,J404=5),"-3",IF(OR(J404=6,J404=7),"-2",IF(OR(J404=8,J404=9),"-1",IF(OR(J404=10,J404=11),"0",IF(OR(J404=12,J404=13),"+1",IF(OR(J404=14,J404=15),"+2",IF(OR(J404=16,J404=17),"+3",IF(OR(J404=18,J404=19),"+4",IF(OR(J404=20,J404=21),"+5",IF(OR(J404=22,J404=23),"+6",IF(OR(J404=24,J404=25),"+7",IF(OR(J404=26,J404=27),"+8",IF(OR(J404=28,J404=29),"+9",IF(J404=30,"+10"," "))))))))))))))))</f>
        <v>-2</v>
      </c>
      <c r="L404" s="1" t="n">
        <v>13</v>
      </c>
      <c r="M404" s="1" t="str">
        <f aca="false">IF(L404=1,"-5",IF(OR(L404=2,L404=3),"-4",IF(OR(L404=4,L404=5),"-3",IF(OR(L404=6,L404=7),"-2",IF(OR(L404=8,L404=9),"-1",IF(OR(L404=10,L404=11),"0",IF(OR(L404=12,L404=13),"+1",IF(OR(L404=14,L404=15),"+2",IF(OR(L404=16,L404=17),"+3",IF(OR(L404=18,L404=19),"+4",IF(OR(L404=20,L404=21),"+5",IF(OR(L404=22,L404=23),"+6",IF(OR(L404=24,L404=25),"+7",IF(OR(L404=26,L404=27),"+8",IF(OR(L404=28,L404=29),"+9",IF(L404=30,"+10"," "))))))))))))))))</f>
        <v>+1</v>
      </c>
      <c r="N404" s="1" t="n">
        <v>12</v>
      </c>
      <c r="O404" s="1" t="str">
        <f aca="false">IF(N404=1,"-5",IF(OR(N404=2,N404=3),"-4",IF(OR(N404=4,N404=5),"-3",IF(OR(N404=6,N404=7),"-2",IF(OR(N404=8,N404=9),"-1",IF(OR(N404=10,N404=11),"0",IF(OR(N404=12,N404=13),"+1",IF(OR(N404=14,N404=15),"+2",IF(OR(N404=16,N404=17),"+3",IF(OR(N404=18,N404=19),"+4",IF(OR(N404=20,N404=21),"+5",IF(OR(N404=22,N404=23),"+6",IF(OR(N404=24,N404=25),"+7",IF(OR(N404=26,N404=27),"+8",IF(OR(N404=28,N404=29),"+9",IF(N404=30,"+10"," "))))))))))))))))</f>
        <v>+1</v>
      </c>
      <c r="P404" s="1" t="n">
        <v>4</v>
      </c>
      <c r="Q404" s="1" t="str">
        <f aca="false">IF(P404=1,"-5",IF(OR(P404=2,P404=3),"-4",IF(OR(P404=4,P404=5),"-3",IF(OR(P404=6,P404=7),"-2",IF(OR(P404=8,P404=9),"-1",IF(OR(P404=10,P404=11),"0",IF(OR(P404=12,P404=13),"+1",IF(OR(P404=14,P404=15),"+2",IF(OR(P404=16,P404=17),"+3",IF(OR(P404=18,P404=19),"+4",IF(OR(P404=20,P404=21),"+5",IF(OR(P404=22,P404=23),"+6",IF(OR(P404=24,P404=25),"+7",IF(OR(P404=26,P404=27),"+8",IF(OR(P404=28,P404=29),"+9",IF(P404=30,"+10"," "))))))))))))))))</f>
        <v>-3</v>
      </c>
      <c r="R404" s="1" t="n">
        <v>8</v>
      </c>
      <c r="S404" s="1" t="str">
        <f aca="false">IF(R404=1,"-5",IF(OR(R404=2,R404=3),"-4",IF(OR(R404=4,R404=5),"-3",IF(OR(R404=6,R404=7),"-2",IF(OR(R404=8,R404=9),"-1",IF(OR(R404=10,R404=11),"0",IF(OR(R404=12,R404=13),"+1",IF(OR(R404=14,R404=15),"+2",IF(OR(R404=16,R404=17),"+3",IF(OR(R404=18,R404=19),"+4",IF(OR(R404=20,R404=21),"+5",IF(OR(R404=22,R404=23),"+6",IF(OR(R404=24,R404=25),"+7",IF(OR(R404=26,R404=27),"+8",IF(OR(R404=28,R404=29),"+9",IF(R404=30,"+10"," "))))))))))))))))</f>
        <v>-1</v>
      </c>
      <c r="T404" s="1" t="n">
        <v>3</v>
      </c>
      <c r="U404" s="1" t="str">
        <f aca="false">IF(T404=1,"-5",IF(OR(T404=2,T404=3),"-4",IF(OR(T404=4,T404=5),"-3",IF(OR(T404=6,T404=7),"-2",IF(OR(T404=8,T404=9),"-1",IF(OR(T404=10,T404=11),"0",IF(OR(T404=12,T404=13),"+1",IF(OR(T404=14,T404=15),"+2",IF(OR(T404=16,T404=17),"+3",IF(OR(T404=18,T404=19),"+4",IF(OR(T404=20,T404=21),"+5",IF(OR(T404=22,T404=23),"+6",IF(OR(T404=24,T404=25),"+7",IF(OR(T404=26,T404=27),"+8",IF(OR(T404=28,T404=29),"+9",IF(T404=30,"+10"," "))))))))))))))))</f>
        <v>-4</v>
      </c>
      <c r="V404" s="1" t="s">
        <v>375</v>
      </c>
      <c r="W404" s="1" t="s">
        <v>1531</v>
      </c>
      <c r="X404" s="2" t="s">
        <v>2015</v>
      </c>
      <c r="Y404" s="2" t="s">
        <v>2016</v>
      </c>
      <c r="Z404" s="2" t="s">
        <v>37</v>
      </c>
      <c r="AA404" s="1" t="s">
        <v>37</v>
      </c>
    </row>
    <row r="405" customFormat="false" ht="16.4" hidden="false" customHeight="false" outlineLevel="0" collapsed="false">
      <c r="A405" s="15" t="s">
        <v>2017</v>
      </c>
      <c r="B405" s="3" t="s">
        <v>2018</v>
      </c>
      <c r="C405" s="3" t="s">
        <v>222</v>
      </c>
      <c r="D405" s="16" t="n">
        <v>1</v>
      </c>
      <c r="E405" s="3" t="n">
        <f aca="false">VLOOKUP(D405,'[1]REF Tables'!$A$2:$B$40,2)</f>
        <v>200</v>
      </c>
      <c r="F405" s="3" t="s">
        <v>165</v>
      </c>
      <c r="G405" s="3" t="n">
        <v>13</v>
      </c>
      <c r="H405" s="3" t="s">
        <v>1252</v>
      </c>
      <c r="I405" s="3" t="s">
        <v>42</v>
      </c>
      <c r="J405" s="3" t="n">
        <v>8</v>
      </c>
      <c r="K405" s="1" t="str">
        <f aca="false">IF(J405=1,"-5",IF(OR(J405=2,J405=3),"-4",IF(OR(J405=4,J405=5),"-3",IF(OR(J405=6,J405=7),"-2",IF(OR(J405=8,J405=9),"-1",IF(OR(J405=10,J405=11),"0",IF(OR(J405=12,J405=13),"+1",IF(OR(J405=14,J405=15),"+2",IF(OR(J405=16,J405=17),"+3",IF(OR(J405=18,J405=19),"+4",IF(OR(J405=20,J405=21),"+5",IF(OR(J405=22,J405=23),"+6",IF(OR(J405=24,J405=25),"+7",IF(OR(J405=26,J405=27),"+8",IF(OR(J405=28,J405=29),"+9",IF(J405=30,"+10"," "))))))))))))))))</f>
        <v>-1</v>
      </c>
      <c r="L405" s="3" t="n">
        <v>14</v>
      </c>
      <c r="M405" s="1" t="str">
        <f aca="false">IF(L405=1,"-5",IF(OR(L405=2,L405=3),"-4",IF(OR(L405=4,L405=5),"-3",IF(OR(L405=6,L405=7),"-2",IF(OR(L405=8,L405=9),"-1",IF(OR(L405=10,L405=11),"0",IF(OR(L405=12,L405=13),"+1",IF(OR(L405=14,L405=15),"+2",IF(OR(L405=16,L405=17),"+3",IF(OR(L405=18,L405=19),"+4",IF(OR(L405=20,L405=21),"+5",IF(OR(L405=22,L405=23),"+6",IF(OR(L405=24,L405=25),"+7",IF(OR(L405=26,L405=27),"+8",IF(OR(L405=28,L405=29),"+9",IF(L405=30,"+10"," "))))))))))))))))</f>
        <v>+2</v>
      </c>
      <c r="N405" s="3" t="n">
        <v>10</v>
      </c>
      <c r="O405" s="1" t="str">
        <f aca="false">IF(N405=1,"-5",IF(OR(N405=2,N405=3),"-4",IF(OR(N405=4,N405=5),"-3",IF(OR(N405=6,N405=7),"-2",IF(OR(N405=8,N405=9),"-1",IF(OR(N405=10,N405=11),"0",IF(OR(N405=12,N405=13),"+1",IF(OR(N405=14,N405=15),"+2",IF(OR(N405=16,N405=17),"+3",IF(OR(N405=18,N405=19),"+4",IF(OR(N405=20,N405=21),"+5",IF(OR(N405=22,N405=23),"+6",IF(OR(N405=24,N405=25),"+7",IF(OR(N405=26,N405=27),"+8",IF(OR(N405=28,N405=29),"+9",IF(N405=30,"+10"," "))))))))))))))))</f>
        <v>0</v>
      </c>
      <c r="P405" s="3" t="n">
        <v>10</v>
      </c>
      <c r="Q405" s="1" t="str">
        <f aca="false">IF(P405=1,"-5",IF(OR(P405=2,P405=3),"-4",IF(OR(P405=4,P405=5),"-3",IF(OR(P405=6,P405=7),"-2",IF(OR(P405=8,P405=9),"-1",IF(OR(P405=10,P405=11),"0",IF(OR(P405=12,P405=13),"+1",IF(OR(P405=14,P405=15),"+2",IF(OR(P405=16,P405=17),"+3",IF(OR(P405=18,P405=19),"+4",IF(OR(P405=20,P405=21),"+5",IF(OR(P405=22,P405=23),"+6",IF(OR(P405=24,P405=25),"+7",IF(OR(P405=26,P405=27),"+8",IF(OR(P405=28,P405=29),"+9",IF(P405=30,"+10"," "))))))))))))))))</f>
        <v>0</v>
      </c>
      <c r="R405" s="3" t="n">
        <v>8</v>
      </c>
      <c r="S405" s="1" t="str">
        <f aca="false">IF(R405=1,"-5",IF(OR(R405=2,R405=3),"-4",IF(OR(R405=4,R405=5),"-3",IF(OR(R405=6,R405=7),"-2",IF(OR(R405=8,R405=9),"-1",IF(OR(R405=10,R405=11),"0",IF(OR(R405=12,R405=13),"+1",IF(OR(R405=14,R405=15),"+2",IF(OR(R405=16,R405=17),"+3",IF(OR(R405=18,R405=19),"+4",IF(OR(R405=20,R405=21),"+5",IF(OR(R405=22,R405=23),"+6",IF(OR(R405=24,R405=25),"+7",IF(OR(R405=26,R405=27),"+8",IF(OR(R405=28,R405=29),"+9",IF(R405=30,"+10"," "))))))))))))))))</f>
        <v>-1</v>
      </c>
      <c r="T405" s="3" t="n">
        <v>15</v>
      </c>
      <c r="U405" s="1" t="str">
        <f aca="false">IF(T405=1,"-5",IF(OR(T405=2,T405=3),"-4",IF(OR(T405=4,T405=5),"-3",IF(OR(T405=6,T405=7),"-2",IF(OR(T405=8,T405=9),"-1",IF(OR(T405=10,T405=11),"0",IF(OR(T405=12,T405=13),"+1",IF(OR(T405=14,T405=15),"+2",IF(OR(T405=16,T405=17),"+3",IF(OR(T405=18,T405=19),"+4",IF(OR(T405=20,T405=21),"+5",IF(OR(T405=22,T405=23),"+6",IF(OR(T405=24,T405=25),"+7",IF(OR(T405=26,T405=27),"+8",IF(OR(T405=28,T405=29),"+9",IF(T405=30,"+10"," "))))))))))))))))</f>
        <v>+2</v>
      </c>
      <c r="V405" s="3" t="s">
        <v>142</v>
      </c>
      <c r="W405" s="3" t="s">
        <v>1451</v>
      </c>
      <c r="X405" s="11" t="s">
        <v>2019</v>
      </c>
      <c r="Y405" s="11" t="s">
        <v>2020</v>
      </c>
      <c r="Z405" s="11" t="s">
        <v>2021</v>
      </c>
      <c r="AA405" s="12" t="s">
        <v>37</v>
      </c>
    </row>
    <row r="406" customFormat="false" ht="16.4" hidden="false" customHeight="false" outlineLevel="0" collapsed="false">
      <c r="A406" s="15" t="s">
        <v>2022</v>
      </c>
      <c r="B406" s="3" t="s">
        <v>39</v>
      </c>
      <c r="C406" s="3" t="s">
        <v>40</v>
      </c>
      <c r="D406" s="16" t="n">
        <v>0.125</v>
      </c>
      <c r="E406" s="3" t="n">
        <f aca="false">VLOOKUP(D406,'[1]REF Tables'!$A$2:$B$40,2)</f>
        <v>25</v>
      </c>
      <c r="F406" s="3" t="s">
        <v>30</v>
      </c>
      <c r="G406" s="3" t="n">
        <v>15</v>
      </c>
      <c r="H406" s="3" t="s">
        <v>64</v>
      </c>
      <c r="I406" s="3" t="s">
        <v>42</v>
      </c>
      <c r="J406" s="3" t="n">
        <v>11</v>
      </c>
      <c r="K406" s="1" t="str">
        <f aca="false">IF(J406=1,"-5",IF(OR(J406=2,J406=3),"-4",IF(OR(J406=4,J406=5),"-3",IF(OR(J406=6,J406=7),"-2",IF(OR(J406=8,J406=9),"-1",IF(OR(J406=10,J406=11),"0",IF(OR(J406=12,J406=13),"+1",IF(OR(J406=14,J406=15),"+2",IF(OR(J406=16,J406=17),"+3",IF(OR(J406=18,J406=19),"+4",IF(OR(J406=20,J406=21),"+5",IF(OR(J406=22,J406=23),"+6",IF(OR(J406=24,J406=25),"+7",IF(OR(J406=26,J406=27),"+8",IF(OR(J406=28,J406=29),"+9",IF(J406=30,"+10"," "))))))))))))))))</f>
        <v>0</v>
      </c>
      <c r="L406" s="3" t="n">
        <v>12</v>
      </c>
      <c r="M406" s="1" t="str">
        <f aca="false">IF(L406=1,"-5",IF(OR(L406=2,L406=3),"-4",IF(OR(L406=4,L406=5),"-3",IF(OR(L406=6,L406=7),"-2",IF(OR(L406=8,L406=9),"-1",IF(OR(L406=10,L406=11),"0",IF(OR(L406=12,L406=13),"+1",IF(OR(L406=14,L406=15),"+2",IF(OR(L406=16,L406=17),"+3",IF(OR(L406=18,L406=19),"+4",IF(OR(L406=20,L406=21),"+5",IF(OR(L406=22,L406=23),"+6",IF(OR(L406=24,L406=25),"+7",IF(OR(L406=26,L406=27),"+8",IF(OR(L406=28,L406=29),"+9",IF(L406=30,"+10"," "))))))))))))))))</f>
        <v>+1</v>
      </c>
      <c r="N406" s="3" t="n">
        <v>11</v>
      </c>
      <c r="O406" s="1" t="str">
        <f aca="false">IF(N406=1,"-5",IF(OR(N406=2,N406=3),"-4",IF(OR(N406=4,N406=5),"-3",IF(OR(N406=6,N406=7),"-2",IF(OR(N406=8,N406=9),"-1",IF(OR(N406=10,N406=11),"0",IF(OR(N406=12,N406=13),"+1",IF(OR(N406=14,N406=15),"+2",IF(OR(N406=16,N406=17),"+3",IF(OR(N406=18,N406=19),"+4",IF(OR(N406=20,N406=21),"+5",IF(OR(N406=22,N406=23),"+6",IF(OR(N406=24,N406=25),"+7",IF(OR(N406=26,N406=27),"+8",IF(OR(N406=28,N406=29),"+9",IF(N406=30,"+10"," "))))))))))))))))</f>
        <v>0</v>
      </c>
      <c r="P406" s="3" t="n">
        <v>12</v>
      </c>
      <c r="Q406" s="1" t="str">
        <f aca="false">IF(P406=1,"-5",IF(OR(P406=2,P406=3),"-4",IF(OR(P406=4,P406=5),"-3",IF(OR(P406=6,P406=7),"-2",IF(OR(P406=8,P406=9),"-1",IF(OR(P406=10,P406=11),"0",IF(OR(P406=12,P406=13),"+1",IF(OR(P406=14,P406=15),"+2",IF(OR(P406=16,P406=17),"+3",IF(OR(P406=18,P406=19),"+4",IF(OR(P406=20,P406=21),"+5",IF(OR(P406=22,P406=23),"+6",IF(OR(P406=24,P406=25),"+7",IF(OR(P406=26,P406=27),"+8",IF(OR(P406=28,P406=29),"+9",IF(P406=30,"+10"," "))))))))))))))))</f>
        <v>+1</v>
      </c>
      <c r="R406" s="3" t="n">
        <v>14</v>
      </c>
      <c r="S406" s="1" t="str">
        <f aca="false">IF(R406=1,"-5",IF(OR(R406=2,R406=3),"-4",IF(OR(R406=4,R406=5),"-3",IF(OR(R406=6,R406=7),"-2",IF(OR(R406=8,R406=9),"-1",IF(OR(R406=10,R406=11),"0",IF(OR(R406=12,R406=13),"+1",IF(OR(R406=14,R406=15),"+2",IF(OR(R406=16,R406=17),"+3",IF(OR(R406=18,R406=19),"+4",IF(OR(R406=20,R406=21),"+5",IF(OR(R406=22,R406=23),"+6",IF(OR(R406=24,R406=25),"+7",IF(OR(R406=26,R406=27),"+8",IF(OR(R406=28,R406=29),"+9",IF(R406=30,"+10"," "))))))))))))))))</f>
        <v>+2</v>
      </c>
      <c r="T406" s="3" t="n">
        <v>16</v>
      </c>
      <c r="U406" s="1" t="str">
        <f aca="false">IF(T406=1,"-5",IF(OR(T406=2,T406=3),"-4",IF(OR(T406=4,T406=5),"-3",IF(OR(T406=6,T406=7),"-2",IF(OR(T406=8,T406=9),"-1",IF(OR(T406=10,T406=11),"0",IF(OR(T406=12,T406=13),"+1",IF(OR(T406=14,T406=15),"+2",IF(OR(T406=16,T406=17),"+3",IF(OR(T406=18,T406=19),"+4",IF(OR(T406=20,T406=21),"+5",IF(OR(T406=22,T406=23),"+6",IF(OR(T406=24,T406=25),"+7",IF(OR(T406=26,T406=27),"+8",IF(OR(T406=28,T406=29),"+9",IF(T406=30,"+10"," "))))))))))))))))</f>
        <v>+3</v>
      </c>
      <c r="V406" s="3" t="s">
        <v>2023</v>
      </c>
      <c r="W406" s="3" t="s">
        <v>265</v>
      </c>
      <c r="X406" s="11" t="s">
        <v>475</v>
      </c>
      <c r="Y406" s="11" t="s">
        <v>2024</v>
      </c>
      <c r="Z406" s="11" t="s">
        <v>2025</v>
      </c>
      <c r="AA406" s="12" t="s">
        <v>37</v>
      </c>
    </row>
    <row r="407" customFormat="false" ht="16.4" hidden="false" customHeight="false" outlineLevel="0" collapsed="false">
      <c r="A407" s="14" t="s">
        <v>2026</v>
      </c>
      <c r="B407" s="1" t="s">
        <v>48</v>
      </c>
      <c r="C407" s="1" t="s">
        <v>85</v>
      </c>
      <c r="D407" s="5" t="n">
        <v>2</v>
      </c>
      <c r="E407" s="3" t="n">
        <f aca="false">VLOOKUP(D407,'[1]REF Tables'!$A$2:$B$40,2)</f>
        <v>450</v>
      </c>
      <c r="F407" s="1" t="s">
        <v>30</v>
      </c>
      <c r="G407" s="1" t="n">
        <v>15</v>
      </c>
      <c r="H407" s="1" t="s">
        <v>866</v>
      </c>
      <c r="I407" s="3" t="s">
        <v>42</v>
      </c>
      <c r="J407" s="1" t="n">
        <v>14</v>
      </c>
      <c r="K407" s="1" t="str">
        <f aca="false">IF(J407=1,"-5",IF(OR(J407=2,J407=3),"-4",IF(OR(J407=4,J407=5),"-3",IF(OR(J407=6,J407=7),"-2",IF(OR(J407=8,J407=9),"-1",IF(OR(J407=10,J407=11),"0",IF(OR(J407=12,J407=13),"+1",IF(OR(J407=14,J407=15),"+2",IF(OR(J407=16,J407=17),"+3",IF(OR(J407=18,J407=19),"+4",IF(OR(J407=20,J407=21),"+5",IF(OR(J407=22,J407=23),"+6",IF(OR(J407=24,J407=25),"+7",IF(OR(J407=26,J407=27),"+8",IF(OR(J407=28,J407=29),"+9",IF(J407=30,"+10"," "))))))))))))))))</f>
        <v>+2</v>
      </c>
      <c r="L407" s="1" t="n">
        <v>16</v>
      </c>
      <c r="M407" s="1" t="str">
        <f aca="false">IF(L407=1,"-5",IF(OR(L407=2,L407=3),"-4",IF(OR(L407=4,L407=5),"-3",IF(OR(L407=6,L407=7),"-2",IF(OR(L407=8,L407=9),"-1",IF(OR(L407=10,L407=11),"0",IF(OR(L407=12,L407=13),"+1",IF(OR(L407=14,L407=15),"+2",IF(OR(L407=16,L407=17),"+3",IF(OR(L407=18,L407=19),"+4",IF(OR(L407=20,L407=21),"+5",IF(OR(L407=22,L407=23),"+6",IF(OR(L407=24,L407=25),"+7",IF(OR(L407=26,L407=27),"+8",IF(OR(L407=28,L407=29),"+9",IF(L407=30,"+10"," "))))))))))))))))</f>
        <v>+3</v>
      </c>
      <c r="N407" s="1" t="n">
        <v>16</v>
      </c>
      <c r="O407" s="1" t="str">
        <f aca="false">IF(N407=1,"-5",IF(OR(N407=2,N407=3),"-4",IF(OR(N407=4,N407=5),"-3",IF(OR(N407=6,N407=7),"-2",IF(OR(N407=8,N407=9),"-1",IF(OR(N407=10,N407=11),"0",IF(OR(N407=12,N407=13),"+1",IF(OR(N407=14,N407=15),"+2",IF(OR(N407=16,N407=17),"+3",IF(OR(N407=18,N407=19),"+4",IF(OR(N407=20,N407=21),"+5",IF(OR(N407=22,N407=23),"+6",IF(OR(N407=24,N407=25),"+7",IF(OR(N407=26,N407=27),"+8",IF(OR(N407=28,N407=29),"+9",IF(N407=30,"+10"," "))))))))))))))))</f>
        <v>+3</v>
      </c>
      <c r="P407" s="1" t="n">
        <v>13</v>
      </c>
      <c r="Q407" s="1" t="str">
        <f aca="false">IF(P407=1,"-5",IF(OR(P407=2,P407=3),"-4",IF(OR(P407=4,P407=5),"-3",IF(OR(P407=6,P407=7),"-2",IF(OR(P407=8,P407=9),"-1",IF(OR(P407=10,P407=11),"0",IF(OR(P407=12,P407=13),"+1",IF(OR(P407=14,P407=15),"+2",IF(OR(P407=16,P407=17),"+3",IF(OR(P407=18,P407=19),"+4",IF(OR(P407=20,P407=21),"+5",IF(OR(P407=22,P407=23),"+6",IF(OR(P407=24,P407=25),"+7",IF(OR(P407=26,P407=27),"+8",IF(OR(P407=28,P407=29),"+9",IF(P407=30,"+10"," "))))))))))))))))</f>
        <v>+1</v>
      </c>
      <c r="R407" s="1" t="n">
        <v>10</v>
      </c>
      <c r="S407" s="1" t="str">
        <f aca="false">IF(R407=1,"-5",IF(OR(R407=2,R407=3),"-4",IF(OR(R407=4,R407=5),"-3",IF(OR(R407=6,R407=7),"-2",IF(OR(R407=8,R407=9),"-1",IF(OR(R407=10,R407=11),"0",IF(OR(R407=12,R407=13),"+1",IF(OR(R407=14,R407=15),"+2",IF(OR(R407=16,R407=17),"+3",IF(OR(R407=18,R407=19),"+4",IF(OR(R407=20,R407=21),"+5",IF(OR(R407=22,R407=23),"+6",IF(OR(R407=24,R407=25),"+7",IF(OR(R407=26,R407=27),"+8",IF(OR(R407=28,R407=29),"+9",IF(R407=30,"+10"," "))))))))))))))))</f>
        <v>0</v>
      </c>
      <c r="T407" s="1" t="n">
        <v>8</v>
      </c>
      <c r="U407" s="1" t="str">
        <f aca="false">IF(T407=1,"-5",IF(OR(T407=2,T407=3),"-4",IF(OR(T407=4,T407=5),"-3",IF(OR(T407=6,T407=7),"-2",IF(OR(T407=8,T407=9),"-1",IF(OR(T407=10,T407=11),"0",IF(OR(T407=12,T407=13),"+1",IF(OR(T407=14,T407=15),"+2",IF(OR(T407=16,T407=17),"+3",IF(OR(T407=18,T407=19),"+4",IF(OR(T407=20,T407=21),"+5",IF(OR(T407=22,T407=23),"+6",IF(OR(T407=24,T407=25),"+7",IF(OR(T407=26,T407=27),"+8",IF(OR(T407=28,T407=29),"+9",IF(T407=30,"+10"," "))))))))))))))))</f>
        <v>-1</v>
      </c>
      <c r="V407" s="1" t="s">
        <v>2027</v>
      </c>
      <c r="W407" s="1" t="s">
        <v>516</v>
      </c>
      <c r="X407" s="2" t="s">
        <v>2028</v>
      </c>
      <c r="Y407" s="2" t="s">
        <v>2029</v>
      </c>
      <c r="Z407" s="2" t="s">
        <v>37</v>
      </c>
      <c r="AA407" s="1" t="s">
        <v>37</v>
      </c>
    </row>
    <row r="408" customFormat="false" ht="16.4" hidden="false" customHeight="false" outlineLevel="0" collapsed="false">
      <c r="A408" s="15" t="s">
        <v>2030</v>
      </c>
      <c r="B408" s="3" t="s">
        <v>2031</v>
      </c>
      <c r="C408" s="3" t="s">
        <v>37</v>
      </c>
      <c r="D408" s="16" t="n">
        <v>0.25</v>
      </c>
      <c r="E408" s="3" t="n">
        <f aca="false">VLOOKUP(D408,'[1]REF Tables'!$A$2:$B$40,2)</f>
        <v>50</v>
      </c>
      <c r="F408" s="3" t="s">
        <v>30</v>
      </c>
      <c r="G408" s="3" t="n">
        <v>12</v>
      </c>
      <c r="H408" s="3" t="s">
        <v>1087</v>
      </c>
      <c r="I408" s="3" t="s">
        <v>2032</v>
      </c>
      <c r="J408" s="3" t="n">
        <v>5</v>
      </c>
      <c r="K408" s="1" t="str">
        <f aca="false">IF(J408=1,"-5",IF(OR(J408=2,J408=3),"-4",IF(OR(J408=4,J408=5),"-3",IF(OR(J408=6,J408=7),"-2",IF(OR(J408=8,J408=9),"-1",IF(OR(J408=10,J408=11),"0",IF(OR(J408=12,J408=13),"+1",IF(OR(J408=14,J408=15),"+2",IF(OR(J408=16,J408=17),"+3",IF(OR(J408=18,J408=19),"+4",IF(OR(J408=20,J408=21),"+5",IF(OR(J408=22,J408=23),"+6",IF(OR(J408=24,J408=25),"+7",IF(OR(J408=26,J408=27),"+8",IF(OR(J408=28,J408=29),"+9",IF(J408=30,"+10"," "))))))))))))))))</f>
        <v>-3</v>
      </c>
      <c r="L408" s="3" t="n">
        <v>15</v>
      </c>
      <c r="M408" s="1" t="str">
        <f aca="false">IF(L408=1,"-5",IF(OR(L408=2,L408=3),"-4",IF(OR(L408=4,L408=5),"-3",IF(OR(L408=6,L408=7),"-2",IF(OR(L408=8,L408=9),"-1",IF(OR(L408=10,L408=11),"0",IF(OR(L408=12,L408=13),"+1",IF(OR(L408=14,L408=15),"+2",IF(OR(L408=16,L408=17),"+3",IF(OR(L408=18,L408=19),"+4",IF(OR(L408=20,L408=21),"+5",IF(OR(L408=22,L408=23),"+6",IF(OR(L408=24,L408=25),"+7",IF(OR(L408=26,L408=27),"+8",IF(OR(L408=28,L408=29),"+9",IF(L408=30,"+10"," "))))))))))))))))</f>
        <v>+2</v>
      </c>
      <c r="N408" s="3" t="n">
        <v>10</v>
      </c>
      <c r="O408" s="1" t="str">
        <f aca="false">IF(N408=1,"-5",IF(OR(N408=2,N408=3),"-4",IF(OR(N408=4,N408=5),"-3",IF(OR(N408=6,N408=7),"-2",IF(OR(N408=8,N408=9),"-1",IF(OR(N408=10,N408=11),"0",IF(OR(N408=12,N408=13),"+1",IF(OR(N408=14,N408=15),"+2",IF(OR(N408=16,N408=17),"+3",IF(OR(N408=18,N408=19),"+4",IF(OR(N408=20,N408=21),"+5",IF(OR(N408=22,N408=23),"+6",IF(OR(N408=24,N408=25),"+7",IF(OR(N408=26,N408=27),"+8",IF(OR(N408=28,N408=29),"+9",IF(N408=30,"+10"," "))))))))))))))))</f>
        <v>0</v>
      </c>
      <c r="P408" s="3" t="n">
        <v>2</v>
      </c>
      <c r="Q408" s="1" t="str">
        <f aca="false">IF(P408=1,"-5",IF(OR(P408=2,P408=3),"-4",IF(OR(P408=4,P408=5),"-3",IF(OR(P408=6,P408=7),"-2",IF(OR(P408=8,P408=9),"-1",IF(OR(P408=10,P408=11),"0",IF(OR(P408=12,P408=13),"+1",IF(OR(P408=14,P408=15),"+2",IF(OR(P408=16,P408=17),"+3",IF(OR(P408=18,P408=19),"+4",IF(OR(P408=20,P408=21),"+5",IF(OR(P408=22,P408=23),"+6",IF(OR(P408=24,P408=25),"+7",IF(OR(P408=26,P408=27),"+8",IF(OR(P408=28,P408=29),"+9",IF(P408=30,"+10"," "))))))))))))))))</f>
        <v>-4</v>
      </c>
      <c r="R408" s="3" t="n">
        <v>12</v>
      </c>
      <c r="S408" s="1" t="str">
        <f aca="false">IF(R408=1,"-5",IF(OR(R408=2,R408=3),"-4",IF(OR(R408=4,R408=5),"-3",IF(OR(R408=6,R408=7),"-2",IF(OR(R408=8,R408=9),"-1",IF(OR(R408=10,R408=11),"0",IF(OR(R408=12,R408=13),"+1",IF(OR(R408=14,R408=15),"+2",IF(OR(R408=16,R408=17),"+3",IF(OR(R408=18,R408=19),"+4",IF(OR(R408=20,R408=21),"+5",IF(OR(R408=22,R408=23),"+6",IF(OR(R408=24,R408=25),"+7",IF(OR(R408=26,R408=27),"+8",IF(OR(R408=28,R408=29),"+9",IF(R408=30,"+10"," "))))))))))))))))</f>
        <v>+1</v>
      </c>
      <c r="T408" s="3" t="n">
        <v>4</v>
      </c>
      <c r="U408" s="1" t="str">
        <f aca="false">IF(T408=1,"-5",IF(OR(T408=2,T408=3),"-4",IF(OR(T408=4,T408=5),"-3",IF(OR(T408=6,T408=7),"-2",IF(OR(T408=8,T408=9),"-1",IF(OR(T408=10,T408=11),"0",IF(OR(T408=12,T408=13),"+1",IF(OR(T408=14,T408=15),"+2",IF(OR(T408=16,T408=17),"+3",IF(OR(T408=18,T408=19),"+4",IF(OR(T408=20,T408=21),"+5",IF(OR(T408=22,T408=23),"+6",IF(OR(T408=24,T408=25),"+7",IF(OR(T408=26,T408=27),"+8",IF(OR(T408=28,T408=29),"+9",IF(T408=30,"+10"," "))))))))))))))))</f>
        <v>-3</v>
      </c>
      <c r="V408" s="3" t="s">
        <v>37</v>
      </c>
      <c r="W408" s="3" t="s">
        <v>37</v>
      </c>
      <c r="X408" s="11" t="s">
        <v>2033</v>
      </c>
      <c r="Y408" s="11" t="s">
        <v>2034</v>
      </c>
      <c r="Z408" s="11" t="s">
        <v>37</v>
      </c>
      <c r="AA408" s="12" t="s">
        <v>37</v>
      </c>
    </row>
    <row r="409" customFormat="false" ht="16.4" hidden="false" customHeight="false" outlineLevel="0" collapsed="false">
      <c r="A409" s="15" t="s">
        <v>2035</v>
      </c>
      <c r="B409" s="3" t="s">
        <v>2031</v>
      </c>
      <c r="C409" s="3" t="s">
        <v>37</v>
      </c>
      <c r="D409" s="16" t="n">
        <v>0.25</v>
      </c>
      <c r="E409" s="3" t="n">
        <f aca="false">VLOOKUP(D409,'[1]REF Tables'!$A$2:$B$40,2)</f>
        <v>50</v>
      </c>
      <c r="F409" s="3" t="s">
        <v>30</v>
      </c>
      <c r="G409" s="3" t="n">
        <v>12</v>
      </c>
      <c r="H409" s="3" t="s">
        <v>2036</v>
      </c>
      <c r="I409" s="3" t="s">
        <v>544</v>
      </c>
      <c r="J409" s="3" t="n">
        <v>6</v>
      </c>
      <c r="K409" s="1" t="str">
        <f aca="false">IF(J409=1,"-5",IF(OR(J409=2,J409=3),"-4",IF(OR(J409=4,J409=5),"-3",IF(OR(J409=6,J409=7),"-2",IF(OR(J409=8,J409=9),"-1",IF(OR(J409=10,J409=11),"0",IF(OR(J409=12,J409=13),"+1",IF(OR(J409=14,J409=15),"+2",IF(OR(J409=16,J409=17),"+3",IF(OR(J409=18,J409=19),"+4",IF(OR(J409=20,J409=21),"+5",IF(OR(J409=22,J409=23),"+6",IF(OR(J409=24,J409=25),"+7",IF(OR(J409=26,J409=27),"+8",IF(OR(J409=28,J409=29),"+9",IF(J409=30,"+10"," "))))))))))))))))</f>
        <v>-2</v>
      </c>
      <c r="L409" s="3" t="n">
        <v>14</v>
      </c>
      <c r="M409" s="1" t="str">
        <f aca="false">IF(L409=1,"-5",IF(OR(L409=2,L409=3),"-4",IF(OR(L409=4,L409=5),"-3",IF(OR(L409=6,L409=7),"-2",IF(OR(L409=8,L409=9),"-1",IF(OR(L409=10,L409=11),"0",IF(OR(L409=12,L409=13),"+1",IF(OR(L409=14,L409=15),"+2",IF(OR(L409=16,L409=17),"+3",IF(OR(L409=18,L409=19),"+4",IF(OR(L409=20,L409=21),"+5",IF(OR(L409=22,L409=23),"+6",IF(OR(L409=24,L409=25),"+7",IF(OR(L409=26,L409=27),"+8",IF(OR(L409=28,L409=29),"+9",IF(L409=30,"+10"," "))))))))))))))))</f>
        <v>+2</v>
      </c>
      <c r="N409" s="3" t="n">
        <v>8</v>
      </c>
      <c r="O409" s="1" t="str">
        <f aca="false">IF(N409=1,"-5",IF(OR(N409=2,N409=3),"-4",IF(OR(N409=4,N409=5),"-3",IF(OR(N409=6,N409=7),"-2",IF(OR(N409=8,N409=9),"-1",IF(OR(N409=10,N409=11),"0",IF(OR(N409=12,N409=13),"+1",IF(OR(N409=14,N409=15),"+2",IF(OR(N409=16,N409=17),"+3",IF(OR(N409=18,N409=19),"+4",IF(OR(N409=20,N409=21),"+5",IF(OR(N409=22,N409=23),"+6",IF(OR(N409=24,N409=25),"+7",IF(OR(N409=26,N409=27),"+8",IF(OR(N409=28,N409=29),"+9",IF(N409=30,"+10"," "))))))))))))))))</f>
        <v>-1</v>
      </c>
      <c r="P409" s="3" t="n">
        <v>3</v>
      </c>
      <c r="Q409" s="1" t="str">
        <f aca="false">IF(P409=1,"-5",IF(OR(P409=2,P409=3),"-4",IF(OR(P409=4,P409=5),"-3",IF(OR(P409=6,P409=7),"-2",IF(OR(P409=8,P409=9),"-1",IF(OR(P409=10,P409=11),"0",IF(OR(P409=12,P409=13),"+1",IF(OR(P409=14,P409=15),"+2",IF(OR(P409=16,P409=17),"+3",IF(OR(P409=18,P409=19),"+4",IF(OR(P409=20,P409=21),"+5",IF(OR(P409=22,P409=23),"+6",IF(OR(P409=24,P409=25),"+7",IF(OR(P409=26,P409=27),"+8",IF(OR(P409=28,P409=29),"+9",IF(P409=30,"+10"," "))))))))))))))))</f>
        <v>-4</v>
      </c>
      <c r="R409" s="3" t="n">
        <v>12</v>
      </c>
      <c r="S409" s="1" t="str">
        <f aca="false">IF(R409=1,"-5",IF(OR(R409=2,R409=3),"-4",IF(OR(R409=4,R409=5),"-3",IF(OR(R409=6,R409=7),"-2",IF(OR(R409=8,R409=9),"-1",IF(OR(R409=10,R409=11),"0",IF(OR(R409=12,R409=13),"+1",IF(OR(R409=14,R409=15),"+2",IF(OR(R409=16,R409=17),"+3",IF(OR(R409=18,R409=19),"+4",IF(OR(R409=20,R409=21),"+5",IF(OR(R409=22,R409=23),"+6",IF(OR(R409=24,R409=25),"+7",IF(OR(R409=26,R409=27),"+8",IF(OR(R409=28,R409=29),"+9",IF(R409=30,"+10"," "))))))))))))))))</f>
        <v>+1</v>
      </c>
      <c r="T409" s="3" t="n">
        <v>6</v>
      </c>
      <c r="U409" s="1" t="str">
        <f aca="false">IF(T409=1,"-5",IF(OR(T409=2,T409=3),"-4",IF(OR(T409=4,T409=5),"-3",IF(OR(T409=6,T409=7),"-2",IF(OR(T409=8,T409=9),"-1",IF(OR(T409=10,T409=11),"0",IF(OR(T409=12,T409=13),"+1",IF(OR(T409=14,T409=15),"+2",IF(OR(T409=16,T409=17),"+3",IF(OR(T409=18,T409=19),"+4",IF(OR(T409=20,T409=21),"+5",IF(OR(T409=22,T409=23),"+6",IF(OR(T409=24,T409=25),"+7",IF(OR(T409=26,T409=27),"+8",IF(OR(T409=28,T409=29),"+9",IF(T409=30,"+10"," "))))))))))))))))</f>
        <v>-2</v>
      </c>
      <c r="V409" s="3" t="s">
        <v>33</v>
      </c>
      <c r="W409" s="3" t="s">
        <v>37</v>
      </c>
      <c r="X409" s="11" t="s">
        <v>2037</v>
      </c>
      <c r="Y409" s="11" t="s">
        <v>2038</v>
      </c>
      <c r="Z409" s="11" t="s">
        <v>37</v>
      </c>
      <c r="AA409" s="12" t="s">
        <v>37</v>
      </c>
    </row>
    <row r="410" customFormat="false" ht="16.4" hidden="false" customHeight="false" outlineLevel="0" collapsed="false">
      <c r="A410" s="15" t="s">
        <v>2039</v>
      </c>
      <c r="B410" s="3" t="s">
        <v>2031</v>
      </c>
      <c r="C410" s="3" t="s">
        <v>37</v>
      </c>
      <c r="D410" s="16" t="n">
        <v>1</v>
      </c>
      <c r="E410" s="3" t="n">
        <f aca="false">VLOOKUP(D410,'[1]REF Tables'!$A$2:$B$40,2)</f>
        <v>200</v>
      </c>
      <c r="F410" s="3" t="s">
        <v>30</v>
      </c>
      <c r="G410" s="3" t="n">
        <v>13</v>
      </c>
      <c r="H410" s="3" t="s">
        <v>2040</v>
      </c>
      <c r="I410" s="3" t="s">
        <v>1603</v>
      </c>
      <c r="J410" s="3" t="n">
        <v>13</v>
      </c>
      <c r="K410" s="1" t="str">
        <f aca="false">IF(J410=1,"-5",IF(OR(J410=2,J410=3),"-4",IF(OR(J410=4,J410=5),"-3",IF(OR(J410=6,J410=7),"-2",IF(OR(J410=8,J410=9),"-1",IF(OR(J410=10,J410=11),"0",IF(OR(J410=12,J410=13),"+1",IF(OR(J410=14,J410=15),"+2",IF(OR(J410=16,J410=17),"+3",IF(OR(J410=18,J410=19),"+4",IF(OR(J410=20,J410=21),"+5",IF(OR(J410=22,J410=23),"+6",IF(OR(J410=24,J410=25),"+7",IF(OR(J410=26,J410=27),"+8",IF(OR(J410=28,J410=29),"+9",IF(J410=30,"+10"," "))))))))))))))))</f>
        <v>+1</v>
      </c>
      <c r="L410" s="3" t="n">
        <v>16</v>
      </c>
      <c r="M410" s="1" t="str">
        <f aca="false">IF(L410=1,"-5",IF(OR(L410=2,L410=3),"-4",IF(OR(L410=4,L410=5),"-3",IF(OR(L410=6,L410=7),"-2",IF(OR(L410=8,L410=9),"-1",IF(OR(L410=10,L410=11),"0",IF(OR(L410=12,L410=13),"+1",IF(OR(L410=14,L410=15),"+2",IF(OR(L410=16,L410=17),"+3",IF(OR(L410=18,L410=19),"+4",IF(OR(L410=20,L410=21),"+5",IF(OR(L410=22,L410=23),"+6",IF(OR(L410=24,L410=25),"+7",IF(OR(L410=26,L410=27),"+8",IF(OR(L410=28,L410=29),"+9",IF(L410=30,"+10"," "))))))))))))))))</f>
        <v>+3</v>
      </c>
      <c r="N410" s="3" t="n">
        <v>9</v>
      </c>
      <c r="O410" s="1" t="str">
        <f aca="false">IF(N410=1,"-5",IF(OR(N410=2,N410=3),"-4",IF(OR(N410=4,N410=5),"-3",IF(OR(N410=6,N410=7),"-2",IF(OR(N410=8,N410=9),"-1",IF(OR(N410=10,N410=11),"0",IF(OR(N410=12,N410=13),"+1",IF(OR(N410=14,N410=15),"+2",IF(OR(N410=16,N410=17),"+3",IF(OR(N410=18,N410=19),"+4",IF(OR(N410=20,N410=21),"+5",IF(OR(N410=22,N410=23),"+6",IF(OR(N410=24,N410=25),"+7",IF(OR(N410=26,N410=27),"+8",IF(OR(N410=28,N410=29),"+9",IF(N410=30,"+10"," "))))))))))))))))</f>
        <v>-1</v>
      </c>
      <c r="P410" s="3" t="n">
        <v>1</v>
      </c>
      <c r="Q410" s="1" t="str">
        <f aca="false">IF(P410=1,"-5",IF(OR(P410=2,P410=3),"-4",IF(OR(P410=4,P410=5),"-3",IF(OR(P410=6,P410=7),"-2",IF(OR(P410=8,P410=9),"-1",IF(OR(P410=10,P410=11),"0",IF(OR(P410=12,P410=13),"+1",IF(OR(P410=14,P410=15),"+2",IF(OR(P410=16,P410=17),"+3",IF(OR(P410=18,P410=19),"+4",IF(OR(P410=20,P410=21),"+5",IF(OR(P410=22,P410=23),"+6",IF(OR(P410=24,P410=25),"+7",IF(OR(P410=26,P410=27),"+8",IF(OR(P410=28,P410=29),"+9",IF(P410=30,"+10"," "))))))))))))))))</f>
        <v>-5</v>
      </c>
      <c r="R410" s="3" t="n">
        <v>7</v>
      </c>
      <c r="S410" s="1" t="str">
        <f aca="false">IF(R410=1,"-5",IF(OR(R410=2,R410=3),"-4",IF(OR(R410=4,R410=5),"-3",IF(OR(R410=6,R410=7),"-2",IF(OR(R410=8,R410=9),"-1",IF(OR(R410=10,R410=11),"0",IF(OR(R410=12,R410=13),"+1",IF(OR(R410=14,R410=15),"+2",IF(OR(R410=16,R410=17),"+3",IF(OR(R410=18,R410=19),"+4",IF(OR(R410=20,R410=21),"+5",IF(OR(R410=22,R410=23),"+6",IF(OR(R410=24,R410=25),"+7",IF(OR(R410=26,R410=27),"+8",IF(OR(R410=28,R410=29),"+9",IF(R410=30,"+10"," "))))))))))))))))</f>
        <v>-2</v>
      </c>
      <c r="T410" s="3" t="n">
        <v>2</v>
      </c>
      <c r="U410" s="1" t="str">
        <f aca="false">IF(T410=1,"-5",IF(OR(T410=2,T410=3),"-4",IF(OR(T410=4,T410=5),"-3",IF(OR(T410=6,T410=7),"-2",IF(OR(T410=8,T410=9),"-1",IF(OR(T410=10,T410=11),"0",IF(OR(T410=12,T410=13),"+1",IF(OR(T410=14,T410=15),"+2",IF(OR(T410=16,T410=17),"+3",IF(OR(T410=18,T410=19),"+4",IF(OR(T410=20,T410=21),"+5",IF(OR(T410=22,T410=23),"+6",IF(OR(T410=24,T410=25),"+7",IF(OR(T410=26,T410=27),"+8",IF(OR(T410=28,T410=29),"+9",IF(T410=30,"+10"," "))))))))))))))))</f>
        <v>-4</v>
      </c>
      <c r="V410" s="3" t="s">
        <v>37</v>
      </c>
      <c r="W410" s="3" t="s">
        <v>37</v>
      </c>
      <c r="X410" s="11" t="s">
        <v>2041</v>
      </c>
      <c r="Y410" s="11" t="s">
        <v>2042</v>
      </c>
      <c r="Z410" s="11" t="s">
        <v>37</v>
      </c>
      <c r="AA410" s="12" t="s">
        <v>37</v>
      </c>
    </row>
    <row r="411" customFormat="false" ht="16.4" hidden="false" customHeight="false" outlineLevel="0" collapsed="false">
      <c r="A411" s="14" t="s">
        <v>2043</v>
      </c>
      <c r="B411" s="1" t="s">
        <v>2031</v>
      </c>
      <c r="C411" s="1" t="s">
        <v>37</v>
      </c>
      <c r="D411" s="5" t="n">
        <v>0.25</v>
      </c>
      <c r="E411" s="3" t="n">
        <f aca="false">VLOOKUP(D411,'[1]REF Tables'!$A$2:$B$40,2)</f>
        <v>50</v>
      </c>
      <c r="F411" s="1" t="s">
        <v>30</v>
      </c>
      <c r="G411" s="1" t="n">
        <v>10</v>
      </c>
      <c r="H411" s="1" t="s">
        <v>2044</v>
      </c>
      <c r="I411" s="3" t="s">
        <v>42</v>
      </c>
      <c r="J411" s="1" t="n">
        <v>9</v>
      </c>
      <c r="K411" s="1" t="str">
        <f aca="false">IF(J411=1,"-5",IF(OR(J411=2,J411=3),"-4",IF(OR(J411=4,J411=5),"-3",IF(OR(J411=6,J411=7),"-2",IF(OR(J411=8,J411=9),"-1",IF(OR(J411=10,J411=11),"0",IF(OR(J411=12,J411=13),"+1",IF(OR(J411=14,J411=15),"+2",IF(OR(J411=16,J411=17),"+3",IF(OR(J411=18,J411=19),"+4",IF(OR(J411=20,J411=21),"+5",IF(OR(J411=22,J411=23),"+6",IF(OR(J411=24,J411=25),"+7",IF(OR(J411=26,J411=27),"+8",IF(OR(J411=28,J411=29),"+9",IF(J411=30,"+10"," "))))))))))))))))</f>
        <v>-1</v>
      </c>
      <c r="L411" s="1" t="n">
        <v>11</v>
      </c>
      <c r="M411" s="1" t="str">
        <f aca="false">IF(L411=1,"-5",IF(OR(L411=2,L411=3),"-4",IF(OR(L411=4,L411=5),"-3",IF(OR(L411=6,L411=7),"-2",IF(OR(L411=8,L411=9),"-1",IF(OR(L411=10,L411=11),"0",IF(OR(L411=12,L411=13),"+1",IF(OR(L411=14,L411=15),"+2",IF(OR(L411=16,L411=17),"+3",IF(OR(L411=18,L411=19),"+4",IF(OR(L411=20,L411=21),"+5",IF(OR(L411=22,L411=23),"+6",IF(OR(L411=24,L411=25),"+7",IF(OR(L411=26,L411=27),"+8",IF(OR(L411=28,L411=29),"+9",IF(L411=30,"+10"," "))))))))))))))))</f>
        <v>0</v>
      </c>
      <c r="N411" s="1" t="n">
        <v>9</v>
      </c>
      <c r="O411" s="1" t="str">
        <f aca="false">IF(N411=1,"-5",IF(OR(N411=2,N411=3),"-4",IF(OR(N411=4,N411=5),"-3",IF(OR(N411=6,N411=7),"-2",IF(OR(N411=8,N411=9),"-1",IF(OR(N411=10,N411=11),"0",IF(OR(N411=12,N411=13),"+1",IF(OR(N411=14,N411=15),"+2",IF(OR(N411=16,N411=17),"+3",IF(OR(N411=18,N411=19),"+4",IF(OR(N411=20,N411=21),"+5",IF(OR(N411=22,N411=23),"+6",IF(OR(N411=24,N411=25),"+7",IF(OR(N411=26,N411=27),"+8",IF(OR(N411=28,N411=29),"+9",IF(N411=30,"+10"," "))))))))))))))))</f>
        <v>-1</v>
      </c>
      <c r="P411" s="1" t="n">
        <v>2</v>
      </c>
      <c r="Q411" s="1" t="str">
        <f aca="false">IF(P411=1,"-5",IF(OR(P411=2,P411=3),"-4",IF(OR(P411=4,P411=5),"-3",IF(OR(P411=6,P411=7),"-2",IF(OR(P411=8,P411=9),"-1",IF(OR(P411=10,P411=11),"0",IF(OR(P411=12,P411=13),"+1",IF(OR(P411=14,P411=15),"+2",IF(OR(P411=16,P411=17),"+3",IF(OR(P411=18,P411=19),"+4",IF(OR(P411=20,P411=21),"+5",IF(OR(P411=22,P411=23),"+6",IF(OR(P411=24,P411=25),"+7",IF(OR(P411=26,P411=27),"+8",IF(OR(P411=28,P411=29),"+9",IF(P411=30,"+10"," "))))))))))))))))</f>
        <v>-4</v>
      </c>
      <c r="R411" s="1" t="n">
        <v>10</v>
      </c>
      <c r="S411" s="1" t="str">
        <f aca="false">IF(R411=1,"-5",IF(OR(R411=2,R411=3),"-4",IF(OR(R411=4,R411=5),"-3",IF(OR(R411=6,R411=7),"-2",IF(OR(R411=8,R411=9),"-1",IF(OR(R411=10,R411=11),"0",IF(OR(R411=12,R411=13),"+1",IF(OR(R411=14,R411=15),"+2",IF(OR(R411=16,R411=17),"+3",IF(OR(R411=18,R411=19),"+4",IF(OR(R411=20,R411=21),"+5",IF(OR(R411=22,R411=23),"+6",IF(OR(R411=24,R411=25),"+7",IF(OR(R411=26,R411=27),"+8",IF(OR(R411=28,R411=29),"+9",IF(R411=30,"+10"," "))))))))))))))))</f>
        <v>0</v>
      </c>
      <c r="T411" s="1" t="n">
        <v>3</v>
      </c>
      <c r="U411" s="1" t="str">
        <f aca="false">IF(T411=1,"-5",IF(OR(T411=2,T411=3),"-4",IF(OR(T411=4,T411=5),"-3",IF(OR(T411=6,T411=7),"-2",IF(OR(T411=8,T411=9),"-1",IF(OR(T411=10,T411=11),"0",IF(OR(T411=12,T411=13),"+1",IF(OR(T411=14,T411=15),"+2",IF(OR(T411=16,T411=17),"+3",IF(OR(T411=18,T411=19),"+4",IF(OR(T411=20,T411=21),"+5",IF(OR(T411=22,T411=23),"+6",IF(OR(T411=24,T411=25),"+7",IF(OR(T411=26,T411=27),"+8",IF(OR(T411=28,T411=29),"+9",IF(T411=30,"+10"," "))))))))))))))))</f>
        <v>-4</v>
      </c>
      <c r="V411" s="1" t="s">
        <v>37</v>
      </c>
      <c r="W411" s="1" t="s">
        <v>37</v>
      </c>
      <c r="X411" s="2" t="s">
        <v>2045</v>
      </c>
      <c r="Y411" s="2" t="s">
        <v>2046</v>
      </c>
      <c r="Z411" s="2" t="s">
        <v>37</v>
      </c>
      <c r="AA411" s="1" t="s">
        <v>37</v>
      </c>
    </row>
    <row r="412" customFormat="false" ht="16.4" hidden="false" customHeight="false" outlineLevel="0" collapsed="false">
      <c r="A412" s="15" t="s">
        <v>2047</v>
      </c>
      <c r="B412" s="3" t="s">
        <v>2031</v>
      </c>
      <c r="C412" s="3" t="s">
        <v>49</v>
      </c>
      <c r="D412" s="16" t="n">
        <v>5</v>
      </c>
      <c r="E412" s="6" t="n">
        <f aca="false">VLOOKUP(D412,'[1]REF Tables'!$A$2:$B$40,2)</f>
        <v>1800</v>
      </c>
      <c r="F412" s="3" t="s">
        <v>30</v>
      </c>
      <c r="G412" s="3" t="n">
        <v>12</v>
      </c>
      <c r="H412" s="3" t="s">
        <v>339</v>
      </c>
      <c r="I412" s="3" t="s">
        <v>42</v>
      </c>
      <c r="J412" s="3" t="n">
        <v>9</v>
      </c>
      <c r="K412" s="1" t="str">
        <f aca="false">IF(J412=1,"-5",IF(OR(J412=2,J412=3),"-4",IF(OR(J412=4,J412=5),"-3",IF(OR(J412=6,J412=7),"-2",IF(OR(J412=8,J412=9),"-1",IF(OR(J412=10,J412=11),"0",IF(OR(J412=12,J412=13),"+1",IF(OR(J412=14,J412=15),"+2",IF(OR(J412=16,J412=17),"+3",IF(OR(J412=18,J412=19),"+4",IF(OR(J412=20,J412=21),"+5",IF(OR(J412=22,J412=23),"+6",IF(OR(J412=24,J412=25),"+7",IF(OR(J412=26,J412=27),"+8",IF(OR(J412=28,J412=29),"+9",IF(J412=30,"+10"," "))))))))))))))))</f>
        <v>-1</v>
      </c>
      <c r="L412" s="3" t="n">
        <v>14</v>
      </c>
      <c r="M412" s="1" t="str">
        <f aca="false">IF(L412=1,"-5",IF(OR(L412=2,L412=3),"-4",IF(OR(L412=4,L412=5),"-3",IF(OR(L412=6,L412=7),"-2",IF(OR(L412=8,L412=9),"-1",IF(OR(L412=10,L412=11),"0",IF(OR(L412=12,L412=13),"+1",IF(OR(L412=14,L412=15),"+2",IF(OR(L412=16,L412=17),"+3",IF(OR(L412=18,L412=19),"+4",IF(OR(L412=20,L412=21),"+5",IF(OR(L412=22,L412=23),"+6",IF(OR(L412=24,L412=25),"+7",IF(OR(L412=26,L412=27),"+8",IF(OR(L412=28,L412=29),"+9",IF(L412=30,"+10"," "))))))))))))))))</f>
        <v>+2</v>
      </c>
      <c r="N412" s="3" t="n">
        <v>10</v>
      </c>
      <c r="O412" s="1" t="str">
        <f aca="false">IF(N412=1,"-5",IF(OR(N412=2,N412=3),"-4",IF(OR(N412=4,N412=5),"-3",IF(OR(N412=6,N412=7),"-2",IF(OR(N412=8,N412=9),"-1",IF(OR(N412=10,N412=11),"0",IF(OR(N412=12,N412=13),"+1",IF(OR(N412=14,N412=15),"+2",IF(OR(N412=16,N412=17),"+3",IF(OR(N412=18,N412=19),"+4",IF(OR(N412=20,N412=21),"+5",IF(OR(N412=22,N412=23),"+6",IF(OR(N412=24,N412=25),"+7",IF(OR(N412=26,N412=27),"+8",IF(OR(N412=28,N412=29),"+9",IF(N412=30,"+10"," "))))))))))))))))</f>
        <v>0</v>
      </c>
      <c r="P412" s="3" t="n">
        <v>15</v>
      </c>
      <c r="Q412" s="1" t="str">
        <f aca="false">IF(P412=1,"-5",IF(OR(P412=2,P412=3),"-4",IF(OR(P412=4,P412=5),"-3",IF(OR(P412=6,P412=7),"-2",IF(OR(P412=8,P412=9),"-1",IF(OR(P412=10,P412=11),"0",IF(OR(P412=12,P412=13),"+1",IF(OR(P412=14,P412=15),"+2",IF(OR(P412=16,P412=17),"+3",IF(OR(P412=18,P412=19),"+4",IF(OR(P412=20,P412=21),"+5",IF(OR(P412=22,P412=23),"+6",IF(OR(P412=24,P412=25),"+7",IF(OR(P412=26,P412=27),"+8",IF(OR(P412=28,P412=29),"+9",IF(P412=30,"+10"," "))))))))))))))))</f>
        <v>+2</v>
      </c>
      <c r="R412" s="3" t="n">
        <v>11</v>
      </c>
      <c r="S412" s="1" t="str">
        <f aca="false">IF(R412=1,"-5",IF(OR(R412=2,R412=3),"-4",IF(OR(R412=4,R412=5),"-3",IF(OR(R412=6,R412=7),"-2",IF(OR(R412=8,R412=9),"-1",IF(OR(R412=10,R412=11),"0",IF(OR(R412=12,R412=13),"+1",IF(OR(R412=14,R412=15),"+2",IF(OR(R412=16,R412=17),"+3",IF(OR(R412=18,R412=19),"+4",IF(OR(R412=20,R412=21),"+5",IF(OR(R412=22,R412=23),"+6",IF(OR(R412=24,R412=25),"+7",IF(OR(R412=26,R412=27),"+8",IF(OR(R412=28,R412=29),"+9",IF(R412=30,"+10"," "))))))))))))))))</f>
        <v>0</v>
      </c>
      <c r="T412" s="3" t="n">
        <v>14</v>
      </c>
      <c r="U412" s="1" t="str">
        <f aca="false">IF(T412=1,"-5",IF(OR(T412=2,T412=3),"-4",IF(OR(T412=4,T412=5),"-3",IF(OR(T412=6,T412=7),"-2",IF(OR(T412=8,T412=9),"-1",IF(OR(T412=10,T412=11),"0",IF(OR(T412=12,T412=13),"+1",IF(OR(T412=14,T412=15),"+2",IF(OR(T412=16,T412=17),"+3",IF(OR(T412=18,T412=19),"+4",IF(OR(T412=20,T412=21),"+5",IF(OR(T412=22,T412=23),"+6",IF(OR(T412=24,T412=25),"+7",IF(OR(T412=26,T412=27),"+8",IF(OR(T412=28,T412=29),"+9",IF(T412=30,"+10"," "))))))))))))))))</f>
        <v>+2</v>
      </c>
      <c r="V412" s="3" t="s">
        <v>37</v>
      </c>
      <c r="W412" s="3" t="s">
        <v>2048</v>
      </c>
      <c r="X412" s="11" t="s">
        <v>2049</v>
      </c>
      <c r="Y412" s="11" t="s">
        <v>2050</v>
      </c>
      <c r="Z412" s="11" t="s">
        <v>37</v>
      </c>
      <c r="AA412" s="12" t="s">
        <v>37</v>
      </c>
    </row>
    <row r="413" customFormat="false" ht="16.4" hidden="false" customHeight="false" outlineLevel="0" collapsed="false">
      <c r="A413" s="15" t="s">
        <v>2051</v>
      </c>
      <c r="B413" s="3" t="s">
        <v>2031</v>
      </c>
      <c r="C413" s="3" t="s">
        <v>37</v>
      </c>
      <c r="D413" s="16" t="n">
        <v>2</v>
      </c>
      <c r="E413" s="3" t="n">
        <f aca="false">VLOOKUP(D413,'[1]REF Tables'!$A$2:$B$40,2)</f>
        <v>450</v>
      </c>
      <c r="F413" s="3" t="s">
        <v>30</v>
      </c>
      <c r="G413" s="3" t="n">
        <v>14</v>
      </c>
      <c r="H413" s="3" t="s">
        <v>339</v>
      </c>
      <c r="I413" s="3" t="s">
        <v>534</v>
      </c>
      <c r="J413" s="3" t="n">
        <v>8</v>
      </c>
      <c r="K413" s="1" t="str">
        <f aca="false">IF(J413=1,"-5",IF(OR(J413=2,J413=3),"-4",IF(OR(J413=4,J413=5),"-3",IF(OR(J413=6,J413=7),"-2",IF(OR(J413=8,J413=9),"-1",IF(OR(J413=10,J413=11),"0",IF(OR(J413=12,J413=13),"+1",IF(OR(J413=14,J413=15),"+2",IF(OR(J413=16,J413=17),"+3",IF(OR(J413=18,J413=19),"+4",IF(OR(J413=20,J413=21),"+5",IF(OR(J413=22,J413=23),"+6",IF(OR(J413=24,J413=25),"+7",IF(OR(J413=26,J413=27),"+8",IF(OR(J413=28,J413=29),"+9",IF(J413=30,"+10"," "))))))))))))))))</f>
        <v>-1</v>
      </c>
      <c r="L413" s="3" t="n">
        <v>18</v>
      </c>
      <c r="M413" s="1" t="str">
        <f aca="false">IF(L413=1,"-5",IF(OR(L413=2,L413=3),"-4",IF(OR(L413=4,L413=5),"-3",IF(OR(L413=6,L413=7),"-2",IF(OR(L413=8,L413=9),"-1",IF(OR(L413=10,L413=11),"0",IF(OR(L413=12,L413=13),"+1",IF(OR(L413=14,L413=15),"+2",IF(OR(L413=16,L413=17),"+3",IF(OR(L413=18,L413=19),"+4",IF(OR(L413=20,L413=21),"+5",IF(OR(L413=22,L413=23),"+6",IF(OR(L413=24,L413=25),"+7",IF(OR(L413=26,L413=27),"+8",IF(OR(L413=28,L413=29),"+9",IF(L413=30,"+10"," "))))))))))))))))</f>
        <v>+4</v>
      </c>
      <c r="N413" s="3" t="n">
        <v>11</v>
      </c>
      <c r="O413" s="1" t="str">
        <f aca="false">IF(N413=1,"-5",IF(OR(N413=2,N413=3),"-4",IF(OR(N413=4,N413=5),"-3",IF(OR(N413=6,N413=7),"-2",IF(OR(N413=8,N413=9),"-1",IF(OR(N413=10,N413=11),"0",IF(OR(N413=12,N413=13),"+1",IF(OR(N413=14,N413=15),"+2",IF(OR(N413=16,N413=17),"+3",IF(OR(N413=18,N413=19),"+4",IF(OR(N413=20,N413=21),"+5",IF(OR(N413=22,N413=23),"+6",IF(OR(N413=24,N413=25),"+7",IF(OR(N413=26,N413=27),"+8",IF(OR(N413=28,N413=29),"+9",IF(N413=30,"+10"," "))))))))))))))))</f>
        <v>0</v>
      </c>
      <c r="P413" s="3" t="n">
        <v>1</v>
      </c>
      <c r="Q413" s="1" t="str">
        <f aca="false">IF(P413=1,"-5",IF(OR(P413=2,P413=3),"-4",IF(OR(P413=4,P413=5),"-3",IF(OR(P413=6,P413=7),"-2",IF(OR(P413=8,P413=9),"-1",IF(OR(P413=10,P413=11),"0",IF(OR(P413=12,P413=13),"+1",IF(OR(P413=14,P413=15),"+2",IF(OR(P413=16,P413=17),"+3",IF(OR(P413=18,P413=19),"+4",IF(OR(P413=20,P413=21),"+5",IF(OR(P413=22,P413=23),"+6",IF(OR(P413=24,P413=25),"+7",IF(OR(P413=26,P413=27),"+8",IF(OR(P413=28,P413=29),"+9",IF(P413=30,"+10"," "))))))))))))))))</f>
        <v>-5</v>
      </c>
      <c r="R413" s="3" t="n">
        <v>10</v>
      </c>
      <c r="S413" s="1" t="str">
        <f aca="false">IF(R413=1,"-5",IF(OR(R413=2,R413=3),"-4",IF(OR(R413=4,R413=5),"-3",IF(OR(R413=6,R413=7),"-2",IF(OR(R413=8,R413=9),"-1",IF(OR(R413=10,R413=11),"0",IF(OR(R413=12,R413=13),"+1",IF(OR(R413=14,R413=15),"+2",IF(OR(R413=16,R413=17),"+3",IF(OR(R413=18,R413=19),"+4",IF(OR(R413=20,R413=21),"+5",IF(OR(R413=22,R413=23),"+6",IF(OR(R413=24,R413=25),"+7",IF(OR(R413=26,R413=27),"+8",IF(OR(R413=28,R413=29),"+9",IF(R413=30,"+10"," "))))))))))))))))</f>
        <v>0</v>
      </c>
      <c r="T413" s="3" t="n">
        <v>3</v>
      </c>
      <c r="U413" s="1" t="str">
        <f aca="false">IF(T413=1,"-5",IF(OR(T413=2,T413=3),"-4",IF(OR(T413=4,T413=5),"-3",IF(OR(T413=6,T413=7),"-2",IF(OR(T413=8,T413=9),"-1",IF(OR(T413=10,T413=11),"0",IF(OR(T413=12,T413=13),"+1",IF(OR(T413=14,T413=15),"+2",IF(OR(T413=16,T413=17),"+3",IF(OR(T413=18,T413=19),"+4",IF(OR(T413=20,T413=21),"+5",IF(OR(T413=22,T413=23),"+6",IF(OR(T413=24,T413=25),"+7",IF(OR(T413=26,T413=27),"+8",IF(OR(T413=28,T413=29),"+9",IF(T413=30,"+10"," "))))))))))))))))</f>
        <v>-4</v>
      </c>
      <c r="V413" s="3" t="s">
        <v>37</v>
      </c>
      <c r="W413" s="3" t="s">
        <v>37</v>
      </c>
      <c r="X413" s="11" t="s">
        <v>2052</v>
      </c>
      <c r="Y413" s="11" t="s">
        <v>2053</v>
      </c>
      <c r="Z413" s="11" t="s">
        <v>37</v>
      </c>
      <c r="AA413" s="12" t="s">
        <v>37</v>
      </c>
    </row>
    <row r="414" customFormat="false" ht="16.4" hidden="false" customHeight="false" outlineLevel="0" collapsed="false">
      <c r="A414" s="15" t="s">
        <v>2054</v>
      </c>
      <c r="B414" s="3" t="s">
        <v>2031</v>
      </c>
      <c r="C414" s="3" t="s">
        <v>37</v>
      </c>
      <c r="D414" s="16" t="n">
        <v>0.5</v>
      </c>
      <c r="E414" s="3" t="n">
        <f aca="false">VLOOKUP(D414,'[1]REF Tables'!$A$2:$B$40,2)</f>
        <v>100</v>
      </c>
      <c r="F414" s="3" t="s">
        <v>30</v>
      </c>
      <c r="G414" s="3" t="n">
        <v>8</v>
      </c>
      <c r="H414" s="3" t="s">
        <v>1087</v>
      </c>
      <c r="I414" s="3" t="s">
        <v>131</v>
      </c>
      <c r="J414" s="3" t="n">
        <v>2</v>
      </c>
      <c r="K414" s="1" t="str">
        <f aca="false">IF(J414=1,"-5",IF(OR(J414=2,J414=3),"-4",IF(OR(J414=4,J414=5),"-3",IF(OR(J414=6,J414=7),"-2",IF(OR(J414=8,J414=9),"-1",IF(OR(J414=10,J414=11),"0",IF(OR(J414=12,J414=13),"+1",IF(OR(J414=14,J414=15),"+2",IF(OR(J414=16,J414=17),"+3",IF(OR(J414=18,J414=19),"+4",IF(OR(J414=20,J414=21),"+5",IF(OR(J414=22,J414=23),"+6",IF(OR(J414=24,J414=25),"+7",IF(OR(J414=26,J414=27),"+8",IF(OR(J414=28,J414=29),"+9",IF(J414=30,"+10"," "))))))))))))))))</f>
        <v>-4</v>
      </c>
      <c r="L414" s="3" t="n">
        <v>7</v>
      </c>
      <c r="M414" s="1" t="str">
        <f aca="false">IF(L414=1,"-5",IF(OR(L414=2,L414=3),"-4",IF(OR(L414=4,L414=5),"-3",IF(OR(L414=6,L414=7),"-2",IF(OR(L414=8,L414=9),"-1",IF(OR(L414=10,L414=11),"0",IF(OR(L414=12,L414=13),"+1",IF(OR(L414=14,L414=15),"+2",IF(OR(L414=16,L414=17),"+3",IF(OR(L414=18,L414=19),"+4",IF(OR(L414=20,L414=21),"+5",IF(OR(L414=22,L414=23),"+6",IF(OR(L414=24,L414=25),"+7",IF(OR(L414=26,L414=27),"+8",IF(OR(L414=28,L414=29),"+9",IF(L414=30,"+10"," "))))))))))))))))</f>
        <v>-2</v>
      </c>
      <c r="N414" s="3" t="n">
        <v>10</v>
      </c>
      <c r="O414" s="1" t="str">
        <f aca="false">IF(N414=1,"-5",IF(OR(N414=2,N414=3),"-4",IF(OR(N414=4,N414=5),"-3",IF(OR(N414=6,N414=7),"-2",IF(OR(N414=8,N414=9),"-1",IF(OR(N414=10,N414=11),"0",IF(OR(N414=12,N414=13),"+1",IF(OR(N414=14,N414=15),"+2",IF(OR(N414=16,N414=17),"+3",IF(OR(N414=18,N414=19),"+4",IF(OR(N414=20,N414=21),"+5",IF(OR(N414=22,N414=23),"+6",IF(OR(N414=24,N414=25),"+7",IF(OR(N414=26,N414=27),"+8",IF(OR(N414=28,N414=29),"+9",IF(N414=30,"+10"," "))))))))))))))))</f>
        <v>0</v>
      </c>
      <c r="P414" s="3" t="n">
        <v>1</v>
      </c>
      <c r="Q414" s="1" t="str">
        <f aca="false">IF(P414=1,"-5",IF(OR(P414=2,P414=3),"-4",IF(OR(P414=4,P414=5),"-3",IF(OR(P414=6,P414=7),"-2",IF(OR(P414=8,P414=9),"-1",IF(OR(P414=10,P414=11),"0",IF(OR(P414=12,P414=13),"+1",IF(OR(P414=14,P414=15),"+2",IF(OR(P414=16,P414=17),"+3",IF(OR(P414=18,P414=19),"+4",IF(OR(P414=20,P414=21),"+5",IF(OR(P414=22,P414=23),"+6",IF(OR(P414=24,P414=25),"+7",IF(OR(P414=26,P414=27),"+8",IF(OR(P414=28,P414=29),"+9",IF(P414=30,"+10"," "))))))))))))))))</f>
        <v>-5</v>
      </c>
      <c r="R414" s="3" t="n">
        <v>2</v>
      </c>
      <c r="S414" s="1" t="str">
        <f aca="false">IF(R414=1,"-5",IF(OR(R414=2,R414=3),"-4",IF(OR(R414=4,R414=5),"-3",IF(OR(R414=6,R414=7),"-2",IF(OR(R414=8,R414=9),"-1",IF(OR(R414=10,R414=11),"0",IF(OR(R414=12,R414=13),"+1",IF(OR(R414=14,R414=15),"+2",IF(OR(R414=16,R414=17),"+3",IF(OR(R414=18,R414=19),"+4",IF(OR(R414=20,R414=21),"+5",IF(OR(R414=22,R414=23),"+6",IF(OR(R414=24,R414=25),"+7",IF(OR(R414=26,R414=27),"+8",IF(OR(R414=28,R414=29),"+9",IF(R414=30,"+10"," "))))))))))))))))</f>
        <v>-4</v>
      </c>
      <c r="T414" s="3" t="n">
        <v>1</v>
      </c>
      <c r="U414" s="1" t="str">
        <f aca="false">IF(T414=1,"-5",IF(OR(T414=2,T414=3),"-4",IF(OR(T414=4,T414=5),"-3",IF(OR(T414=6,T414=7),"-2",IF(OR(T414=8,T414=9),"-1",IF(OR(T414=10,T414=11),"0",IF(OR(T414=12,T414=13),"+1",IF(OR(T414=14,T414=15),"+2",IF(OR(T414=16,T414=17),"+3",IF(OR(T414=18,T414=19),"+4",IF(OR(T414=20,T414=21),"+5",IF(OR(T414=22,T414=23),"+6",IF(OR(T414=24,T414=25),"+7",IF(OR(T414=26,T414=27),"+8",IF(OR(T414=28,T414=29),"+9",IF(T414=30,"+10"," "))))))))))))))))</f>
        <v>-5</v>
      </c>
      <c r="V414" s="3" t="s">
        <v>37</v>
      </c>
      <c r="W414" s="3" t="s">
        <v>37</v>
      </c>
      <c r="X414" s="11" t="s">
        <v>2055</v>
      </c>
      <c r="Y414" s="11" t="s">
        <v>2056</v>
      </c>
      <c r="Z414" s="11" t="s">
        <v>37</v>
      </c>
      <c r="AA414" s="12" t="s">
        <v>37</v>
      </c>
    </row>
    <row r="415" customFormat="false" ht="16.4" hidden="false" customHeight="false" outlineLevel="0" collapsed="false">
      <c r="A415" s="15" t="s">
        <v>2057</v>
      </c>
      <c r="B415" s="3" t="s">
        <v>2031</v>
      </c>
      <c r="C415" s="3" t="s">
        <v>37</v>
      </c>
      <c r="D415" s="16" t="n">
        <v>0.5</v>
      </c>
      <c r="E415" s="3" t="n">
        <f aca="false">VLOOKUP(D415,'[1]REF Tables'!$A$2:$B$40,2)</f>
        <v>100</v>
      </c>
      <c r="F415" s="3" t="s">
        <v>30</v>
      </c>
      <c r="G415" s="3" t="n">
        <v>12</v>
      </c>
      <c r="H415" s="3" t="s">
        <v>1087</v>
      </c>
      <c r="I415" s="3" t="s">
        <v>563</v>
      </c>
      <c r="J415" s="3" t="n">
        <v>3</v>
      </c>
      <c r="K415" s="1" t="str">
        <f aca="false">IF(J415=1,"-5",IF(OR(J415=2,J415=3),"-4",IF(OR(J415=4,J415=5),"-3",IF(OR(J415=6,J415=7),"-2",IF(OR(J415=8,J415=9),"-1",IF(OR(J415=10,J415=11),"0",IF(OR(J415=12,J415=13),"+1",IF(OR(J415=14,J415=15),"+2",IF(OR(J415=16,J415=17),"+3",IF(OR(J415=18,J415=19),"+4",IF(OR(J415=20,J415=21),"+5",IF(OR(J415=22,J415=23),"+6",IF(OR(J415=24,J415=25),"+7",IF(OR(J415=26,J415=27),"+8",IF(OR(J415=28,J415=29),"+9",IF(J415=30,"+10"," "))))))))))))))))</f>
        <v>-4</v>
      </c>
      <c r="L415" s="3" t="n">
        <v>13</v>
      </c>
      <c r="M415" s="1" t="str">
        <f aca="false">IF(L415=1,"-5",IF(OR(L415=2,L415=3),"-4",IF(OR(L415=4,L415=5),"-3",IF(OR(L415=6,L415=7),"-2",IF(OR(L415=8,L415=9),"-1",IF(OR(L415=10,L415=11),"0",IF(OR(L415=12,L415=13),"+1",IF(OR(L415=14,L415=15),"+2",IF(OR(L415=16,L415=17),"+3",IF(OR(L415=18,L415=19),"+4",IF(OR(L415=20,L415=21),"+5",IF(OR(L415=22,L415=23),"+6",IF(OR(L415=24,L415=25),"+7",IF(OR(L415=26,L415=27),"+8",IF(OR(L415=28,L415=29),"+9",IF(L415=30,"+10"," "))))))))))))))))</f>
        <v>+1</v>
      </c>
      <c r="N415" s="3" t="n">
        <v>10</v>
      </c>
      <c r="O415" s="1" t="str">
        <f aca="false">IF(N415=1,"-5",IF(OR(N415=2,N415=3),"-4",IF(OR(N415=4,N415=5),"-3",IF(OR(N415=6,N415=7),"-2",IF(OR(N415=8,N415=9),"-1",IF(OR(N415=10,N415=11),"0",IF(OR(N415=12,N415=13),"+1",IF(OR(N415=14,N415=15),"+2",IF(OR(N415=16,N415=17),"+3",IF(OR(N415=18,N415=19),"+4",IF(OR(N415=20,N415=21),"+5",IF(OR(N415=22,N415=23),"+6",IF(OR(N415=24,N415=25),"+7",IF(OR(N415=26,N415=27),"+8",IF(OR(N415=28,N415=29),"+9",IF(N415=30,"+10"," "))))))))))))))))</f>
        <v>0</v>
      </c>
      <c r="P415" s="3" t="n">
        <v>1</v>
      </c>
      <c r="Q415" s="1" t="str">
        <f aca="false">IF(P415=1,"-5",IF(OR(P415=2,P415=3),"-4",IF(OR(P415=4,P415=5),"-3",IF(OR(P415=6,P415=7),"-2",IF(OR(P415=8,P415=9),"-1",IF(OR(P415=10,P415=11),"0",IF(OR(P415=12,P415=13),"+1",IF(OR(P415=14,P415=15),"+2",IF(OR(P415=16,P415=17),"+3",IF(OR(P415=18,P415=19),"+4",IF(OR(P415=20,P415=21),"+5",IF(OR(P415=22,P415=23),"+6",IF(OR(P415=24,P415=25),"+7",IF(OR(P415=26,P415=27),"+8",IF(OR(P415=28,P415=29),"+9",IF(P415=30,"+10"," "))))))))))))))))</f>
        <v>-5</v>
      </c>
      <c r="R415" s="3" t="n">
        <v>7</v>
      </c>
      <c r="S415" s="1" t="str">
        <f aca="false">IF(R415=1,"-5",IF(OR(R415=2,R415=3),"-4",IF(OR(R415=4,R415=5),"-3",IF(OR(R415=6,R415=7),"-2",IF(OR(R415=8,R415=9),"-1",IF(OR(R415=10,R415=11),"0",IF(OR(R415=12,R415=13),"+1",IF(OR(R415=14,R415=15),"+2",IF(OR(R415=16,R415=17),"+3",IF(OR(R415=18,R415=19),"+4",IF(OR(R415=20,R415=21),"+5",IF(OR(R415=22,R415=23),"+6",IF(OR(R415=24,R415=25),"+7",IF(OR(R415=26,R415=27),"+8",IF(OR(R415=28,R415=29),"+9",IF(R415=30,"+10"," "))))))))))))))))</f>
        <v>-2</v>
      </c>
      <c r="T415" s="3" t="n">
        <v>1</v>
      </c>
      <c r="U415" s="1" t="str">
        <f aca="false">IF(T415=1,"-5",IF(OR(T415=2,T415=3),"-4",IF(OR(T415=4,T415=5),"-3",IF(OR(T415=6,T415=7),"-2",IF(OR(T415=8,T415=9),"-1",IF(OR(T415=10,T415=11),"0",IF(OR(T415=12,T415=13),"+1",IF(OR(T415=14,T415=15),"+2",IF(OR(T415=16,T415=17),"+3",IF(OR(T415=18,T415=19),"+4",IF(OR(T415=20,T415=21),"+5",IF(OR(T415=22,T415=23),"+6",IF(OR(T415=24,T415=25),"+7",IF(OR(T415=26,T415=27),"+8",IF(OR(T415=28,T415=29),"+9",IF(T415=30,"+10"," "))))))))))))))))</f>
        <v>-5</v>
      </c>
      <c r="V415" s="3" t="s">
        <v>37</v>
      </c>
      <c r="W415" s="3" t="s">
        <v>37</v>
      </c>
      <c r="X415" s="11" t="s">
        <v>2058</v>
      </c>
      <c r="Y415" s="11" t="s">
        <v>2059</v>
      </c>
      <c r="Z415" s="11" t="s">
        <v>37</v>
      </c>
      <c r="AA415" s="12" t="s">
        <v>37</v>
      </c>
    </row>
    <row r="416" customFormat="false" ht="16.4" hidden="false" customHeight="false" outlineLevel="0" collapsed="false">
      <c r="A416" s="15" t="s">
        <v>2060</v>
      </c>
      <c r="B416" s="3" t="s">
        <v>170</v>
      </c>
      <c r="C416" s="3" t="s">
        <v>85</v>
      </c>
      <c r="D416" s="16" t="n">
        <v>9</v>
      </c>
      <c r="E416" s="6" t="n">
        <f aca="false">VLOOKUP(D416,'[1]REF Tables'!$A$2:$B$40,2)</f>
        <v>5000</v>
      </c>
      <c r="F416" s="3" t="s">
        <v>50</v>
      </c>
      <c r="G416" s="3" t="n">
        <v>18</v>
      </c>
      <c r="H416" s="3" t="s">
        <v>770</v>
      </c>
      <c r="I416" s="3" t="s">
        <v>108</v>
      </c>
      <c r="J416" s="3" t="n">
        <v>20</v>
      </c>
      <c r="K416" s="1" t="str">
        <f aca="false">IF(J416=1,"-5",IF(OR(J416=2,J416=3),"-4",IF(OR(J416=4,J416=5),"-3",IF(OR(J416=6,J416=7),"-2",IF(OR(J416=8,J416=9),"-1",IF(OR(J416=10,J416=11),"0",IF(OR(J416=12,J416=13),"+1",IF(OR(J416=14,J416=15),"+2",IF(OR(J416=16,J416=17),"+3",IF(OR(J416=18,J416=19),"+4",IF(OR(J416=20,J416=21),"+5",IF(OR(J416=22,J416=23),"+6",IF(OR(J416=24,J416=25),"+7",IF(OR(J416=26,J416=27),"+8",IF(OR(J416=28,J416=29),"+9",IF(J416=30,"+10"," "))))))))))))))))</f>
        <v>+5</v>
      </c>
      <c r="L416" s="3" t="n">
        <v>11</v>
      </c>
      <c r="M416" s="1" t="str">
        <f aca="false">IF(L416=1,"-5",IF(OR(L416=2,L416=3),"-4",IF(OR(L416=4,L416=5),"-3",IF(OR(L416=6,L416=7),"-2",IF(OR(L416=8,L416=9),"-1",IF(OR(L416=10,L416=11),"0",IF(OR(L416=12,L416=13),"+1",IF(OR(L416=14,L416=15),"+2",IF(OR(L416=16,L416=17),"+3",IF(OR(L416=18,L416=19),"+4",IF(OR(L416=20,L416=21),"+5",IF(OR(L416=22,L416=23),"+6",IF(OR(L416=24,L416=25),"+7",IF(OR(L416=26,L416=27),"+8",IF(OR(L416=28,L416=29),"+9",IF(L416=30,"+10"," "))))))))))))))))</f>
        <v>0</v>
      </c>
      <c r="N416" s="3" t="n">
        <v>19</v>
      </c>
      <c r="O416" s="1" t="str">
        <f aca="false">IF(N416=1,"-5",IF(OR(N416=2,N416=3),"-4",IF(OR(N416=4,N416=5),"-3",IF(OR(N416=6,N416=7),"-2",IF(OR(N416=8,N416=9),"-1",IF(OR(N416=10,N416=11),"0",IF(OR(N416=12,N416=13),"+1",IF(OR(N416=14,N416=15),"+2",IF(OR(N416=16,N416=17),"+3",IF(OR(N416=18,N416=19),"+4",IF(OR(N416=20,N416=21),"+5",IF(OR(N416=22,N416=23),"+6",IF(OR(N416=24,N416=25),"+7",IF(OR(N416=26,N416=27),"+8",IF(OR(N416=28,N416=29),"+9",IF(N416=30,"+10"," "))))))))))))))))</f>
        <v>+4</v>
      </c>
      <c r="P416" s="3" t="n">
        <v>12</v>
      </c>
      <c r="Q416" s="1" t="str">
        <f aca="false">IF(P416=1,"-5",IF(OR(P416=2,P416=3),"-4",IF(OR(P416=4,P416=5),"-3",IF(OR(P416=6,P416=7),"-2",IF(OR(P416=8,P416=9),"-1",IF(OR(P416=10,P416=11),"0",IF(OR(P416=12,P416=13),"+1",IF(OR(P416=14,P416=15),"+2",IF(OR(P416=16,P416=17),"+3",IF(OR(P416=18,P416=19),"+4",IF(OR(P416=20,P416=21),"+5",IF(OR(P416=22,P416=23),"+6",IF(OR(P416=24,P416=25),"+7",IF(OR(P416=26,P416=27),"+8",IF(OR(P416=28,P416=29),"+9",IF(P416=30,"+10"," "))))))))))))))))</f>
        <v>+1</v>
      </c>
      <c r="R416" s="3" t="n">
        <v>10</v>
      </c>
      <c r="S416" s="1" t="str">
        <f aca="false">IF(R416=1,"-5",IF(OR(R416=2,R416=3),"-4",IF(OR(R416=4,R416=5),"-3",IF(OR(R416=6,R416=7),"-2",IF(OR(R416=8,R416=9),"-1",IF(OR(R416=10,R416=11),"0",IF(OR(R416=12,R416=13),"+1",IF(OR(R416=14,R416=15),"+2",IF(OR(R416=16,R416=17),"+3",IF(OR(R416=18,R416=19),"+4",IF(OR(R416=20,R416=21),"+5",IF(OR(R416=22,R416=23),"+6",IF(OR(R416=24,R416=25),"+7",IF(OR(R416=26,R416=27),"+8",IF(OR(R416=28,R416=29),"+9",IF(R416=30,"+10"," "))))))))))))))))</f>
        <v>0</v>
      </c>
      <c r="T416" s="3" t="n">
        <v>15</v>
      </c>
      <c r="U416" s="1" t="str">
        <f aca="false">IF(T416=1,"-5",IF(OR(T416=2,T416=3),"-4",IF(OR(T416=4,T416=5),"-3",IF(OR(T416=6,T416=7),"-2",IF(OR(T416=8,T416=9),"-1",IF(OR(T416=10,T416=11),"0",IF(OR(T416=12,T416=13),"+1",IF(OR(T416=14,T416=15),"+2",IF(OR(T416=16,T416=17),"+3",IF(OR(T416=18,T416=19),"+4",IF(OR(T416=20,T416=21),"+5",IF(OR(T416=22,T416=23),"+6",IF(OR(T416=24,T416=25),"+7",IF(OR(T416=26,T416=27),"+8",IF(OR(T416=28,T416=29),"+9",IF(T416=30,"+10"," "))))))))))))))))</f>
        <v>+2</v>
      </c>
      <c r="V416" s="3" t="s">
        <v>2061</v>
      </c>
      <c r="W416" s="3" t="s">
        <v>1889</v>
      </c>
      <c r="X416" s="3" t="s">
        <v>2062</v>
      </c>
      <c r="Y416" s="11" t="s">
        <v>2063</v>
      </c>
      <c r="Z416" s="11" t="s">
        <v>37</v>
      </c>
      <c r="AA416" s="12" t="s">
        <v>37</v>
      </c>
      <c r="AB416" s="1"/>
      <c r="AC416" s="1"/>
      <c r="AD416" s="1"/>
      <c r="AE416" s="1"/>
      <c r="AF416" s="1"/>
    </row>
    <row r="417" customFormat="false" ht="16.4" hidden="false" customHeight="false" outlineLevel="0" collapsed="false">
      <c r="A417" s="15" t="s">
        <v>2064</v>
      </c>
      <c r="B417" s="3" t="s">
        <v>39</v>
      </c>
      <c r="C417" s="3" t="s">
        <v>40</v>
      </c>
      <c r="D417" s="16" t="n">
        <v>4</v>
      </c>
      <c r="E417" s="6" t="n">
        <f aca="false">VLOOKUP(D417,'[1]REF Tables'!$A$2:$B$40,2)</f>
        <v>1100</v>
      </c>
      <c r="F417" s="3" t="s">
        <v>30</v>
      </c>
      <c r="G417" s="3" t="n">
        <v>11</v>
      </c>
      <c r="H417" s="3" t="s">
        <v>2065</v>
      </c>
      <c r="I417" s="3" t="s">
        <v>42</v>
      </c>
      <c r="J417" s="3" t="n">
        <v>9</v>
      </c>
      <c r="K417" s="1" t="str">
        <f aca="false">IF(J417=1,"-5",IF(OR(J417=2,J417=3),"-4",IF(OR(J417=4,J417=5),"-3",IF(OR(J417=6,J417=7),"-2",IF(OR(J417=8,J417=9),"-1",IF(OR(J417=10,J417=11),"0",IF(OR(J417=12,J417=13),"+1",IF(OR(J417=14,J417=15),"+2",IF(OR(J417=16,J417=17),"+3",IF(OR(J417=18,J417=19),"+4",IF(OR(J417=20,J417=21),"+5",IF(OR(J417=22,J417=23),"+6",IF(OR(J417=24,J417=25),"+7",IF(OR(J417=26,J417=27),"+8",IF(OR(J417=28,J417=29),"+9",IF(J417=30,"+10"," "))))))))))))))))</f>
        <v>-1</v>
      </c>
      <c r="L417" s="3" t="n">
        <v>13</v>
      </c>
      <c r="M417" s="1" t="str">
        <f aca="false">IF(L417=1,"-5",IF(OR(L417=2,L417=3),"-4",IF(OR(L417=4,L417=5),"-3",IF(OR(L417=6,L417=7),"-2",IF(OR(L417=8,L417=9),"-1",IF(OR(L417=10,L417=11),"0",IF(OR(L417=12,L417=13),"+1",IF(OR(L417=14,L417=15),"+2",IF(OR(L417=16,L417=17),"+3",IF(OR(L417=18,L417=19),"+4",IF(OR(L417=20,L417=21),"+5",IF(OR(L417=22,L417=23),"+6",IF(OR(L417=24,L417=25),"+7",IF(OR(L417=26,L417=27),"+8",IF(OR(L417=28,L417=29),"+9",IF(L417=30,"+10"," "))))))))))))))))</f>
        <v>+1</v>
      </c>
      <c r="N417" s="3" t="n">
        <v>11</v>
      </c>
      <c r="O417" s="1" t="str">
        <f aca="false">IF(N417=1,"-5",IF(OR(N417=2,N417=3),"-4",IF(OR(N417=4,N417=5),"-3",IF(OR(N417=6,N417=7),"-2",IF(OR(N417=8,N417=9),"-1",IF(OR(N417=10,N417=11),"0",IF(OR(N417=12,N417=13),"+1",IF(OR(N417=14,N417=15),"+2",IF(OR(N417=16,N417=17),"+3",IF(OR(N417=18,N417=19),"+4",IF(OR(N417=20,N417=21),"+5",IF(OR(N417=22,N417=23),"+6",IF(OR(N417=24,N417=25),"+7",IF(OR(N417=26,N417=27),"+8",IF(OR(N417=28,N417=29),"+9",IF(N417=30,"+10"," "))))))))))))))))</f>
        <v>0</v>
      </c>
      <c r="P417" s="3" t="n">
        <v>11</v>
      </c>
      <c r="Q417" s="1" t="str">
        <f aca="false">IF(P417=1,"-5",IF(OR(P417=2,P417=3),"-4",IF(OR(P417=4,P417=5),"-3",IF(OR(P417=6,P417=7),"-2",IF(OR(P417=8,P417=9),"-1",IF(OR(P417=10,P417=11),"0",IF(OR(P417=12,P417=13),"+1",IF(OR(P417=14,P417=15),"+2",IF(OR(P417=16,P417=17),"+3",IF(OR(P417=18,P417=19),"+4",IF(OR(P417=20,P417=21),"+5",IF(OR(P417=22,P417=23),"+6",IF(OR(P417=24,P417=25),"+7",IF(OR(P417=26,P417=27),"+8",IF(OR(P417=28,P417=29),"+9",IF(P417=30,"+10"," "))))))))))))))))</f>
        <v>0</v>
      </c>
      <c r="R417" s="3" t="n">
        <v>12</v>
      </c>
      <c r="S417" s="1" t="str">
        <f aca="false">IF(R417=1,"-5",IF(OR(R417=2,R417=3),"-4",IF(OR(R417=4,R417=5),"-3",IF(OR(R417=6,R417=7),"-2",IF(OR(R417=8,R417=9),"-1",IF(OR(R417=10,R417=11),"0",IF(OR(R417=12,R417=13),"+1",IF(OR(R417=14,R417=15),"+2",IF(OR(R417=16,R417=17),"+3",IF(OR(R417=18,R417=19),"+4",IF(OR(R417=20,R417=21),"+5",IF(OR(R417=22,R417=23),"+6",IF(OR(R417=24,R417=25),"+7",IF(OR(R417=26,R417=27),"+8",IF(OR(R417=28,R417=29),"+9",IF(R417=30,"+10"," "))))))))))))))))</f>
        <v>+1</v>
      </c>
      <c r="T417" s="3" t="n">
        <v>18</v>
      </c>
      <c r="U417" s="1" t="str">
        <f aca="false">IF(T417=1,"-5",IF(OR(T417=2,T417=3),"-4",IF(OR(T417=4,T417=5),"-3",IF(OR(T417=6,T417=7),"-2",IF(OR(T417=8,T417=9),"-1",IF(OR(T417=10,T417=11),"0",IF(OR(T417=12,T417=13),"+1",IF(OR(T417=14,T417=15),"+2",IF(OR(T417=16,T417=17),"+3",IF(OR(T417=18,T417=19),"+4",IF(OR(T417=20,T417=21),"+5",IF(OR(T417=22,T417=23),"+6",IF(OR(T417=24,T417=25),"+7",IF(OR(T417=26,T417=27),"+8",IF(OR(T417=28,T417=29),"+9",IF(T417=30,"+10"," "))))))))))))))))</f>
        <v>+4</v>
      </c>
      <c r="V417" s="3" t="s">
        <v>2066</v>
      </c>
      <c r="W417" s="3" t="s">
        <v>2067</v>
      </c>
      <c r="X417" s="11" t="s">
        <v>2068</v>
      </c>
      <c r="Y417" s="11" t="s">
        <v>2069</v>
      </c>
      <c r="Z417" s="11" t="s">
        <v>2070</v>
      </c>
      <c r="AA417" s="12" t="s">
        <v>37</v>
      </c>
    </row>
    <row r="418" customFormat="false" ht="16.4" hidden="false" customHeight="false" outlineLevel="0" collapsed="false">
      <c r="A418" s="7" t="s">
        <v>2071</v>
      </c>
      <c r="B418" s="1" t="s">
        <v>39</v>
      </c>
      <c r="C418" s="1" t="s">
        <v>40</v>
      </c>
      <c r="D418" s="8" t="n">
        <v>4</v>
      </c>
      <c r="E418" s="9" t="n">
        <f aca="false">VLOOKUP(D418,'[1]REF Tables'!$A$2:$B$40,2)</f>
        <v>1100</v>
      </c>
      <c r="F418" s="1" t="s">
        <v>30</v>
      </c>
      <c r="G418" s="10" t="n">
        <v>13</v>
      </c>
      <c r="H418" s="1" t="s">
        <v>684</v>
      </c>
      <c r="I418" s="1" t="s">
        <v>42</v>
      </c>
      <c r="J418" s="10" t="n">
        <v>9</v>
      </c>
      <c r="K418" s="1" t="str">
        <f aca="false">IF(J418=1,"-5",IF(OR(J418=2,J418=3),"-4",IF(OR(J418=4,J418=5),"-3",IF(OR(J418=6,J418=7),"-2",IF(OR(J418=8,J418=9),"-1",IF(OR(J418=10,J418=11),"0",IF(OR(J418=12,J418=13),"+1",IF(OR(J418=14,J418=15),"+2",IF(OR(J418=16,J418=17),"+3",IF(OR(J418=18,J418=19),"+4",IF(OR(J418=20,J418=21),"+5",IF(OR(J418=22,J418=23),"+6",IF(OR(J418=24,J418=25),"+7",IF(OR(J418=26,J418=27),"+8",IF(OR(J418=28,J418=29),"+9",IF(J418=30,"+10"," "))))))))))))))))</f>
        <v>-1</v>
      </c>
      <c r="L418" s="10" t="n">
        <v>16</v>
      </c>
      <c r="M418" s="1" t="str">
        <f aca="false">IF(L418=1,"-5",IF(OR(L418=2,L418=3),"-4",IF(OR(L418=4,L418=5),"-3",IF(OR(L418=6,L418=7),"-2",IF(OR(L418=8,L418=9),"-1",IF(OR(L418=10,L418=11),"0",IF(OR(L418=12,L418=13),"+1",IF(OR(L418=14,L418=15),"+2",IF(OR(L418=16,L418=17),"+3",IF(OR(L418=18,L418=19),"+4",IF(OR(L418=20,L418=21),"+5",IF(OR(L418=22,L418=23),"+6",IF(OR(L418=24,L418=25),"+7",IF(OR(L418=26,L418=27),"+8",IF(OR(L418=28,L418=29),"+9",IF(L418=30,"+10"," "))))))))))))))))</f>
        <v>+3</v>
      </c>
      <c r="N418" s="10" t="n">
        <v>11</v>
      </c>
      <c r="O418" s="1" t="str">
        <f aca="false">IF(N418=1,"-5",IF(OR(N418=2,N418=3),"-4",IF(OR(N418=4,N418=5),"-3",IF(OR(N418=6,N418=7),"-2",IF(OR(N418=8,N418=9),"-1",IF(OR(N418=10,N418=11),"0",IF(OR(N418=12,N418=13),"+1",IF(OR(N418=14,N418=15),"+2",IF(OR(N418=16,N418=17),"+3",IF(OR(N418=18,N418=19),"+4",IF(OR(N418=20,N418=21),"+5",IF(OR(N418=22,N418=23),"+6",IF(OR(N418=24,N418=25),"+7",IF(OR(N418=26,N418=27),"+8",IF(OR(N418=28,N418=29),"+9",IF(N418=30,"+10"," "))))))))))))))))</f>
        <v>0</v>
      </c>
      <c r="P418" s="10" t="n">
        <v>11</v>
      </c>
      <c r="Q418" s="1" t="str">
        <f aca="false">IF(P418=1,"-5",IF(OR(P418=2,P418=3),"-4",IF(OR(P418=4,P418=5),"-3",IF(OR(P418=6,P418=7),"-2",IF(OR(P418=8,P418=9),"-1",IF(OR(P418=10,P418=11),"0",IF(OR(P418=12,P418=13),"+1",IF(OR(P418=14,P418=15),"+2",IF(OR(P418=16,P418=17),"+3",IF(OR(P418=18,P418=19),"+4",IF(OR(P418=20,P418=21),"+5",IF(OR(P418=22,P418=23),"+6",IF(OR(P418=24,P418=25),"+7",IF(OR(P418=26,P418=27),"+8",IF(OR(P418=28,P418=29),"+9",IF(P418=30,"+10"," "))))))))))))))))</f>
        <v>0</v>
      </c>
      <c r="R418" s="10" t="n">
        <v>12</v>
      </c>
      <c r="S418" s="1" t="str">
        <f aca="false">IF(R418=1,"-5",IF(OR(R418=2,R418=3),"-4",IF(OR(R418=4,R418=5),"-3",IF(OR(R418=6,R418=7),"-2",IF(OR(R418=8,R418=9),"-1",IF(OR(R418=10,R418=11),"0",IF(OR(R418=12,R418=13),"+1",IF(OR(R418=14,R418=15),"+2",IF(OR(R418=16,R418=17),"+3",IF(OR(R418=18,R418=19),"+4",IF(OR(R418=20,R418=21),"+5",IF(OR(R418=22,R418=23),"+6",IF(OR(R418=24,R418=25),"+7",IF(OR(R418=26,R418=27),"+8",IF(OR(R418=28,R418=29),"+9",IF(R418=30,"+10"," "))))))))))))))))</f>
        <v>+1</v>
      </c>
      <c r="T418" s="10" t="n">
        <v>18</v>
      </c>
      <c r="U418" s="1" t="str">
        <f aca="false">IF(T418=1,"-5",IF(OR(T418=2,T418=3),"-4",IF(OR(T418=4,T418=5),"-3",IF(OR(T418=6,T418=7),"-2",IF(OR(T418=8,T418=9),"-1",IF(OR(T418=10,T418=11),"0",IF(OR(T418=12,T418=13),"+1",IF(OR(T418=14,T418=15),"+2",IF(OR(T418=16,T418=17),"+3",IF(OR(T418=18,T418=19),"+4",IF(OR(T418=20,T418=21),"+5",IF(OR(T418=22,T418=23),"+6",IF(OR(T418=24,T418=25),"+7",IF(OR(T418=26,T418=27),"+8",IF(OR(T418=28,T418=29),"+9",IF(T418=30,"+10"," "))))))))))))))))</f>
        <v>+4</v>
      </c>
      <c r="V418" s="1" t="s">
        <v>2072</v>
      </c>
      <c r="W418" s="1" t="s">
        <v>265</v>
      </c>
      <c r="X418" s="11" t="s">
        <v>2073</v>
      </c>
      <c r="Y418" s="11" t="s">
        <v>2074</v>
      </c>
      <c r="Z418" s="11" t="s">
        <v>2075</v>
      </c>
      <c r="AA418" s="12" t="s">
        <v>37</v>
      </c>
      <c r="AB418" s="1"/>
      <c r="AC418" s="1"/>
      <c r="AD418" s="1"/>
      <c r="AE418" s="1"/>
      <c r="AF418" s="1"/>
    </row>
    <row r="419" customFormat="false" ht="16.4" hidden="false" customHeight="false" outlineLevel="0" collapsed="false">
      <c r="A419" s="15" t="s">
        <v>2076</v>
      </c>
      <c r="B419" s="3" t="s">
        <v>39</v>
      </c>
      <c r="C419" s="3" t="s">
        <v>40</v>
      </c>
      <c r="D419" s="16" t="n">
        <v>7</v>
      </c>
      <c r="E419" s="6" t="n">
        <f aca="false">VLOOKUP(D419,'[1]REF Tables'!$A$2:$B$40,2)</f>
        <v>2900</v>
      </c>
      <c r="F419" s="3" t="s">
        <v>30</v>
      </c>
      <c r="G419" s="3" t="n">
        <v>12</v>
      </c>
      <c r="H419" s="3" t="s">
        <v>204</v>
      </c>
      <c r="I419" s="3" t="s">
        <v>42</v>
      </c>
      <c r="J419" s="3" t="n">
        <v>10</v>
      </c>
      <c r="K419" s="1" t="str">
        <f aca="false">IF(J419=1,"-5",IF(OR(J419=2,J419=3),"-4",IF(OR(J419=4,J419=5),"-3",IF(OR(J419=6,J419=7),"-2",IF(OR(J419=8,J419=9),"-1",IF(OR(J419=10,J419=11),"0",IF(OR(J419=12,J419=13),"+1",IF(OR(J419=14,J419=15),"+2",IF(OR(J419=16,J419=17),"+3",IF(OR(J419=18,J419=19),"+4",IF(OR(J419=20,J419=21),"+5",IF(OR(J419=22,J419=23),"+6",IF(OR(J419=24,J419=25),"+7",IF(OR(J419=26,J419=27),"+8",IF(OR(J419=28,J419=29),"+9",IF(J419=30,"+10"," "))))))))))))))))</f>
        <v>0</v>
      </c>
      <c r="L419" s="3" t="n">
        <v>14</v>
      </c>
      <c r="M419" s="1" t="str">
        <f aca="false">IF(L419=1,"-5",IF(OR(L419=2,L419=3),"-4",IF(OR(L419=4,L419=5),"-3",IF(OR(L419=6,L419=7),"-2",IF(OR(L419=8,L419=9),"-1",IF(OR(L419=10,L419=11),"0",IF(OR(L419=12,L419=13),"+1",IF(OR(L419=14,L419=15),"+2",IF(OR(L419=16,L419=17),"+3",IF(OR(L419=18,L419=19),"+4",IF(OR(L419=20,L419=21),"+5",IF(OR(L419=22,L419=23),"+6",IF(OR(L419=24,L419=25),"+7",IF(OR(L419=26,L419=27),"+8",IF(OR(L419=28,L419=29),"+9",IF(L419=30,"+10"," "))))))))))))))))</f>
        <v>+2</v>
      </c>
      <c r="N419" s="3" t="n">
        <v>15</v>
      </c>
      <c r="O419" s="1" t="str">
        <f aca="false">IF(N419=1,"-5",IF(OR(N419=2,N419=3),"-4",IF(OR(N419=4,N419=5),"-3",IF(OR(N419=6,N419=7),"-2",IF(OR(N419=8,N419=9),"-1",IF(OR(N419=10,N419=11),"0",IF(OR(N419=12,N419=13),"+1",IF(OR(N419=14,N419=15),"+2",IF(OR(N419=16,N419=17),"+3",IF(OR(N419=18,N419=19),"+4",IF(OR(N419=20,N419=21),"+5",IF(OR(N419=22,N419=23),"+6",IF(OR(N419=24,N419=25),"+7",IF(OR(N419=26,N419=27),"+8",IF(OR(N419=28,N419=29),"+9",IF(N419=30,"+10"," "))))))))))))))))</f>
        <v>+2</v>
      </c>
      <c r="P419" s="3" t="n">
        <v>12</v>
      </c>
      <c r="Q419" s="1" t="str">
        <f aca="false">IF(P419=1,"-5",IF(OR(P419=2,P419=3),"-4",IF(OR(P419=4,P419=5),"-3",IF(OR(P419=6,P419=7),"-2",IF(OR(P419=8,P419=9),"-1",IF(OR(P419=10,P419=11),"0",IF(OR(P419=12,P419=13),"+1",IF(OR(P419=14,P419=15),"+2",IF(OR(P419=16,P419=17),"+3",IF(OR(P419=18,P419=19),"+4",IF(OR(P419=20,P419=21),"+5",IF(OR(P419=22,P419=23),"+6",IF(OR(P419=24,P419=25),"+7",IF(OR(P419=26,P419=27),"+8",IF(OR(P419=28,P419=29),"+9",IF(P419=30,"+10"," "))))))))))))))))</f>
        <v>+1</v>
      </c>
      <c r="R419" s="3" t="n">
        <v>12</v>
      </c>
      <c r="S419" s="1" t="str">
        <f aca="false">IF(R419=1,"-5",IF(OR(R419=2,R419=3),"-4",IF(OR(R419=4,R419=5),"-3",IF(OR(R419=6,R419=7),"-2",IF(OR(R419=8,R419=9),"-1",IF(OR(R419=10,R419=11),"0",IF(OR(R419=12,R419=13),"+1",IF(OR(R419=14,R419=15),"+2",IF(OR(R419=16,R419=17),"+3",IF(OR(R419=18,R419=19),"+4",IF(OR(R419=20,R419=21),"+5",IF(OR(R419=22,R419=23),"+6",IF(OR(R419=24,R419=25),"+7",IF(OR(R419=26,R419=27),"+8",IF(OR(R419=28,R419=29),"+9",IF(R419=30,"+10"," "))))))))))))))))</f>
        <v>+1</v>
      </c>
      <c r="T419" s="3" t="n">
        <v>18</v>
      </c>
      <c r="U419" s="1" t="str">
        <f aca="false">IF(T419=1,"-5",IF(OR(T419=2,T419=3),"-4",IF(OR(T419=4,T419=5),"-3",IF(OR(T419=6,T419=7),"-2",IF(OR(T419=8,T419=9),"-1",IF(OR(T419=10,T419=11),"0",IF(OR(T419=12,T419=13),"+1",IF(OR(T419=14,T419=15),"+2",IF(OR(T419=16,T419=17),"+3",IF(OR(T419=18,T419=19),"+4",IF(OR(T419=20,T419=21),"+5",IF(OR(T419=22,T419=23),"+6",IF(OR(T419=24,T419=25),"+7",IF(OR(T419=26,T419=27),"+8",IF(OR(T419=28,T419=29),"+9",IF(T419=30,"+10"," "))))))))))))))))</f>
        <v>+4</v>
      </c>
      <c r="V419" s="3" t="s">
        <v>2077</v>
      </c>
      <c r="W419" s="3" t="s">
        <v>2078</v>
      </c>
      <c r="X419" s="11" t="s">
        <v>2079</v>
      </c>
      <c r="Y419" s="11" t="s">
        <v>2080</v>
      </c>
      <c r="Z419" s="11" t="s">
        <v>37</v>
      </c>
      <c r="AA419" s="12" t="s">
        <v>37</v>
      </c>
    </row>
    <row r="420" customFormat="false" ht="16.4" hidden="false" customHeight="false" outlineLevel="0" collapsed="false">
      <c r="A420" s="7" t="s">
        <v>2081</v>
      </c>
      <c r="B420" s="1" t="s">
        <v>39</v>
      </c>
      <c r="C420" s="1" t="s">
        <v>40</v>
      </c>
      <c r="D420" s="8" t="n">
        <v>7</v>
      </c>
      <c r="E420" s="9" t="n">
        <f aca="false">VLOOKUP(D420,'[1]REF Tables'!$A$2:$B$40,2)</f>
        <v>2900</v>
      </c>
      <c r="F420" s="1" t="s">
        <v>30</v>
      </c>
      <c r="G420" s="10" t="n">
        <v>13</v>
      </c>
      <c r="H420" s="1" t="s">
        <v>204</v>
      </c>
      <c r="I420" s="1" t="s">
        <v>42</v>
      </c>
      <c r="J420" s="10" t="n">
        <v>10</v>
      </c>
      <c r="K420" s="1" t="str">
        <f aca="false">IF(J420=1,"-5",IF(OR(J420=2,J420=3),"-4",IF(OR(J420=4,J420=5),"-3",IF(OR(J420=6,J420=7),"-2",IF(OR(J420=8,J420=9),"-1",IF(OR(J420=10,J420=11),"0",IF(OR(J420=12,J420=13),"+1",IF(OR(J420=14,J420=15),"+2",IF(OR(J420=16,J420=17),"+3",IF(OR(J420=18,J420=19),"+4",IF(OR(J420=20,J420=21),"+5",IF(OR(J420=22,J420=23),"+6",IF(OR(J420=24,J420=25),"+7",IF(OR(J420=26,J420=27),"+8",IF(OR(J420=28,J420=29),"+9",IF(J420=30,"+10"," "))))))))))))))))</f>
        <v>0</v>
      </c>
      <c r="L420" s="10" t="n">
        <v>16</v>
      </c>
      <c r="M420" s="1" t="str">
        <f aca="false">IF(L420=1,"-5",IF(OR(L420=2,L420=3),"-4",IF(OR(L420=4,L420=5),"-3",IF(OR(L420=6,L420=7),"-2",IF(OR(L420=8,L420=9),"-1",IF(OR(L420=10,L420=11),"0",IF(OR(L420=12,L420=13),"+1",IF(OR(L420=14,L420=15),"+2",IF(OR(L420=16,L420=17),"+3",IF(OR(L420=18,L420=19),"+4",IF(OR(L420=20,L420=21),"+5",IF(OR(L420=22,L420=23),"+6",IF(OR(L420=24,L420=25),"+7",IF(OR(L420=26,L420=27),"+8",IF(OR(L420=28,L420=29),"+9",IF(L420=30,"+10"," "))))))))))))))))</f>
        <v>+3</v>
      </c>
      <c r="N420" s="10" t="n">
        <v>15</v>
      </c>
      <c r="O420" s="1" t="str">
        <f aca="false">IF(N420=1,"-5",IF(OR(N420=2,N420=3),"-4",IF(OR(N420=4,N420=5),"-3",IF(OR(N420=6,N420=7),"-2",IF(OR(N420=8,N420=9),"-1",IF(OR(N420=10,N420=11),"0",IF(OR(N420=12,N420=13),"+1",IF(OR(N420=14,N420=15),"+2",IF(OR(N420=16,N420=17),"+3",IF(OR(N420=18,N420=19),"+4",IF(OR(N420=20,N420=21),"+5",IF(OR(N420=22,N420=23),"+6",IF(OR(N420=24,N420=25),"+7",IF(OR(N420=26,N420=27),"+8",IF(OR(N420=28,N420=29),"+9",IF(N420=30,"+10"," "))))))))))))))))</f>
        <v>+2</v>
      </c>
      <c r="P420" s="10" t="n">
        <v>12</v>
      </c>
      <c r="Q420" s="1" t="str">
        <f aca="false">IF(P420=1,"-5",IF(OR(P420=2,P420=3),"-4",IF(OR(P420=4,P420=5),"-3",IF(OR(P420=6,P420=7),"-2",IF(OR(P420=8,P420=9),"-1",IF(OR(P420=10,P420=11),"0",IF(OR(P420=12,P420=13),"+1",IF(OR(P420=14,P420=15),"+2",IF(OR(P420=16,P420=17),"+3",IF(OR(P420=18,P420=19),"+4",IF(OR(P420=20,P420=21),"+5",IF(OR(P420=22,P420=23),"+6",IF(OR(P420=24,P420=25),"+7",IF(OR(P420=26,P420=27),"+8",IF(OR(P420=28,P420=29),"+9",IF(P420=30,"+10"," "))))))))))))))))</f>
        <v>+1</v>
      </c>
      <c r="R420" s="10" t="n">
        <v>12</v>
      </c>
      <c r="S420" s="1" t="str">
        <f aca="false">IF(R420=1,"-5",IF(OR(R420=2,R420=3),"-4",IF(OR(R420=4,R420=5),"-3",IF(OR(R420=6,R420=7),"-2",IF(OR(R420=8,R420=9),"-1",IF(OR(R420=10,R420=11),"0",IF(OR(R420=12,R420=13),"+1",IF(OR(R420=14,R420=15),"+2",IF(OR(R420=16,R420=17),"+3",IF(OR(R420=18,R420=19),"+4",IF(OR(R420=20,R420=21),"+5",IF(OR(R420=22,R420=23),"+6",IF(OR(R420=24,R420=25),"+7",IF(OR(R420=26,R420=27),"+8",IF(OR(R420=28,R420=29),"+9",IF(R420=30,"+10"," "))))))))))))))))</f>
        <v>+1</v>
      </c>
      <c r="T420" s="10" t="n">
        <v>18</v>
      </c>
      <c r="U420" s="1" t="str">
        <f aca="false">IF(T420=1,"-5",IF(OR(T420=2,T420=3),"-4",IF(OR(T420=4,T420=5),"-3",IF(OR(T420=6,T420=7),"-2",IF(OR(T420=8,T420=9),"-1",IF(OR(T420=10,T420=11),"0",IF(OR(T420=12,T420=13),"+1",IF(OR(T420=14,T420=15),"+2",IF(OR(T420=16,T420=17),"+3",IF(OR(T420=18,T420=19),"+4",IF(OR(T420=20,T420=21),"+5",IF(OR(T420=22,T420=23),"+6",IF(OR(T420=24,T420=25),"+7",IF(OR(T420=26,T420=27),"+8",IF(OR(T420=28,T420=29),"+9",IF(T420=30,"+10"," "))))))))))))))))</f>
        <v>+4</v>
      </c>
      <c r="V420" s="1" t="s">
        <v>2082</v>
      </c>
      <c r="W420" s="1" t="s">
        <v>265</v>
      </c>
      <c r="X420" s="11" t="s">
        <v>2083</v>
      </c>
      <c r="Y420" s="11" t="s">
        <v>2084</v>
      </c>
      <c r="Z420" s="11" t="s">
        <v>2085</v>
      </c>
      <c r="AA420" s="12" t="s">
        <v>37</v>
      </c>
      <c r="AB420" s="1"/>
      <c r="AC420" s="1"/>
      <c r="AD420" s="1"/>
      <c r="AE420" s="1"/>
      <c r="AF420" s="1"/>
    </row>
    <row r="421" customFormat="false" ht="16.4" hidden="false" customHeight="false" outlineLevel="0" collapsed="false">
      <c r="A421" s="15" t="s">
        <v>2086</v>
      </c>
      <c r="B421" s="3" t="s">
        <v>39</v>
      </c>
      <c r="C421" s="3" t="s">
        <v>40</v>
      </c>
      <c r="D421" s="16" t="n">
        <v>6</v>
      </c>
      <c r="E421" s="6" t="n">
        <f aca="false">VLOOKUP(D421,'[1]REF Tables'!$A$2:$B$40,2)</f>
        <v>2300</v>
      </c>
      <c r="F421" s="3" t="s">
        <v>30</v>
      </c>
      <c r="G421" s="3" t="n">
        <v>12</v>
      </c>
      <c r="H421" s="3" t="s">
        <v>1388</v>
      </c>
      <c r="I421" s="3" t="s">
        <v>42</v>
      </c>
      <c r="J421" s="3" t="n">
        <v>9</v>
      </c>
      <c r="K421" s="1" t="str">
        <f aca="false">IF(J421=1,"-5",IF(OR(J421=2,J421=3),"-4",IF(OR(J421=4,J421=5),"-3",IF(OR(J421=6,J421=7),"-2",IF(OR(J421=8,J421=9),"-1",IF(OR(J421=10,J421=11),"0",IF(OR(J421=12,J421=13),"+1",IF(OR(J421=14,J421=15),"+2",IF(OR(J421=16,J421=17),"+3",IF(OR(J421=18,J421=19),"+4",IF(OR(J421=20,J421=21),"+5",IF(OR(J421=22,J421=23),"+6",IF(OR(J421=24,J421=25),"+7",IF(OR(J421=26,J421=27),"+8",IF(OR(J421=28,J421=29),"+9",IF(J421=30,"+10"," "))))))))))))))))</f>
        <v>-1</v>
      </c>
      <c r="L421" s="3" t="n">
        <v>14</v>
      </c>
      <c r="M421" s="1" t="str">
        <f aca="false">IF(L421=1,"-5",IF(OR(L421=2,L421=3),"-4",IF(OR(L421=4,L421=5),"-3",IF(OR(L421=6,L421=7),"-2",IF(OR(L421=8,L421=9),"-1",IF(OR(L421=10,L421=11),"0",IF(OR(L421=12,L421=13),"+1",IF(OR(L421=14,L421=15),"+2",IF(OR(L421=16,L421=17),"+3",IF(OR(L421=18,L421=19),"+4",IF(OR(L421=20,L421=21),"+5",IF(OR(L421=22,L421=23),"+6",IF(OR(L421=24,L421=25),"+7",IF(OR(L421=26,L421=27),"+8",IF(OR(L421=28,L421=29),"+9",IF(L421=30,"+10"," "))))))))))))))))</f>
        <v>+2</v>
      </c>
      <c r="N421" s="3" t="n">
        <v>15</v>
      </c>
      <c r="O421" s="1" t="str">
        <f aca="false">IF(N421=1,"-5",IF(OR(N421=2,N421=3),"-4",IF(OR(N421=4,N421=5),"-3",IF(OR(N421=6,N421=7),"-2",IF(OR(N421=8,N421=9),"-1",IF(OR(N421=10,N421=11),"0",IF(OR(N421=12,N421=13),"+1",IF(OR(N421=14,N421=15),"+2",IF(OR(N421=16,N421=17),"+3",IF(OR(N421=18,N421=19),"+4",IF(OR(N421=20,N421=21),"+5",IF(OR(N421=22,N421=23),"+6",IF(OR(N421=24,N421=25),"+7",IF(OR(N421=26,N421=27),"+8",IF(OR(N421=28,N421=29),"+9",IF(N421=30,"+10"," "))))))))))))))))</f>
        <v>+2</v>
      </c>
      <c r="P421" s="3" t="n">
        <v>12</v>
      </c>
      <c r="Q421" s="1" t="str">
        <f aca="false">IF(P421=1,"-5",IF(OR(P421=2,P421=3),"-4",IF(OR(P421=4,P421=5),"-3",IF(OR(P421=6,P421=7),"-2",IF(OR(P421=8,P421=9),"-1",IF(OR(P421=10,P421=11),"0",IF(OR(P421=12,P421=13),"+1",IF(OR(P421=14,P421=15),"+2",IF(OR(P421=16,P421=17),"+3",IF(OR(P421=18,P421=19),"+4",IF(OR(P421=20,P421=21),"+5",IF(OR(P421=22,P421=23),"+6",IF(OR(P421=24,P421=25),"+7",IF(OR(P421=26,P421=27),"+8",IF(OR(P421=28,P421=29),"+9",IF(P421=30,"+10"," "))))))))))))))))</f>
        <v>+1</v>
      </c>
      <c r="R421" s="3" t="n">
        <v>12</v>
      </c>
      <c r="S421" s="1" t="str">
        <f aca="false">IF(R421=1,"-5",IF(OR(R421=2,R421=3),"-4",IF(OR(R421=4,R421=5),"-3",IF(OR(R421=6,R421=7),"-2",IF(OR(R421=8,R421=9),"-1",IF(OR(R421=10,R421=11),"0",IF(OR(R421=12,R421=13),"+1",IF(OR(R421=14,R421=15),"+2",IF(OR(R421=16,R421=17),"+3",IF(OR(R421=18,R421=19),"+4",IF(OR(R421=20,R421=21),"+5",IF(OR(R421=22,R421=23),"+6",IF(OR(R421=24,R421=25),"+7",IF(OR(R421=26,R421=27),"+8",IF(OR(R421=28,R421=29),"+9",IF(R421=30,"+10"," "))))))))))))))))</f>
        <v>+1</v>
      </c>
      <c r="T421" s="3" t="n">
        <v>18</v>
      </c>
      <c r="U421" s="1" t="str">
        <f aca="false">IF(T421=1,"-5",IF(OR(T421=2,T421=3),"-4",IF(OR(T421=4,T421=5),"-3",IF(OR(T421=6,T421=7),"-2",IF(OR(T421=8,T421=9),"-1",IF(OR(T421=10,T421=11),"0",IF(OR(T421=12,T421=13),"+1",IF(OR(T421=14,T421=15),"+2",IF(OR(T421=16,T421=17),"+3",IF(OR(T421=18,T421=19),"+4",IF(OR(T421=20,T421=21),"+5",IF(OR(T421=22,T421=23),"+6",IF(OR(T421=24,T421=25),"+7",IF(OR(T421=26,T421=27),"+8",IF(OR(T421=28,T421=29),"+9",IF(T421=30,"+10"," "))))))))))))))))</f>
        <v>+4</v>
      </c>
      <c r="V421" s="3" t="s">
        <v>2087</v>
      </c>
      <c r="W421" s="3" t="s">
        <v>2088</v>
      </c>
      <c r="X421" s="11" t="s">
        <v>2089</v>
      </c>
      <c r="Y421" s="11" t="s">
        <v>1674</v>
      </c>
      <c r="Z421" s="11" t="s">
        <v>37</v>
      </c>
      <c r="AA421" s="12" t="s">
        <v>37</v>
      </c>
    </row>
    <row r="422" customFormat="false" ht="16.4" hidden="false" customHeight="false" outlineLevel="0" collapsed="false">
      <c r="A422" s="4" t="s">
        <v>2090</v>
      </c>
      <c r="B422" s="1" t="s">
        <v>39</v>
      </c>
      <c r="C422" s="1" t="s">
        <v>40</v>
      </c>
      <c r="D422" s="8" t="n">
        <v>6</v>
      </c>
      <c r="E422" s="9" t="n">
        <f aca="false">VLOOKUP(D422,'[1]REF Tables'!$A$2:$B$40,2)</f>
        <v>2300</v>
      </c>
      <c r="F422" s="1" t="s">
        <v>30</v>
      </c>
      <c r="G422" s="10" t="n">
        <v>13</v>
      </c>
      <c r="H422" s="1" t="s">
        <v>1388</v>
      </c>
      <c r="I422" s="1" t="s">
        <v>42</v>
      </c>
      <c r="J422" s="10" t="n">
        <v>9</v>
      </c>
      <c r="K422" s="1" t="str">
        <f aca="false">IF(J422=1,"-5",IF(OR(J422=2,J422=3),"-4",IF(OR(J422=4,J422=5),"-3",IF(OR(J422=6,J422=7),"-2",IF(OR(J422=8,J422=9),"-1",IF(OR(J422=10,J422=11),"0",IF(OR(J422=12,J422=13),"+1",IF(OR(J422=14,J422=15),"+2",IF(OR(J422=16,J422=17),"+3",IF(OR(J422=18,J422=19),"+4",IF(OR(J422=20,J422=21),"+5",IF(OR(J422=22,J422=23),"+6",IF(OR(J422=24,J422=25),"+7",IF(OR(J422=26,J422=27),"+8",IF(OR(J422=28,J422=29),"+9",IF(J422=30,"+10"," "))))))))))))))))</f>
        <v>-1</v>
      </c>
      <c r="L422" s="10" t="n">
        <v>16</v>
      </c>
      <c r="M422" s="1" t="str">
        <f aca="false">IF(L422=1,"-5",IF(OR(L422=2,L422=3),"-4",IF(OR(L422=4,L422=5),"-3",IF(OR(L422=6,L422=7),"-2",IF(OR(L422=8,L422=9),"-1",IF(OR(L422=10,L422=11),"0",IF(OR(L422=12,L422=13),"+1",IF(OR(L422=14,L422=15),"+2",IF(OR(L422=16,L422=17),"+3",IF(OR(L422=18,L422=19),"+4",IF(OR(L422=20,L422=21),"+5",IF(OR(L422=22,L422=23),"+6",IF(OR(L422=24,L422=25),"+7",IF(OR(L422=26,L422=27),"+8",IF(OR(L422=28,L422=29),"+9",IF(L422=30,"+10"," "))))))))))))))))</f>
        <v>+3</v>
      </c>
      <c r="N422" s="10" t="n">
        <v>15</v>
      </c>
      <c r="O422" s="1" t="str">
        <f aca="false">IF(N422=1,"-5",IF(OR(N422=2,N422=3),"-4",IF(OR(N422=4,N422=5),"-3",IF(OR(N422=6,N422=7),"-2",IF(OR(N422=8,N422=9),"-1",IF(OR(N422=10,N422=11),"0",IF(OR(N422=12,N422=13),"+1",IF(OR(N422=14,N422=15),"+2",IF(OR(N422=16,N422=17),"+3",IF(OR(N422=18,N422=19),"+4",IF(OR(N422=20,N422=21),"+5",IF(OR(N422=22,N422=23),"+6",IF(OR(N422=24,N422=25),"+7",IF(OR(N422=26,N422=27),"+8",IF(OR(N422=28,N422=29),"+9",IF(N422=30,"+10"," "))))))))))))))))</f>
        <v>+2</v>
      </c>
      <c r="P422" s="10" t="n">
        <v>12</v>
      </c>
      <c r="Q422" s="1" t="str">
        <f aca="false">IF(P422=1,"-5",IF(OR(P422=2,P422=3),"-4",IF(OR(P422=4,P422=5),"-3",IF(OR(P422=6,P422=7),"-2",IF(OR(P422=8,P422=9),"-1",IF(OR(P422=10,P422=11),"0",IF(OR(P422=12,P422=13),"+1",IF(OR(P422=14,P422=15),"+2",IF(OR(P422=16,P422=17),"+3",IF(OR(P422=18,P422=19),"+4",IF(OR(P422=20,P422=21),"+5",IF(OR(P422=22,P422=23),"+6",IF(OR(P422=24,P422=25),"+7",IF(OR(P422=26,P422=27),"+8",IF(OR(P422=28,P422=29),"+9",IF(P422=30,"+10"," "))))))))))))))))</f>
        <v>+1</v>
      </c>
      <c r="R422" s="10" t="n">
        <v>12</v>
      </c>
      <c r="S422" s="1" t="str">
        <f aca="false">IF(R422=1,"-5",IF(OR(R422=2,R422=3),"-4",IF(OR(R422=4,R422=5),"-3",IF(OR(R422=6,R422=7),"-2",IF(OR(R422=8,R422=9),"-1",IF(OR(R422=10,R422=11),"0",IF(OR(R422=12,R422=13),"+1",IF(OR(R422=14,R422=15),"+2",IF(OR(R422=16,R422=17),"+3",IF(OR(R422=18,R422=19),"+4",IF(OR(R422=20,R422=21),"+5",IF(OR(R422=22,R422=23),"+6",IF(OR(R422=24,R422=25),"+7",IF(OR(R422=26,R422=27),"+8",IF(OR(R422=28,R422=29),"+9",IF(R422=30,"+10"," "))))))))))))))))</f>
        <v>+1</v>
      </c>
      <c r="T422" s="10" t="n">
        <v>18</v>
      </c>
      <c r="U422" s="1" t="str">
        <f aca="false">IF(T422=1,"-5",IF(OR(T422=2,T422=3),"-4",IF(OR(T422=4,T422=5),"-3",IF(OR(T422=6,T422=7),"-2",IF(OR(T422=8,T422=9),"-1",IF(OR(T422=10,T422=11),"0",IF(OR(T422=12,T422=13),"+1",IF(OR(T422=14,T422=15),"+2",IF(OR(T422=16,T422=17),"+3",IF(OR(T422=18,T422=19),"+4",IF(OR(T422=20,T422=21),"+5",IF(OR(T422=22,T422=23),"+6",IF(OR(T422=24,T422=25),"+7",IF(OR(T422=26,T422=27),"+8",IF(OR(T422=28,T422=29),"+9",IF(T422=30,"+10"," "))))))))))))))))</f>
        <v>+4</v>
      </c>
      <c r="V422" s="1" t="s">
        <v>2091</v>
      </c>
      <c r="W422" s="1" t="s">
        <v>2088</v>
      </c>
      <c r="X422" s="11" t="s">
        <v>2092</v>
      </c>
      <c r="Y422" s="11" t="s">
        <v>2093</v>
      </c>
      <c r="Z422" s="11"/>
      <c r="AA422" s="12"/>
    </row>
    <row r="423" customFormat="false" ht="16.4" hidden="false" customHeight="false" outlineLevel="0" collapsed="false">
      <c r="A423" s="14" t="s">
        <v>2094</v>
      </c>
      <c r="B423" s="1" t="s">
        <v>614</v>
      </c>
      <c r="C423" s="1" t="s">
        <v>222</v>
      </c>
      <c r="D423" s="5" t="n">
        <v>2</v>
      </c>
      <c r="E423" s="3" t="n">
        <f aca="false">VLOOKUP(D423,'[1]REF Tables'!$A$2:$B$40,2)</f>
        <v>450</v>
      </c>
      <c r="F423" s="1" t="s">
        <v>50</v>
      </c>
      <c r="G423" s="1" t="n">
        <v>11</v>
      </c>
      <c r="H423" s="1" t="s">
        <v>1383</v>
      </c>
      <c r="I423" s="3" t="s">
        <v>224</v>
      </c>
      <c r="J423" s="1" t="n">
        <v>19</v>
      </c>
      <c r="K423" s="1" t="str">
        <f aca="false">IF(J423=1,"-5",IF(OR(J423=2,J423=3),"-4",IF(OR(J423=4,J423=5),"-3",IF(OR(J423=6,J423=7),"-2",IF(OR(J423=8,J423=9),"-1",IF(OR(J423=10,J423=11),"0",IF(OR(J423=12,J423=13),"+1",IF(OR(J423=14,J423=15),"+2",IF(OR(J423=16,J423=17),"+3",IF(OR(J423=18,J423=19),"+4",IF(OR(J423=20,J423=21),"+5",IF(OR(J423=22,J423=23),"+6",IF(OR(J423=24,J423=25),"+7",IF(OR(J423=26,J423=27),"+8",IF(OR(J423=28,J423=29),"+9",IF(J423=30,"+10"," "))))))))))))))))</f>
        <v>+4</v>
      </c>
      <c r="L423" s="1" t="n">
        <v>8</v>
      </c>
      <c r="M423" s="1" t="str">
        <f aca="false">IF(L423=1,"-5",IF(OR(L423=2,L423=3),"-4",IF(OR(L423=4,L423=5),"-3",IF(OR(L423=6,L423=7),"-2",IF(OR(L423=8,L423=9),"-1",IF(OR(L423=10,L423=11),"0",IF(OR(L423=12,L423=13),"+1",IF(OR(L423=14,L423=15),"+2",IF(OR(L423=16,L423=17),"+3",IF(OR(L423=18,L423=19),"+4",IF(OR(L423=20,L423=21),"+5",IF(OR(L423=22,L423=23),"+6",IF(OR(L423=24,L423=25),"+7",IF(OR(L423=26,L423=27),"+8",IF(OR(L423=28,L423=29),"+9",IF(L423=30,"+10"," "))))))))))))))))</f>
        <v>-1</v>
      </c>
      <c r="N423" s="1" t="n">
        <v>16</v>
      </c>
      <c r="O423" s="1" t="str">
        <f aca="false">IF(N423=1,"-5",IF(OR(N423=2,N423=3),"-4",IF(OR(N423=4,N423=5),"-3",IF(OR(N423=6,N423=7),"-2",IF(OR(N423=8,N423=9),"-1",IF(OR(N423=10,N423=11),"0",IF(OR(N423=12,N423=13),"+1",IF(OR(N423=14,N423=15),"+2",IF(OR(N423=16,N423=17),"+3",IF(OR(N423=18,N423=19),"+4",IF(OR(N423=20,N423=21),"+5",IF(OR(N423=22,N423=23),"+6",IF(OR(N423=24,N423=25),"+7",IF(OR(N423=26,N423=27),"+8",IF(OR(N423=28,N423=29),"+9",IF(N423=30,"+10"," "))))))))))))))))</f>
        <v>+3</v>
      </c>
      <c r="P423" s="1" t="n">
        <v>5</v>
      </c>
      <c r="Q423" s="1" t="str">
        <f aca="false">IF(P423=1,"-5",IF(OR(P423=2,P423=3),"-4",IF(OR(P423=4,P423=5),"-3",IF(OR(P423=6,P423=7),"-2",IF(OR(P423=8,P423=9),"-1",IF(OR(P423=10,P423=11),"0",IF(OR(P423=12,P423=13),"+1",IF(OR(P423=14,P423=15),"+2",IF(OR(P423=16,P423=17),"+3",IF(OR(P423=18,P423=19),"+4",IF(OR(P423=20,P423=21),"+5",IF(OR(P423=22,P423=23),"+6",IF(OR(P423=24,P423=25),"+7",IF(OR(P423=26,P423=27),"+8",IF(OR(P423=28,P423=29),"+9",IF(P423=30,"+10"," "))))))))))))))))</f>
        <v>-3</v>
      </c>
      <c r="R423" s="1" t="n">
        <v>7</v>
      </c>
      <c r="S423" s="1" t="str">
        <f aca="false">IF(R423=1,"-5",IF(OR(R423=2,R423=3),"-4",IF(OR(R423=4,R423=5),"-3",IF(OR(R423=6,R423=7),"-2",IF(OR(R423=8,R423=9),"-1",IF(OR(R423=10,R423=11),"0",IF(OR(R423=12,R423=13),"+1",IF(OR(R423=14,R423=15),"+2",IF(OR(R423=16,R423=17),"+3",IF(OR(R423=18,R423=19),"+4",IF(OR(R423=20,R423=21),"+5",IF(OR(R423=22,R423=23),"+6",IF(OR(R423=24,R423=25),"+7",IF(OR(R423=26,R423=27),"+8",IF(OR(R423=28,R423=29),"+9",IF(R423=30,"+10"," "))))))))))))))))</f>
        <v>-2</v>
      </c>
      <c r="T423" s="1" t="n">
        <v>7</v>
      </c>
      <c r="U423" s="1" t="str">
        <f aca="false">IF(T423=1,"-5",IF(OR(T423=2,T423=3),"-4",IF(OR(T423=4,T423=5),"-3",IF(OR(T423=6,T423=7),"-2",IF(OR(T423=8,T423=9),"-1",IF(OR(T423=10,T423=11),"0",IF(OR(T423=12,T423=13),"+1",IF(OR(T423=14,T423=15),"+2",IF(OR(T423=16,T423=17),"+3",IF(OR(T423=18,T423=19),"+4",IF(OR(T423=20,T423=21),"+5",IF(OR(T423=22,T423=23),"+6",IF(OR(T423=24,T423=25),"+7",IF(OR(T423=26,T423=27),"+8",IF(OR(T423=28,T423=29),"+9",IF(T423=30,"+10"," "))))))))))))))))</f>
        <v>-2</v>
      </c>
      <c r="V423" s="1" t="s">
        <v>37</v>
      </c>
      <c r="W423" s="1" t="s">
        <v>1329</v>
      </c>
      <c r="X423" s="2" t="s">
        <v>2095</v>
      </c>
      <c r="Y423" s="2" t="s">
        <v>2096</v>
      </c>
      <c r="Z423" s="2" t="s">
        <v>37</v>
      </c>
      <c r="AA423" s="1" t="s">
        <v>37</v>
      </c>
    </row>
    <row r="424" customFormat="false" ht="16.4" hidden="false" customHeight="false" outlineLevel="0" collapsed="false">
      <c r="A424" s="15" t="s">
        <v>2097</v>
      </c>
      <c r="B424" s="3" t="s">
        <v>77</v>
      </c>
      <c r="C424" s="3" t="s">
        <v>222</v>
      </c>
      <c r="D424" s="16" t="n">
        <v>0.5</v>
      </c>
      <c r="E424" s="3" t="n">
        <f aca="false">VLOOKUP(D424,'[1]REF Tables'!$A$2:$B$40,2)</f>
        <v>100</v>
      </c>
      <c r="F424" s="3" t="s">
        <v>30</v>
      </c>
      <c r="G424" s="3" t="n">
        <v>12</v>
      </c>
      <c r="H424" s="3" t="s">
        <v>269</v>
      </c>
      <c r="I424" s="3" t="s">
        <v>224</v>
      </c>
      <c r="J424" s="3" t="n">
        <v>6</v>
      </c>
      <c r="K424" s="1" t="str">
        <f aca="false">IF(J424=1,"-5",IF(OR(J424=2,J424=3),"-4",IF(OR(J424=4,J424=5),"-3",IF(OR(J424=6,J424=7),"-2",IF(OR(J424=8,J424=9),"-1",IF(OR(J424=10,J424=11),"0",IF(OR(J424=12,J424=13),"+1",IF(OR(J424=14,J424=15),"+2",IF(OR(J424=16,J424=17),"+3",IF(OR(J424=18,J424=19),"+4",IF(OR(J424=20,J424=21),"+5",IF(OR(J424=22,J424=23),"+6",IF(OR(J424=24,J424=25),"+7",IF(OR(J424=26,J424=27),"+8",IF(OR(J424=28,J424=29),"+9",IF(J424=30,"+10"," "))))))))))))))))</f>
        <v>-2</v>
      </c>
      <c r="L424" s="3" t="n">
        <v>14</v>
      </c>
      <c r="M424" s="1" t="str">
        <f aca="false">IF(L424=1,"-5",IF(OR(L424=2,L424=3),"-4",IF(OR(L424=4,L424=5),"-3",IF(OR(L424=6,L424=7),"-2",IF(OR(L424=8,L424=9),"-1",IF(OR(L424=10,L424=11),"0",IF(OR(L424=12,L424=13),"+1",IF(OR(L424=14,L424=15),"+2",IF(OR(L424=16,L424=17),"+3",IF(OR(L424=18,L424=19),"+4",IF(OR(L424=20,L424=21),"+5",IF(OR(L424=22,L424=23),"+6",IF(OR(L424=24,L424=25),"+7",IF(OR(L424=26,L424=27),"+8",IF(OR(L424=28,L424=29),"+9",IF(L424=30,"+10"," "))))))))))))))))</f>
        <v>+2</v>
      </c>
      <c r="N424" s="3" t="n">
        <v>13</v>
      </c>
      <c r="O424" s="1" t="str">
        <f aca="false">IF(N424=1,"-5",IF(OR(N424=2,N424=3),"-4",IF(OR(N424=4,N424=5),"-3",IF(OR(N424=6,N424=7),"-2",IF(OR(N424=8,N424=9),"-1",IF(OR(N424=10,N424=11),"0",IF(OR(N424=12,N424=13),"+1",IF(OR(N424=14,N424=15),"+2",IF(OR(N424=16,N424=17),"+3",IF(OR(N424=18,N424=19),"+4",IF(OR(N424=20,N424=21),"+5",IF(OR(N424=22,N424=23),"+6",IF(OR(N424=24,N424=25),"+7",IF(OR(N424=26,N424=27),"+8",IF(OR(N424=28,N424=29),"+9",IF(N424=30,"+10"," "))))))))))))))))</f>
        <v>+1</v>
      </c>
      <c r="P424" s="3" t="n">
        <v>6</v>
      </c>
      <c r="Q424" s="1" t="str">
        <f aca="false">IF(P424=1,"-5",IF(OR(P424=2,P424=3),"-4",IF(OR(P424=4,P424=5),"-3",IF(OR(P424=6,P424=7),"-2",IF(OR(P424=8,P424=9),"-1",IF(OR(P424=10,P424=11),"0",IF(OR(P424=12,P424=13),"+1",IF(OR(P424=14,P424=15),"+2",IF(OR(P424=16,P424=17),"+3",IF(OR(P424=18,P424=19),"+4",IF(OR(P424=20,P424=21),"+5",IF(OR(P424=22,P424=23),"+6",IF(OR(P424=24,P424=25),"+7",IF(OR(P424=26,P424=27),"+8",IF(OR(P424=28,P424=29),"+9",IF(P424=30,"+10"," "))))))))))))))))</f>
        <v>-2</v>
      </c>
      <c r="R424" s="3" t="n">
        <v>10</v>
      </c>
      <c r="S424" s="1" t="str">
        <f aca="false">IF(R424=1,"-5",IF(OR(R424=2,R424=3),"-4",IF(OR(R424=4,R424=5),"-3",IF(OR(R424=6,R424=7),"-2",IF(OR(R424=8,R424=9),"-1",IF(OR(R424=10,R424=11),"0",IF(OR(R424=12,R424=13),"+1",IF(OR(R424=14,R424=15),"+2",IF(OR(R424=16,R424=17),"+3",IF(OR(R424=18,R424=19),"+4",IF(OR(R424=20,R424=21),"+5",IF(OR(R424=22,R424=23),"+6",IF(OR(R424=24,R424=25),"+7",IF(OR(R424=26,R424=27),"+8",IF(OR(R424=28,R424=29),"+9",IF(R424=30,"+10"," "))))))))))))))))</f>
        <v>0</v>
      </c>
      <c r="T424" s="3" t="n">
        <v>8</v>
      </c>
      <c r="U424" s="1" t="str">
        <f aca="false">IF(T424=1,"-5",IF(OR(T424=2,T424=3),"-4",IF(OR(T424=4,T424=5),"-3",IF(OR(T424=6,T424=7),"-2",IF(OR(T424=8,T424=9),"-1",IF(OR(T424=10,T424=11),"0",IF(OR(T424=12,T424=13),"+1",IF(OR(T424=14,T424=15),"+2",IF(OR(T424=16,T424=17),"+3",IF(OR(T424=18,T424=19),"+4",IF(OR(T424=20,T424=21),"+5",IF(OR(T424=22,T424=23),"+6",IF(OR(T424=24,T424=25),"+7",IF(OR(T424=26,T424=27),"+8",IF(OR(T424=28,T424=29),"+9",IF(T424=30,"+10"," "))))))))))))))))</f>
        <v>-1</v>
      </c>
      <c r="V424" s="3" t="s">
        <v>2098</v>
      </c>
      <c r="W424" s="3" t="s">
        <v>37</v>
      </c>
      <c r="X424" s="11" t="s">
        <v>2099</v>
      </c>
      <c r="Y424" s="11" t="s">
        <v>2100</v>
      </c>
      <c r="Z424" s="11" t="s">
        <v>37</v>
      </c>
      <c r="AA424" s="12" t="s">
        <v>37</v>
      </c>
    </row>
    <row r="425" customFormat="false" ht="16.4" hidden="false" customHeight="false" outlineLevel="0" collapsed="false">
      <c r="A425" s="15" t="s">
        <v>2101</v>
      </c>
      <c r="B425" s="3" t="s">
        <v>614</v>
      </c>
      <c r="C425" s="3" t="s">
        <v>49</v>
      </c>
      <c r="D425" s="16" t="n">
        <v>7</v>
      </c>
      <c r="E425" s="6" t="n">
        <f aca="false">VLOOKUP(D425,'[1]REF Tables'!$A$2:$B$40,2)</f>
        <v>2900</v>
      </c>
      <c r="F425" s="3" t="s">
        <v>50</v>
      </c>
      <c r="G425" s="3" t="n">
        <v>16</v>
      </c>
      <c r="H425" s="3" t="s">
        <v>848</v>
      </c>
      <c r="I425" s="3" t="s">
        <v>2102</v>
      </c>
      <c r="J425" s="3" t="n">
        <v>19</v>
      </c>
      <c r="K425" s="1" t="str">
        <f aca="false">IF(J425=1,"-5",IF(OR(J425=2,J425=3),"-4",IF(OR(J425=4,J425=5),"-3",IF(OR(J425=6,J425=7),"-2",IF(OR(J425=8,J425=9),"-1",IF(OR(J425=10,J425=11),"0",IF(OR(J425=12,J425=13),"+1",IF(OR(J425=14,J425=15),"+2",IF(OR(J425=16,J425=17),"+3",IF(OR(J425=18,J425=19),"+4",IF(OR(J425=20,J425=21),"+5",IF(OR(J425=22,J425=23),"+6",IF(OR(J425=24,J425=25),"+7",IF(OR(J425=26,J425=27),"+8",IF(OR(J425=28,J425=29),"+9",IF(J425=30,"+10"," "))))))))))))))))</f>
        <v>+4</v>
      </c>
      <c r="L425" s="3" t="n">
        <v>11</v>
      </c>
      <c r="M425" s="1" t="str">
        <f aca="false">IF(L425=1,"-5",IF(OR(L425=2,L425=3),"-4",IF(OR(L425=4,L425=5),"-3",IF(OR(L425=6,L425=7),"-2",IF(OR(L425=8,L425=9),"-1",IF(OR(L425=10,L425=11),"0",IF(OR(L425=12,L425=13),"+1",IF(OR(L425=14,L425=15),"+2",IF(OR(L425=16,L425=17),"+3",IF(OR(L425=18,L425=19),"+4",IF(OR(L425=20,L425=21),"+5",IF(OR(L425=22,L425=23),"+6",IF(OR(L425=24,L425=25),"+7",IF(OR(L425=26,L425=27),"+8",IF(OR(L425=28,L425=29),"+9",IF(L425=30,"+10"," "))))))))))))))))</f>
        <v>0</v>
      </c>
      <c r="N425" s="3" t="n">
        <v>16</v>
      </c>
      <c r="O425" s="1" t="str">
        <f aca="false">IF(N425=1,"-5",IF(OR(N425=2,N425=3),"-4",IF(OR(N425=4,N425=5),"-3",IF(OR(N425=6,N425=7),"-2",IF(OR(N425=8,N425=9),"-1",IF(OR(N425=10,N425=11),"0",IF(OR(N425=12,N425=13),"+1",IF(OR(N425=14,N425=15),"+2",IF(OR(N425=16,N425=17),"+3",IF(OR(N425=18,N425=19),"+4",IF(OR(N425=20,N425=21),"+5",IF(OR(N425=22,N425=23),"+6",IF(OR(N425=24,N425=25),"+7",IF(OR(N425=26,N425=27),"+8",IF(OR(N425=28,N425=29),"+9",IF(N425=30,"+10"," "))))))))))))))))</f>
        <v>+3</v>
      </c>
      <c r="P425" s="3" t="n">
        <v>14</v>
      </c>
      <c r="Q425" s="1" t="str">
        <f aca="false">IF(P425=1,"-5",IF(OR(P425=2,P425=3),"-4",IF(OR(P425=4,P425=5),"-3",IF(OR(P425=6,P425=7),"-2",IF(OR(P425=8,P425=9),"-1",IF(OR(P425=10,P425=11),"0",IF(OR(P425=12,P425=13),"+1",IF(OR(P425=14,P425=15),"+2",IF(OR(P425=16,P425=17),"+3",IF(OR(P425=18,P425=19),"+4",IF(OR(P425=20,P425=21),"+5",IF(OR(P425=22,P425=23),"+6",IF(OR(P425=24,P425=25),"+7",IF(OR(P425=26,P425=27),"+8",IF(OR(P425=28,P425=29),"+9",IF(P425=30,"+10"," "))))))))))))))))</f>
        <v>+2</v>
      </c>
      <c r="R425" s="3" t="n">
        <v>12</v>
      </c>
      <c r="S425" s="1" t="str">
        <f aca="false">IF(R425=1,"-5",IF(OR(R425=2,R425=3),"-4",IF(OR(R425=4,R425=5),"-3",IF(OR(R425=6,R425=7),"-2",IF(OR(R425=8,R425=9),"-1",IF(OR(R425=10,R425=11),"0",IF(OR(R425=12,R425=13),"+1",IF(OR(R425=14,R425=15),"+2",IF(OR(R425=16,R425=17),"+3",IF(OR(R425=18,R425=19),"+4",IF(OR(R425=20,R425=21),"+5",IF(OR(R425=22,R425=23),"+6",IF(OR(R425=24,R425=25),"+7",IF(OR(R425=26,R425=27),"+8",IF(OR(R425=28,R425=29),"+9",IF(R425=30,"+10"," "))))))))))))))))</f>
        <v>+1</v>
      </c>
      <c r="T425" s="3" t="n">
        <v>15</v>
      </c>
      <c r="U425" s="1" t="str">
        <f aca="false">IF(T425=1,"-5",IF(OR(T425=2,T425=3),"-4",IF(OR(T425=4,T425=5),"-3",IF(OR(T425=6,T425=7),"-2",IF(OR(T425=8,T425=9),"-1",IF(OR(T425=10,T425=11),"0",IF(OR(T425=12,T425=13),"+1",IF(OR(T425=14,T425=15),"+2",IF(OR(T425=16,T425=17),"+3",IF(OR(T425=18,T425=19),"+4",IF(OR(T425=20,T425=21),"+5",IF(OR(T425=22,T425=23),"+6",IF(OR(T425=24,T425=25),"+7",IF(OR(T425=26,T425=27),"+8",IF(OR(T425=28,T425=29),"+9",IF(T425=30,"+10"," "))))))))))))))))</f>
        <v>+2</v>
      </c>
      <c r="V425" s="3" t="s">
        <v>2103</v>
      </c>
      <c r="W425" s="3" t="s">
        <v>1329</v>
      </c>
      <c r="X425" s="11" t="s">
        <v>2104</v>
      </c>
      <c r="Y425" s="11" t="s">
        <v>2105</v>
      </c>
      <c r="Z425" s="11" t="s">
        <v>37</v>
      </c>
      <c r="AA425" s="12" t="s">
        <v>37</v>
      </c>
    </row>
    <row r="426" customFormat="false" ht="16.4" hidden="false" customHeight="false" outlineLevel="0" collapsed="false">
      <c r="A426" s="14" t="s">
        <v>2106</v>
      </c>
      <c r="B426" s="1" t="s">
        <v>2107</v>
      </c>
      <c r="C426" s="1" t="s">
        <v>222</v>
      </c>
      <c r="D426" s="5" t="n">
        <v>0.5</v>
      </c>
      <c r="E426" s="3" t="n">
        <f aca="false">VLOOKUP(D426,'[1]REF Tables'!$A$2:$B$40,2)</f>
        <v>100</v>
      </c>
      <c r="F426" s="1" t="s">
        <v>30</v>
      </c>
      <c r="G426" s="1" t="n">
        <v>13</v>
      </c>
      <c r="H426" s="1" t="s">
        <v>2108</v>
      </c>
      <c r="I426" s="3" t="s">
        <v>42</v>
      </c>
      <c r="J426" s="1" t="n">
        <v>16</v>
      </c>
      <c r="K426" s="1" t="str">
        <f aca="false">IF(J426=1,"-5",IF(OR(J426=2,J426=3),"-4",IF(OR(J426=4,J426=5),"-3",IF(OR(J426=6,J426=7),"-2",IF(OR(J426=8,J426=9),"-1",IF(OR(J426=10,J426=11),"0",IF(OR(J426=12,J426=13),"+1",IF(OR(J426=14,J426=15),"+2",IF(OR(J426=16,J426=17),"+3",IF(OR(J426=18,J426=19),"+4",IF(OR(J426=20,J426=21),"+5",IF(OR(J426=22,J426=23),"+6",IF(OR(J426=24,J426=25),"+7",IF(OR(J426=26,J426=27),"+8",IF(OR(J426=28,J426=29),"+9",IF(J426=30,"+10"," "))))))))))))))))</f>
        <v>+3</v>
      </c>
      <c r="L426" s="1" t="n">
        <v>12</v>
      </c>
      <c r="M426" s="1" t="str">
        <f aca="false">IF(L426=1,"-5",IF(OR(L426=2,L426=3),"-4",IF(OR(L426=4,L426=5),"-3",IF(OR(L426=6,L426=7),"-2",IF(OR(L426=8,L426=9),"-1",IF(OR(L426=10,L426=11),"0",IF(OR(L426=12,L426=13),"+1",IF(OR(L426=14,L426=15),"+2",IF(OR(L426=16,L426=17),"+3",IF(OR(L426=18,L426=19),"+4",IF(OR(L426=20,L426=21),"+5",IF(OR(L426=22,L426=23),"+6",IF(OR(L426=24,L426=25),"+7",IF(OR(L426=26,L426=27),"+8",IF(OR(L426=28,L426=29),"+9",IF(L426=30,"+10"," "))))))))))))))))</f>
        <v>+1</v>
      </c>
      <c r="N426" s="1" t="n">
        <v>16</v>
      </c>
      <c r="O426" s="1" t="str">
        <f aca="false">IF(N426=1,"-5",IF(OR(N426=2,N426=3),"-4",IF(OR(N426=4,N426=5),"-3",IF(OR(N426=6,N426=7),"-2",IF(OR(N426=8,N426=9),"-1",IF(OR(N426=10,N426=11),"0",IF(OR(N426=12,N426=13),"+1",IF(OR(N426=14,N426=15),"+2",IF(OR(N426=16,N426=17),"+3",IF(OR(N426=18,N426=19),"+4",IF(OR(N426=20,N426=21),"+5",IF(OR(N426=22,N426=23),"+6",IF(OR(N426=24,N426=25),"+7",IF(OR(N426=26,N426=27),"+8",IF(OR(N426=28,N426=29),"+9",IF(N426=30,"+10"," "))))))))))))))))</f>
        <v>+3</v>
      </c>
      <c r="P426" s="1" t="n">
        <v>7</v>
      </c>
      <c r="Q426" s="1" t="str">
        <f aca="false">IF(P426=1,"-5",IF(OR(P426=2,P426=3),"-4",IF(OR(P426=4,P426=5),"-3",IF(OR(P426=6,P426=7),"-2",IF(OR(P426=8,P426=9),"-1",IF(OR(P426=10,P426=11),"0",IF(OR(P426=12,P426=13),"+1",IF(OR(P426=14,P426=15),"+2",IF(OR(P426=16,P426=17),"+3",IF(OR(P426=18,P426=19),"+4",IF(OR(P426=20,P426=21),"+5",IF(OR(P426=22,P426=23),"+6",IF(OR(P426=24,P426=25),"+7",IF(OR(P426=26,P426=27),"+8",IF(OR(P426=28,P426=29),"+9",IF(P426=30,"+10"," "))))))))))))))))</f>
        <v>-2</v>
      </c>
      <c r="R426" s="1" t="n">
        <v>11</v>
      </c>
      <c r="S426" s="1" t="str">
        <f aca="false">IF(R426=1,"-5",IF(OR(R426=2,R426=3),"-4",IF(OR(R426=4,R426=5),"-3",IF(OR(R426=6,R426=7),"-2",IF(OR(R426=8,R426=9),"-1",IF(OR(R426=10,R426=11),"0",IF(OR(R426=12,R426=13),"+1",IF(OR(R426=14,R426=15),"+2",IF(OR(R426=16,R426=17),"+3",IF(OR(R426=18,R426=19),"+4",IF(OR(R426=20,R426=21),"+5",IF(OR(R426=22,R426=23),"+6",IF(OR(R426=24,R426=25),"+7",IF(OR(R426=26,R426=27),"+8",IF(OR(R426=28,R426=29),"+9",IF(R426=30,"+10"," "))))))))))))))))</f>
        <v>0</v>
      </c>
      <c r="T426" s="1" t="n">
        <v>10</v>
      </c>
      <c r="U426" s="1" t="str">
        <f aca="false">IF(T426=1,"-5",IF(OR(T426=2,T426=3),"-4",IF(OR(T426=4,T426=5),"-3",IF(OR(T426=6,T426=7),"-2",IF(OR(T426=8,T426=9),"-1",IF(OR(T426=10,T426=11),"0",IF(OR(T426=12,T426=13),"+1",IF(OR(T426=14,T426=15),"+2",IF(OR(T426=16,T426=17),"+3",IF(OR(T426=18,T426=19),"+4",IF(OR(T426=20,T426=21),"+5",IF(OR(T426=22,T426=23),"+6",IF(OR(T426=24,T426=25),"+7",IF(OR(T426=26,T426=27),"+8",IF(OR(T426=28,T426=29),"+9",IF(T426=30,"+10"," "))))))))))))))))</f>
        <v>0</v>
      </c>
      <c r="V426" s="1" t="s">
        <v>270</v>
      </c>
      <c r="W426" s="1" t="s">
        <v>2109</v>
      </c>
      <c r="X426" s="2" t="s">
        <v>2110</v>
      </c>
      <c r="Y426" s="2" t="s">
        <v>2111</v>
      </c>
      <c r="Z426" s="2" t="s">
        <v>37</v>
      </c>
      <c r="AA426" s="1" t="s">
        <v>37</v>
      </c>
    </row>
    <row r="427" customFormat="false" ht="16.4" hidden="false" customHeight="false" outlineLevel="0" collapsed="false">
      <c r="A427" s="15" t="s">
        <v>2112</v>
      </c>
      <c r="B427" s="3" t="s">
        <v>2107</v>
      </c>
      <c r="C427" s="3" t="s">
        <v>222</v>
      </c>
      <c r="D427" s="16" t="n">
        <v>4</v>
      </c>
      <c r="E427" s="6" t="n">
        <f aca="false">VLOOKUP(D427,'[1]REF Tables'!$A$2:$B$40,2)</f>
        <v>1100</v>
      </c>
      <c r="F427" s="3" t="s">
        <v>30</v>
      </c>
      <c r="G427" s="3" t="n">
        <v>16</v>
      </c>
      <c r="H427" s="3" t="s">
        <v>1469</v>
      </c>
      <c r="I427" s="3" t="s">
        <v>42</v>
      </c>
      <c r="J427" s="3" t="n">
        <v>18</v>
      </c>
      <c r="K427" s="1" t="str">
        <f aca="false">IF(J427=1,"-5",IF(OR(J427=2,J427=3),"-4",IF(OR(J427=4,J427=5),"-3",IF(OR(J427=6,J427=7),"-2",IF(OR(J427=8,J427=9),"-1",IF(OR(J427=10,J427=11),"0",IF(OR(J427=12,J427=13),"+1",IF(OR(J427=14,J427=15),"+2",IF(OR(J427=16,J427=17),"+3",IF(OR(J427=18,J427=19),"+4",IF(OR(J427=20,J427=21),"+5",IF(OR(J427=22,J427=23),"+6",IF(OR(J427=24,J427=25),"+7",IF(OR(J427=26,J427=27),"+8",IF(OR(J427=28,J427=29),"+9",IF(J427=30,"+10"," "))))))))))))))))</f>
        <v>+4</v>
      </c>
      <c r="L427" s="3" t="n">
        <v>12</v>
      </c>
      <c r="M427" s="1" t="str">
        <f aca="false">IF(L427=1,"-5",IF(OR(L427=2,L427=3),"-4",IF(OR(L427=4,L427=5),"-3",IF(OR(L427=6,L427=7),"-2",IF(OR(L427=8,L427=9),"-1",IF(OR(L427=10,L427=11),"0",IF(OR(L427=12,L427=13),"+1",IF(OR(L427=14,L427=15),"+2",IF(OR(L427=16,L427=17),"+3",IF(OR(L427=18,L427=19),"+4",IF(OR(L427=20,L427=21),"+5",IF(OR(L427=22,L427=23),"+6",IF(OR(L427=24,L427=25),"+7",IF(OR(L427=26,L427=27),"+8",IF(OR(L427=28,L427=29),"+9",IF(L427=30,"+10"," "))))))))))))))))</f>
        <v>+1</v>
      </c>
      <c r="N427" s="3" t="n">
        <v>18</v>
      </c>
      <c r="O427" s="1" t="str">
        <f aca="false">IF(N427=1,"-5",IF(OR(N427=2,N427=3),"-4",IF(OR(N427=4,N427=5),"-3",IF(OR(N427=6,N427=7),"-2",IF(OR(N427=8,N427=9),"-1",IF(OR(N427=10,N427=11),"0",IF(OR(N427=12,N427=13),"+1",IF(OR(N427=14,N427=15),"+2",IF(OR(N427=16,N427=17),"+3",IF(OR(N427=18,N427=19),"+4",IF(OR(N427=20,N427=21),"+5",IF(OR(N427=22,N427=23),"+6",IF(OR(N427=24,N427=25),"+7",IF(OR(N427=26,N427=27),"+8",IF(OR(N427=28,N427=29),"+9",IF(N427=30,"+10"," "))))))))))))))))</f>
        <v>+4</v>
      </c>
      <c r="P427" s="3" t="n">
        <v>11</v>
      </c>
      <c r="Q427" s="1" t="str">
        <f aca="false">IF(P427=1,"-5",IF(OR(P427=2,P427=3),"-4",IF(OR(P427=4,P427=5),"-3",IF(OR(P427=6,P427=7),"-2",IF(OR(P427=8,P427=9),"-1",IF(OR(P427=10,P427=11),"0",IF(OR(P427=12,P427=13),"+1",IF(OR(P427=14,P427=15),"+2",IF(OR(P427=16,P427=17),"+3",IF(OR(P427=18,P427=19),"+4",IF(OR(P427=20,P427=21),"+5",IF(OR(P427=22,P427=23),"+6",IF(OR(P427=24,P427=25),"+7",IF(OR(P427=26,P427=27),"+8",IF(OR(P427=28,P427=29),"+9",IF(P427=30,"+10"," "))))))))))))))))</f>
        <v>0</v>
      </c>
      <c r="R427" s="3" t="n">
        <v>11</v>
      </c>
      <c r="S427" s="1" t="str">
        <f aca="false">IF(R427=1,"-5",IF(OR(R427=2,R427=3),"-4",IF(OR(R427=4,R427=5),"-3",IF(OR(R427=6,R427=7),"-2",IF(OR(R427=8,R427=9),"-1",IF(OR(R427=10,R427=11),"0",IF(OR(R427=12,R427=13),"+1",IF(OR(R427=14,R427=15),"+2",IF(OR(R427=16,R427=17),"+3",IF(OR(R427=18,R427=19),"+4",IF(OR(R427=20,R427=21),"+5",IF(OR(R427=22,R427=23),"+6",IF(OR(R427=24,R427=25),"+7",IF(OR(R427=26,R427=27),"+8",IF(OR(R427=28,R427=29),"+9",IF(R427=30,"+10"," "))))))))))))))))</f>
        <v>0</v>
      </c>
      <c r="T427" s="3" t="n">
        <v>16</v>
      </c>
      <c r="U427" s="1" t="str">
        <f aca="false">IF(T427=1,"-5",IF(OR(T427=2,T427=3),"-4",IF(OR(T427=4,T427=5),"-3",IF(OR(T427=6,T427=7),"-2",IF(OR(T427=8,T427=9),"-1",IF(OR(T427=10,T427=11),"0",IF(OR(T427=12,T427=13),"+1",IF(OR(T427=14,T427=15),"+2",IF(OR(T427=16,T427=17),"+3",IF(OR(T427=18,T427=19),"+4",IF(OR(T427=20,T427=21),"+5",IF(OR(T427=22,T427=23),"+6",IF(OR(T427=24,T427=25),"+7",IF(OR(T427=26,T427=27),"+8",IF(OR(T427=28,T427=29),"+9",IF(T427=30,"+10"," "))))))))))))))))</f>
        <v>+3</v>
      </c>
      <c r="V427" s="3" t="s">
        <v>2113</v>
      </c>
      <c r="W427" s="3" t="s">
        <v>2109</v>
      </c>
      <c r="X427" s="11" t="s">
        <v>2114</v>
      </c>
      <c r="Y427" s="11" t="s">
        <v>2115</v>
      </c>
      <c r="Z427" s="11" t="s">
        <v>37</v>
      </c>
      <c r="AA427" s="12" t="s">
        <v>37</v>
      </c>
    </row>
    <row r="428" customFormat="false" ht="16.4" hidden="false" customHeight="false" outlineLevel="0" collapsed="false">
      <c r="A428" s="15" t="s">
        <v>2116</v>
      </c>
      <c r="B428" s="3" t="s">
        <v>2107</v>
      </c>
      <c r="C428" s="3" t="s">
        <v>222</v>
      </c>
      <c r="D428" s="16" t="n">
        <v>3</v>
      </c>
      <c r="E428" s="3" t="n">
        <f aca="false">VLOOKUP(D428,'[1]REF Tables'!$A$2:$B$40,2)</f>
        <v>700</v>
      </c>
      <c r="F428" s="3" t="s">
        <v>30</v>
      </c>
      <c r="G428" s="3" t="n">
        <v>15</v>
      </c>
      <c r="H428" s="3" t="s">
        <v>300</v>
      </c>
      <c r="I428" s="3" t="s">
        <v>42</v>
      </c>
      <c r="J428" s="3" t="n">
        <v>11</v>
      </c>
      <c r="K428" s="1" t="str">
        <f aca="false">IF(J428=1,"-5",IF(OR(J428=2,J428=3),"-4",IF(OR(J428=4,J428=5),"-3",IF(OR(J428=6,J428=7),"-2",IF(OR(J428=8,J428=9),"-1",IF(OR(J428=10,J428=11),"0",IF(OR(J428=12,J428=13),"+1",IF(OR(J428=14,J428=15),"+2",IF(OR(J428=16,J428=17),"+3",IF(OR(J428=18,J428=19),"+4",IF(OR(J428=20,J428=21),"+5",IF(OR(J428=22,J428=23),"+6",IF(OR(J428=24,J428=25),"+7",IF(OR(J428=26,J428=27),"+8",IF(OR(J428=28,J428=29),"+9",IF(J428=30,"+10"," "))))))))))))))))</f>
        <v>0</v>
      </c>
      <c r="L428" s="3" t="n">
        <v>16</v>
      </c>
      <c r="M428" s="1" t="str">
        <f aca="false">IF(L428=1,"-5",IF(OR(L428=2,L428=3),"-4",IF(OR(L428=4,L428=5),"-3",IF(OR(L428=6,L428=7),"-2",IF(OR(L428=8,L428=9),"-1",IF(OR(L428=10,L428=11),"0",IF(OR(L428=12,L428=13),"+1",IF(OR(L428=14,L428=15),"+2",IF(OR(L428=16,L428=17),"+3",IF(OR(L428=18,L428=19),"+4",IF(OR(L428=20,L428=21),"+5",IF(OR(L428=22,L428=23),"+6",IF(OR(L428=24,L428=25),"+7",IF(OR(L428=26,L428=27),"+8",IF(OR(L428=28,L428=29),"+9",IF(L428=30,"+10"," "))))))))))))))))</f>
        <v>+3</v>
      </c>
      <c r="N428" s="3" t="n">
        <v>15</v>
      </c>
      <c r="O428" s="1" t="str">
        <f aca="false">IF(N428=1,"-5",IF(OR(N428=2,N428=3),"-4",IF(OR(N428=4,N428=5),"-3",IF(OR(N428=6,N428=7),"-2",IF(OR(N428=8,N428=9),"-1",IF(OR(N428=10,N428=11),"0",IF(OR(N428=12,N428=13),"+1",IF(OR(N428=14,N428=15),"+2",IF(OR(N428=16,N428=17),"+3",IF(OR(N428=18,N428=19),"+4",IF(OR(N428=20,N428=21),"+5",IF(OR(N428=22,N428=23),"+6",IF(OR(N428=24,N428=25),"+7",IF(OR(N428=26,N428=27),"+8",IF(OR(N428=28,N428=29),"+9",IF(N428=30,"+10"," "))))))))))))))))</f>
        <v>+2</v>
      </c>
      <c r="P428" s="3" t="n">
        <v>9</v>
      </c>
      <c r="Q428" s="1" t="str">
        <f aca="false">IF(P428=1,"-5",IF(OR(P428=2,P428=3),"-4",IF(OR(P428=4,P428=5),"-3",IF(OR(P428=6,P428=7),"-2",IF(OR(P428=8,P428=9),"-1",IF(OR(P428=10,P428=11),"0",IF(OR(P428=12,P428=13),"+1",IF(OR(P428=14,P428=15),"+2",IF(OR(P428=16,P428=17),"+3",IF(OR(P428=18,P428=19),"+4",IF(OR(P428=20,P428=21),"+5",IF(OR(P428=22,P428=23),"+6",IF(OR(P428=24,P428=25),"+7",IF(OR(P428=26,P428=27),"+8",IF(OR(P428=28,P428=29),"+9",IF(P428=30,"+10"," "))))))))))))))))</f>
        <v>-1</v>
      </c>
      <c r="R428" s="3" t="n">
        <v>11</v>
      </c>
      <c r="S428" s="1" t="str">
        <f aca="false">IF(R428=1,"-5",IF(OR(R428=2,R428=3),"-4",IF(OR(R428=4,R428=5),"-3",IF(OR(R428=6,R428=7),"-2",IF(OR(R428=8,R428=9),"-1",IF(OR(R428=10,R428=11),"0",IF(OR(R428=12,R428=13),"+1",IF(OR(R428=14,R428=15),"+2",IF(OR(R428=16,R428=17),"+3",IF(OR(R428=18,R428=19),"+4",IF(OR(R428=20,R428=21),"+5",IF(OR(R428=22,R428=23),"+6",IF(OR(R428=24,R428=25),"+7",IF(OR(R428=26,R428=27),"+8",IF(OR(R428=28,R428=29),"+9",IF(R428=30,"+10"," "))))))))))))))))</f>
        <v>0</v>
      </c>
      <c r="T428" s="3" t="n">
        <v>9</v>
      </c>
      <c r="U428" s="1" t="str">
        <f aca="false">IF(T428=1,"-5",IF(OR(T428=2,T428=3),"-4",IF(OR(T428=4,T428=5),"-3",IF(OR(T428=6,T428=7),"-2",IF(OR(T428=8,T428=9),"-1",IF(OR(T428=10,T428=11),"0",IF(OR(T428=12,T428=13),"+1",IF(OR(T428=14,T428=15),"+2",IF(OR(T428=16,T428=17),"+3",IF(OR(T428=18,T428=19),"+4",IF(OR(T428=20,T428=21),"+5",IF(OR(T428=22,T428=23),"+6",IF(OR(T428=24,T428=25),"+7",IF(OR(T428=26,T428=27),"+8",IF(OR(T428=28,T428=29),"+9",IF(T428=30,"+10"," "))))))))))))))))</f>
        <v>-1</v>
      </c>
      <c r="V428" s="3" t="s">
        <v>2117</v>
      </c>
      <c r="W428" s="3" t="s">
        <v>2109</v>
      </c>
      <c r="X428" s="11" t="s">
        <v>2118</v>
      </c>
      <c r="Y428" s="11" t="s">
        <v>2119</v>
      </c>
      <c r="Z428" s="11" t="s">
        <v>37</v>
      </c>
      <c r="AA428" s="12" t="s">
        <v>37</v>
      </c>
    </row>
    <row r="429" customFormat="false" ht="16.4" hidden="false" customHeight="false" outlineLevel="0" collapsed="false">
      <c r="A429" s="15" t="s">
        <v>2120</v>
      </c>
      <c r="B429" s="3" t="s">
        <v>2107</v>
      </c>
      <c r="C429" s="3" t="s">
        <v>222</v>
      </c>
      <c r="D429" s="16" t="n">
        <v>2</v>
      </c>
      <c r="E429" s="3" t="n">
        <f aca="false">VLOOKUP(D429,'[1]REF Tables'!$A$2:$B$40,2)</f>
        <v>450</v>
      </c>
      <c r="F429" s="3" t="s">
        <v>30</v>
      </c>
      <c r="G429" s="3" t="n">
        <v>14</v>
      </c>
      <c r="H429" s="3" t="s">
        <v>866</v>
      </c>
      <c r="I429" s="3" t="s">
        <v>42</v>
      </c>
      <c r="J429" s="3" t="n">
        <v>14</v>
      </c>
      <c r="K429" s="1" t="str">
        <f aca="false">IF(J429=1,"-5",IF(OR(J429=2,J429=3),"-4",IF(OR(J429=4,J429=5),"-3",IF(OR(J429=6,J429=7),"-2",IF(OR(J429=8,J429=9),"-1",IF(OR(J429=10,J429=11),"0",IF(OR(J429=12,J429=13),"+1",IF(OR(J429=14,J429=15),"+2",IF(OR(J429=16,J429=17),"+3",IF(OR(J429=18,J429=19),"+4",IF(OR(J429=20,J429=21),"+5",IF(OR(J429=22,J429=23),"+6",IF(OR(J429=24,J429=25),"+7",IF(OR(J429=26,J429=27),"+8",IF(OR(J429=28,J429=29),"+9",IF(J429=30,"+10"," "))))))))))))))))</f>
        <v>+2</v>
      </c>
      <c r="L429" s="3" t="n">
        <v>15</v>
      </c>
      <c r="M429" s="1" t="str">
        <f aca="false">IF(L429=1,"-5",IF(OR(L429=2,L429=3),"-4",IF(OR(L429=4,L429=5),"-3",IF(OR(L429=6,L429=7),"-2",IF(OR(L429=8,L429=9),"-1",IF(OR(L429=10,L429=11),"0",IF(OR(L429=12,L429=13),"+1",IF(OR(L429=14,L429=15),"+2",IF(OR(L429=16,L429=17),"+3",IF(OR(L429=18,L429=19),"+4",IF(OR(L429=20,L429=21),"+5",IF(OR(L429=22,L429=23),"+6",IF(OR(L429=24,L429=25),"+7",IF(OR(L429=26,L429=27),"+8",IF(OR(L429=28,L429=29),"+9",IF(L429=30,"+10"," "))))))))))))))))</f>
        <v>+2</v>
      </c>
      <c r="N429" s="3" t="n">
        <v>16</v>
      </c>
      <c r="O429" s="1" t="str">
        <f aca="false">IF(N429=1,"-5",IF(OR(N429=2,N429=3),"-4",IF(OR(N429=4,N429=5),"-3",IF(OR(N429=6,N429=7),"-2",IF(OR(N429=8,N429=9),"-1",IF(OR(N429=10,N429=11),"0",IF(OR(N429=12,N429=13),"+1",IF(OR(N429=14,N429=15),"+2",IF(OR(N429=16,N429=17),"+3",IF(OR(N429=18,N429=19),"+4",IF(OR(N429=20,N429=21),"+5",IF(OR(N429=22,N429=23),"+6",IF(OR(N429=24,N429=25),"+7",IF(OR(N429=26,N429=27),"+8",IF(OR(N429=28,N429=29),"+9",IF(N429=30,"+10"," "))))))))))))))))</f>
        <v>+3</v>
      </c>
      <c r="P429" s="3" t="n">
        <v>10</v>
      </c>
      <c r="Q429" s="1" t="str">
        <f aca="false">IF(P429=1,"-5",IF(OR(P429=2,P429=3),"-4",IF(OR(P429=4,P429=5),"-3",IF(OR(P429=6,P429=7),"-2",IF(OR(P429=8,P429=9),"-1",IF(OR(P429=10,P429=11),"0",IF(OR(P429=12,P429=13),"+1",IF(OR(P429=14,P429=15),"+2",IF(OR(P429=16,P429=17),"+3",IF(OR(P429=18,P429=19),"+4",IF(OR(P429=20,P429=21),"+5",IF(OR(P429=22,P429=23),"+6",IF(OR(P429=24,P429=25),"+7",IF(OR(P429=26,P429=27),"+8",IF(OR(P429=28,P429=29),"+9",IF(P429=30,"+10"," "))))))))))))))))</f>
        <v>0</v>
      </c>
      <c r="R429" s="3" t="n">
        <v>15</v>
      </c>
      <c r="S429" s="1" t="str">
        <f aca="false">IF(R429=1,"-5",IF(OR(R429=2,R429=3),"-4",IF(OR(R429=4,R429=5),"-3",IF(OR(R429=6,R429=7),"-2",IF(OR(R429=8,R429=9),"-1",IF(OR(R429=10,R429=11),"0",IF(OR(R429=12,R429=13),"+1",IF(OR(R429=14,R429=15),"+2",IF(OR(R429=16,R429=17),"+3",IF(OR(R429=18,R429=19),"+4",IF(OR(R429=20,R429=21),"+5",IF(OR(R429=22,R429=23),"+6",IF(OR(R429=24,R429=25),"+7",IF(OR(R429=26,R429=27),"+8",IF(OR(R429=28,R429=29),"+9",IF(R429=30,"+10"," "))))))))))))))))</f>
        <v>+2</v>
      </c>
      <c r="T429" s="3" t="n">
        <v>11</v>
      </c>
      <c r="U429" s="1" t="str">
        <f aca="false">IF(T429=1,"-5",IF(OR(T429=2,T429=3),"-4",IF(OR(T429=4,T429=5),"-3",IF(OR(T429=6,T429=7),"-2",IF(OR(T429=8,T429=9),"-1",IF(OR(T429=10,T429=11),"0",IF(OR(T429=12,T429=13),"+1",IF(OR(T429=14,T429=15),"+2",IF(OR(T429=16,T429=17),"+3",IF(OR(T429=18,T429=19),"+4",IF(OR(T429=20,T429=21),"+5",IF(OR(T429=22,T429=23),"+6",IF(OR(T429=24,T429=25),"+7",IF(OR(T429=26,T429=27),"+8",IF(OR(T429=28,T429=29),"+9",IF(T429=30,"+10"," "))))))))))))))))</f>
        <v>0</v>
      </c>
      <c r="V429" s="3" t="s">
        <v>2121</v>
      </c>
      <c r="W429" s="3" t="s">
        <v>2109</v>
      </c>
      <c r="X429" s="11" t="s">
        <v>2122</v>
      </c>
      <c r="Y429" s="11" t="s">
        <v>2123</v>
      </c>
      <c r="Z429" s="11" t="s">
        <v>37</v>
      </c>
      <c r="AA429" s="12" t="s">
        <v>37</v>
      </c>
    </row>
    <row r="430" customFormat="false" ht="16.4" hidden="false" customHeight="false" outlineLevel="0" collapsed="false">
      <c r="A430" s="15" t="s">
        <v>2124</v>
      </c>
      <c r="B430" s="3" t="s">
        <v>2107</v>
      </c>
      <c r="C430" s="3" t="s">
        <v>222</v>
      </c>
      <c r="D430" s="16" t="n">
        <v>4</v>
      </c>
      <c r="E430" s="6" t="n">
        <f aca="false">VLOOKUP(D430,'[1]REF Tables'!$A$2:$B$40,2)</f>
        <v>1100</v>
      </c>
      <c r="F430" s="3" t="s">
        <v>30</v>
      </c>
      <c r="G430" s="3" t="n">
        <v>18</v>
      </c>
      <c r="H430" s="3" t="s">
        <v>954</v>
      </c>
      <c r="I430" s="3" t="s">
        <v>42</v>
      </c>
      <c r="J430" s="3" t="n">
        <v>17</v>
      </c>
      <c r="K430" s="1" t="str">
        <f aca="false">IF(J430=1,"-5",IF(OR(J430=2,J430=3),"-4",IF(OR(J430=4,J430=5),"-3",IF(OR(J430=6,J430=7),"-2",IF(OR(J430=8,J430=9),"-1",IF(OR(J430=10,J430=11),"0",IF(OR(J430=12,J430=13),"+1",IF(OR(J430=14,J430=15),"+2",IF(OR(J430=16,J430=17),"+3",IF(OR(J430=18,J430=19),"+4",IF(OR(J430=20,J430=21),"+5",IF(OR(J430=22,J430=23),"+6",IF(OR(J430=24,J430=25),"+7",IF(OR(J430=26,J430=27),"+8",IF(OR(J430=28,J430=29),"+9",IF(J430=30,"+10"," "))))))))))))))))</f>
        <v>+3</v>
      </c>
      <c r="L430" s="3" t="n">
        <v>11</v>
      </c>
      <c r="M430" s="1" t="str">
        <f aca="false">IF(L430=1,"-5",IF(OR(L430=2,L430=3),"-4",IF(OR(L430=4,L430=5),"-3",IF(OR(L430=6,L430=7),"-2",IF(OR(L430=8,L430=9),"-1",IF(OR(L430=10,L430=11),"0",IF(OR(L430=12,L430=13),"+1",IF(OR(L430=14,L430=15),"+2",IF(OR(L430=16,L430=17),"+3",IF(OR(L430=18,L430=19),"+4",IF(OR(L430=20,L430=21),"+5",IF(OR(L430=22,L430=23),"+6",IF(OR(L430=24,L430=25),"+7",IF(OR(L430=26,L430=27),"+8",IF(OR(L430=28,L430=29),"+9",IF(L430=30,"+10"," "))))))))))))))))</f>
        <v>0</v>
      </c>
      <c r="N430" s="3" t="n">
        <v>17</v>
      </c>
      <c r="O430" s="1" t="str">
        <f aca="false">IF(N430=1,"-5",IF(OR(N430=2,N430=3),"-4",IF(OR(N430=4,N430=5),"-3",IF(OR(N430=6,N430=7),"-2",IF(OR(N430=8,N430=9),"-1",IF(OR(N430=10,N430=11),"0",IF(OR(N430=12,N430=13),"+1",IF(OR(N430=14,N430=15),"+2",IF(OR(N430=16,N430=17),"+3",IF(OR(N430=18,N430=19),"+4",IF(OR(N430=20,N430=21),"+5",IF(OR(N430=22,N430=23),"+6",IF(OR(N430=24,N430=25),"+7",IF(OR(N430=26,N430=27),"+8",IF(OR(N430=28,N430=29),"+9",IF(N430=30,"+10"," "))))))))))))))))</f>
        <v>+3</v>
      </c>
      <c r="P430" s="3" t="n">
        <v>10</v>
      </c>
      <c r="Q430" s="1" t="str">
        <f aca="false">IF(P430=1,"-5",IF(OR(P430=2,P430=3),"-4",IF(OR(P430=4,P430=5),"-3",IF(OR(P430=6,P430=7),"-2",IF(OR(P430=8,P430=9),"-1",IF(OR(P430=10,P430=11),"0",IF(OR(P430=12,P430=13),"+1",IF(OR(P430=14,P430=15),"+2",IF(OR(P430=16,P430=17),"+3",IF(OR(P430=18,P430=19),"+4",IF(OR(P430=20,P430=21),"+5",IF(OR(P430=22,P430=23),"+6",IF(OR(P430=24,P430=25),"+7",IF(OR(P430=26,P430=27),"+8",IF(OR(P430=28,P430=29),"+9",IF(P430=30,"+10"," "))))))))))))))))</f>
        <v>0</v>
      </c>
      <c r="R430" s="3" t="n">
        <v>12</v>
      </c>
      <c r="S430" s="1" t="str">
        <f aca="false">IF(R430=1,"-5",IF(OR(R430=2,R430=3),"-4",IF(OR(R430=4,R430=5),"-3",IF(OR(R430=6,R430=7),"-2",IF(OR(R430=8,R430=9),"-1",IF(OR(R430=10,R430=11),"0",IF(OR(R430=12,R430=13),"+1",IF(OR(R430=14,R430=15),"+2",IF(OR(R430=16,R430=17),"+3",IF(OR(R430=18,R430=19),"+4",IF(OR(R430=20,R430=21),"+5",IF(OR(R430=22,R430=23),"+6",IF(OR(R430=24,R430=25),"+7",IF(OR(R430=26,R430=27),"+8",IF(OR(R430=28,R430=29),"+9",IF(R430=30,"+10"," "))))))))))))))))</f>
        <v>+1</v>
      </c>
      <c r="T430" s="3" t="n">
        <v>14</v>
      </c>
      <c r="U430" s="1" t="str">
        <f aca="false">IF(T430=1,"-5",IF(OR(T430=2,T430=3),"-4",IF(OR(T430=4,T430=5),"-3",IF(OR(T430=6,T430=7),"-2",IF(OR(T430=8,T430=9),"-1",IF(OR(T430=10,T430=11),"0",IF(OR(T430=12,T430=13),"+1",IF(OR(T430=14,T430=15),"+2",IF(OR(T430=16,T430=17),"+3",IF(OR(T430=18,T430=19),"+4",IF(OR(T430=20,T430=21),"+5",IF(OR(T430=22,T430=23),"+6",IF(OR(T430=24,T430=25),"+7",IF(OR(T430=26,T430=27),"+8",IF(OR(T430=28,T430=29),"+9",IF(T430=30,"+10"," "))))))))))))))))</f>
        <v>+2</v>
      </c>
      <c r="V430" s="3" t="s">
        <v>2125</v>
      </c>
      <c r="W430" s="3" t="s">
        <v>2109</v>
      </c>
      <c r="X430" s="11" t="s">
        <v>2126</v>
      </c>
      <c r="Y430" s="11" t="s">
        <v>2127</v>
      </c>
      <c r="Z430" s="11" t="s">
        <v>37</v>
      </c>
      <c r="AA430" s="12" t="s">
        <v>37</v>
      </c>
    </row>
    <row r="431" customFormat="false" ht="16.4" hidden="false" customHeight="false" outlineLevel="0" collapsed="false">
      <c r="A431" s="15" t="s">
        <v>2128</v>
      </c>
      <c r="B431" s="3" t="s">
        <v>2107</v>
      </c>
      <c r="C431" s="3" t="s">
        <v>222</v>
      </c>
      <c r="D431" s="16" t="n">
        <v>2</v>
      </c>
      <c r="E431" s="3" t="n">
        <f aca="false">VLOOKUP(D431,'[1]REF Tables'!$A$2:$B$40,2)</f>
        <v>450</v>
      </c>
      <c r="F431" s="3" t="s">
        <v>30</v>
      </c>
      <c r="G431" s="3" t="n">
        <v>12</v>
      </c>
      <c r="H431" s="3" t="s">
        <v>2129</v>
      </c>
      <c r="I431" s="3" t="s">
        <v>42</v>
      </c>
      <c r="J431" s="3" t="n">
        <v>12</v>
      </c>
      <c r="K431" s="1" t="str">
        <f aca="false">IF(J431=1,"-5",IF(OR(J431=2,J431=3),"-4",IF(OR(J431=4,J431=5),"-3",IF(OR(J431=6,J431=7),"-2",IF(OR(J431=8,J431=9),"-1",IF(OR(J431=10,J431=11),"0",IF(OR(J431=12,J431=13),"+1",IF(OR(J431=14,J431=15),"+2",IF(OR(J431=16,J431=17),"+3",IF(OR(J431=18,J431=19),"+4",IF(OR(J431=20,J431=21),"+5",IF(OR(J431=22,J431=23),"+6",IF(OR(J431=24,J431=25),"+7",IF(OR(J431=26,J431=27),"+8",IF(OR(J431=28,J431=29),"+9",IF(J431=30,"+10"," "))))))))))))))))</f>
        <v>+1</v>
      </c>
      <c r="L431" s="3" t="n">
        <v>11</v>
      </c>
      <c r="M431" s="1" t="str">
        <f aca="false">IF(L431=1,"-5",IF(OR(L431=2,L431=3),"-4",IF(OR(L431=4,L431=5),"-3",IF(OR(L431=6,L431=7),"-2",IF(OR(L431=8,L431=9),"-1",IF(OR(L431=10,L431=11),"0",IF(OR(L431=12,L431=13),"+1",IF(OR(L431=14,L431=15),"+2",IF(OR(L431=16,L431=17),"+3",IF(OR(L431=18,L431=19),"+4",IF(OR(L431=20,L431=21),"+5",IF(OR(L431=22,L431=23),"+6",IF(OR(L431=24,L431=25),"+7",IF(OR(L431=26,L431=27),"+8",IF(OR(L431=28,L431=29),"+9",IF(L431=30,"+10"," "))))))))))))))))</f>
        <v>0</v>
      </c>
      <c r="N431" s="3" t="n">
        <v>16</v>
      </c>
      <c r="O431" s="1" t="str">
        <f aca="false">IF(N431=1,"-5",IF(OR(N431=2,N431=3),"-4",IF(OR(N431=4,N431=5),"-3",IF(OR(N431=6,N431=7),"-2",IF(OR(N431=8,N431=9),"-1",IF(OR(N431=10,N431=11),"0",IF(OR(N431=12,N431=13),"+1",IF(OR(N431=14,N431=15),"+2",IF(OR(N431=16,N431=17),"+3",IF(OR(N431=18,N431=19),"+4",IF(OR(N431=20,N431=21),"+5",IF(OR(N431=22,N431=23),"+6",IF(OR(N431=24,N431=25),"+7",IF(OR(N431=26,N431=27),"+8",IF(OR(N431=28,N431=29),"+9",IF(N431=30,"+10"," "))))))))))))))))</f>
        <v>+3</v>
      </c>
      <c r="P431" s="3" t="n">
        <v>11</v>
      </c>
      <c r="Q431" s="1" t="str">
        <f aca="false">IF(P431=1,"-5",IF(OR(P431=2,P431=3),"-4",IF(OR(P431=4,P431=5),"-3",IF(OR(P431=6,P431=7),"-2",IF(OR(P431=8,P431=9),"-1",IF(OR(P431=10,P431=11),"0",IF(OR(P431=12,P431=13),"+1",IF(OR(P431=14,P431=15),"+2",IF(OR(P431=16,P431=17),"+3",IF(OR(P431=18,P431=19),"+4",IF(OR(P431=20,P431=21),"+5",IF(OR(P431=22,P431=23),"+6",IF(OR(P431=24,P431=25),"+7",IF(OR(P431=26,P431=27),"+8",IF(OR(P431=28,P431=29),"+9",IF(P431=30,"+10"," "))))))))))))))))</f>
        <v>0</v>
      </c>
      <c r="R431" s="3" t="n">
        <v>14</v>
      </c>
      <c r="S431" s="1" t="str">
        <f aca="false">IF(R431=1,"-5",IF(OR(R431=2,R431=3),"-4",IF(OR(R431=4,R431=5),"-3",IF(OR(R431=6,R431=7),"-2",IF(OR(R431=8,R431=9),"-1",IF(OR(R431=10,R431=11),"0",IF(OR(R431=12,R431=13),"+1",IF(OR(R431=14,R431=15),"+2",IF(OR(R431=16,R431=17),"+3",IF(OR(R431=18,R431=19),"+4",IF(OR(R431=20,R431=21),"+5",IF(OR(R431=22,R431=23),"+6",IF(OR(R431=24,R431=25),"+7",IF(OR(R431=26,R431=27),"+8",IF(OR(R431=28,R431=29),"+9",IF(R431=30,"+10"," "))))))))))))))))</f>
        <v>+2</v>
      </c>
      <c r="T431" s="3" t="n">
        <v>9</v>
      </c>
      <c r="U431" s="1" t="str">
        <f aca="false">IF(T431=1,"-5",IF(OR(T431=2,T431=3),"-4",IF(OR(T431=4,T431=5),"-3",IF(OR(T431=6,T431=7),"-2",IF(OR(T431=8,T431=9),"-1",IF(OR(T431=10,T431=11),"0",IF(OR(T431=12,T431=13),"+1",IF(OR(T431=14,T431=15),"+2",IF(OR(T431=16,T431=17),"+3",IF(OR(T431=18,T431=19),"+4",IF(OR(T431=20,T431=21),"+5",IF(OR(T431=22,T431=23),"+6",IF(OR(T431=24,T431=25),"+7",IF(OR(T431=26,T431=27),"+8",IF(OR(T431=28,T431=29),"+9",IF(T431=30,"+10"," "))))))))))))))))</f>
        <v>-1</v>
      </c>
      <c r="V431" s="3" t="s">
        <v>2130</v>
      </c>
      <c r="W431" s="3" t="s">
        <v>2131</v>
      </c>
      <c r="X431" s="11" t="s">
        <v>2132</v>
      </c>
      <c r="Y431" s="11" t="s">
        <v>2133</v>
      </c>
      <c r="Z431" s="11" t="s">
        <v>37</v>
      </c>
      <c r="AA431" s="12" t="s">
        <v>37</v>
      </c>
      <c r="AB431" s="1"/>
      <c r="AC431" s="1"/>
      <c r="AD431" s="1"/>
      <c r="AE431" s="1"/>
      <c r="AF431" s="1"/>
    </row>
    <row r="432" customFormat="false" ht="16.4" hidden="false" customHeight="false" outlineLevel="0" collapsed="false">
      <c r="A432" s="15" t="s">
        <v>2134</v>
      </c>
      <c r="B432" s="3" t="s">
        <v>2107</v>
      </c>
      <c r="C432" s="3" t="s">
        <v>222</v>
      </c>
      <c r="D432" s="16" t="n">
        <v>2</v>
      </c>
      <c r="E432" s="3" t="n">
        <f aca="false">VLOOKUP(D432,'[1]REF Tables'!$A$2:$B$40,2)</f>
        <v>450</v>
      </c>
      <c r="F432" s="3" t="s">
        <v>30</v>
      </c>
      <c r="G432" s="3" t="n">
        <v>16</v>
      </c>
      <c r="H432" s="3" t="s">
        <v>866</v>
      </c>
      <c r="I432" s="3" t="s">
        <v>42</v>
      </c>
      <c r="J432" s="3" t="n">
        <v>16</v>
      </c>
      <c r="K432" s="1" t="str">
        <f aca="false">IF(J432=1,"-5",IF(OR(J432=2,J432=3),"-4",IF(OR(J432=4,J432=5),"-3",IF(OR(J432=6,J432=7),"-2",IF(OR(J432=8,J432=9),"-1",IF(OR(J432=10,J432=11),"0",IF(OR(J432=12,J432=13),"+1",IF(OR(J432=14,J432=15),"+2",IF(OR(J432=16,J432=17),"+3",IF(OR(J432=18,J432=19),"+4",IF(OR(J432=20,J432=21),"+5",IF(OR(J432=22,J432=23),"+6",IF(OR(J432=24,J432=25),"+7",IF(OR(J432=26,J432=27),"+8",IF(OR(J432=28,J432=29),"+9",IF(J432=30,"+10"," "))))))))))))))))</f>
        <v>+3</v>
      </c>
      <c r="L432" s="3" t="n">
        <v>12</v>
      </c>
      <c r="M432" s="1" t="str">
        <f aca="false">IF(L432=1,"-5",IF(OR(L432=2,L432=3),"-4",IF(OR(L432=4,L432=5),"-3",IF(OR(L432=6,L432=7),"-2",IF(OR(L432=8,L432=9),"-1",IF(OR(L432=10,L432=11),"0",IF(OR(L432=12,L432=13),"+1",IF(OR(L432=14,L432=15),"+2",IF(OR(L432=16,L432=17),"+3",IF(OR(L432=18,L432=19),"+4",IF(OR(L432=20,L432=21),"+5",IF(OR(L432=22,L432=23),"+6",IF(OR(L432=24,L432=25),"+7",IF(OR(L432=26,L432=27),"+8",IF(OR(L432=28,L432=29),"+9",IF(L432=30,"+10"," "))))))))))))))))</f>
        <v>+1</v>
      </c>
      <c r="N432" s="3" t="n">
        <v>16</v>
      </c>
      <c r="O432" s="1" t="str">
        <f aca="false">IF(N432=1,"-5",IF(OR(N432=2,N432=3),"-4",IF(OR(N432=4,N432=5),"-3",IF(OR(N432=6,N432=7),"-2",IF(OR(N432=8,N432=9),"-1",IF(OR(N432=10,N432=11),"0",IF(OR(N432=12,N432=13),"+1",IF(OR(N432=14,N432=15),"+2",IF(OR(N432=16,N432=17),"+3",IF(OR(N432=18,N432=19),"+4",IF(OR(N432=20,N432=21),"+5",IF(OR(N432=22,N432=23),"+6",IF(OR(N432=24,N432=25),"+7",IF(OR(N432=26,N432=27),"+8",IF(OR(N432=28,N432=29),"+9",IF(N432=30,"+10"," "))))))))))))))))</f>
        <v>+3</v>
      </c>
      <c r="P432" s="3" t="n">
        <v>9</v>
      </c>
      <c r="Q432" s="1" t="str">
        <f aca="false">IF(P432=1,"-5",IF(OR(P432=2,P432=3),"-4",IF(OR(P432=4,P432=5),"-3",IF(OR(P432=6,P432=7),"-2",IF(OR(P432=8,P432=9),"-1",IF(OR(P432=10,P432=11),"0",IF(OR(P432=12,P432=13),"+1",IF(OR(P432=14,P432=15),"+2",IF(OR(P432=16,P432=17),"+3",IF(OR(P432=18,P432=19),"+4",IF(OR(P432=20,P432=21),"+5",IF(OR(P432=22,P432=23),"+6",IF(OR(P432=24,P432=25),"+7",IF(OR(P432=26,P432=27),"+8",IF(OR(P432=28,P432=29),"+9",IF(P432=30,"+10"," "))))))))))))))))</f>
        <v>-1</v>
      </c>
      <c r="R432" s="3" t="n">
        <v>13</v>
      </c>
      <c r="S432" s="1" t="str">
        <f aca="false">IF(R432=1,"-5",IF(OR(R432=2,R432=3),"-4",IF(OR(R432=4,R432=5),"-3",IF(OR(R432=6,R432=7),"-2",IF(OR(R432=8,R432=9),"-1",IF(OR(R432=10,R432=11),"0",IF(OR(R432=12,R432=13),"+1",IF(OR(R432=14,R432=15),"+2",IF(OR(R432=16,R432=17),"+3",IF(OR(R432=18,R432=19),"+4",IF(OR(R432=20,R432=21),"+5",IF(OR(R432=22,R432=23),"+6",IF(OR(R432=24,R432=25),"+7",IF(OR(R432=26,R432=27),"+8",IF(OR(R432=28,R432=29),"+9",IF(R432=30,"+10"," "))))))))))))))))</f>
        <v>+1</v>
      </c>
      <c r="T432" s="3" t="n">
        <v>12</v>
      </c>
      <c r="U432" s="1" t="str">
        <f aca="false">IF(T432=1,"-5",IF(OR(T432=2,T432=3),"-4",IF(OR(T432=4,T432=5),"-3",IF(OR(T432=6,T432=7),"-2",IF(OR(T432=8,T432=9),"-1",IF(OR(T432=10,T432=11),"0",IF(OR(T432=12,T432=13),"+1",IF(OR(T432=14,T432=15),"+2",IF(OR(T432=16,T432=17),"+3",IF(OR(T432=18,T432=19),"+4",IF(OR(T432=20,T432=21),"+5",IF(OR(T432=22,T432=23),"+6",IF(OR(T432=24,T432=25),"+7",IF(OR(T432=26,T432=27),"+8",IF(OR(T432=28,T432=29),"+9",IF(T432=30,"+10"," "))))))))))))))))</f>
        <v>+1</v>
      </c>
      <c r="V432" s="3" t="s">
        <v>2135</v>
      </c>
      <c r="W432" s="3" t="s">
        <v>2109</v>
      </c>
      <c r="X432" s="11" t="s">
        <v>2136</v>
      </c>
      <c r="Y432" s="11" t="s">
        <v>2137</v>
      </c>
      <c r="Z432" s="11" t="s">
        <v>37</v>
      </c>
      <c r="AA432" s="12" t="s">
        <v>37</v>
      </c>
    </row>
    <row r="433" customFormat="false" ht="16.4" hidden="false" customHeight="false" outlineLevel="0" collapsed="false">
      <c r="A433" s="7" t="s">
        <v>2138</v>
      </c>
      <c r="B433" s="1" t="s">
        <v>221</v>
      </c>
      <c r="C433" s="1" t="s">
        <v>222</v>
      </c>
      <c r="D433" s="8" t="n">
        <v>26</v>
      </c>
      <c r="E433" s="17" t="str">
        <f aca="false">VLOOKUP(D433,'[1]REF Tables'!$A$2:$B$40,2)</f>
        <v/>
      </c>
      <c r="F433" s="1" t="s">
        <v>121</v>
      </c>
      <c r="G433" s="1" t="s">
        <v>2139</v>
      </c>
      <c r="H433" s="1" t="s">
        <v>2140</v>
      </c>
      <c r="I433" s="1" t="s">
        <v>730</v>
      </c>
      <c r="J433" s="10" t="n">
        <v>27</v>
      </c>
      <c r="K433" s="1" t="str">
        <f aca="false">IF(J433=1,"-5",IF(OR(J433=2,J433=3),"-4",IF(OR(J433=4,J433=5),"-3",IF(OR(J433=6,J433=7),"-2",IF(OR(J433=8,J433=9),"-1",IF(OR(J433=10,J433=11),"0",IF(OR(J433=12,J433=13),"+1",IF(OR(J433=14,J433=15),"+2",IF(OR(J433=16,J433=17),"+3",IF(OR(J433=18,J433=19),"+4",IF(OR(J433=20,J433=21),"+5",IF(OR(J433=22,J433=23),"+6",IF(OR(J433=24,J433=25),"+7",IF(OR(J433=26,J433=27),"+8",IF(OR(J433=28,J433=29),"+9",IF(J433=30,"+10"," "))))))))))))))))</f>
        <v>+8</v>
      </c>
      <c r="L433" s="10" t="n">
        <v>14</v>
      </c>
      <c r="M433" s="1" t="str">
        <f aca="false">IF(L433=1,"-5",IF(OR(L433=2,L433=3),"-4",IF(OR(L433=4,L433=5),"-3",IF(OR(L433=6,L433=7),"-2",IF(OR(L433=8,L433=9),"-1",IF(OR(L433=10,L433=11),"0",IF(OR(L433=12,L433=13),"+1",IF(OR(L433=14,L433=15),"+2",IF(OR(L433=16,L433=17),"+3",IF(OR(L433=18,L433=19),"+4",IF(OR(L433=20,L433=21),"+5",IF(OR(L433=22,L433=23),"+6",IF(OR(L433=24,L433=25),"+7",IF(OR(L433=26,L433=27),"+8",IF(OR(L433=28,L433=29),"+9",IF(L433=30,"+10"," "))))))))))))))))</f>
        <v>+2</v>
      </c>
      <c r="N433" s="10" t="n">
        <v>25</v>
      </c>
      <c r="O433" s="1" t="str">
        <f aca="false">IF(N433=1,"-5",IF(OR(N433=2,N433=3),"-4",IF(OR(N433=4,N433=5),"-3",IF(OR(N433=6,N433=7),"-2",IF(OR(N433=8,N433=9),"-1",IF(OR(N433=10,N433=11),"0",IF(OR(N433=12,N433=13),"+1",IF(OR(N433=14,N433=15),"+2",IF(OR(N433=16,N433=17),"+3",IF(OR(N433=18,N433=19),"+4",IF(OR(N433=20,N433=21),"+5",IF(OR(N433=22,N433=23),"+6",IF(OR(N433=24,N433=25),"+7",IF(OR(N433=26,N433=27),"+8",IF(OR(N433=28,N433=29),"+9",IF(N433=30,"+10"," "))))))))))))))))</f>
        <v>+7</v>
      </c>
      <c r="P433" s="10" t="n">
        <v>20</v>
      </c>
      <c r="Q433" s="1" t="str">
        <f aca="false">IF(P433=1,"-5",IF(OR(P433=2,P433=3),"-4",IF(OR(P433=4,P433=5),"-3",IF(OR(P433=6,P433=7),"-2",IF(OR(P433=8,P433=9),"-1",IF(OR(P433=10,P433=11),"0",IF(OR(P433=12,P433=13),"+1",IF(OR(P433=14,P433=15),"+2",IF(OR(P433=16,P433=17),"+3",IF(OR(P433=18,P433=19),"+4",IF(OR(P433=20,P433=21),"+5",IF(OR(P433=22,P433=23),"+6",IF(OR(P433=24,P433=25),"+7",IF(OR(P433=26,P433=27),"+8",IF(OR(P433=28,P433=29),"+9",IF(P433=30,"+10"," "))))))))))))))))</f>
        <v>+5</v>
      </c>
      <c r="R433" s="10" t="n">
        <v>20</v>
      </c>
      <c r="S433" s="1" t="str">
        <f aca="false">IF(R433=1,"-5",IF(OR(R433=2,R433=3),"-4",IF(OR(R433=4,R433=5),"-3",IF(OR(R433=6,R433=7),"-2",IF(OR(R433=8,R433=9),"-1",IF(OR(R433=10,R433=11),"0",IF(OR(R433=12,R433=13),"+1",IF(OR(R433=14,R433=15),"+2",IF(OR(R433=16,R433=17),"+3",IF(OR(R433=18,R433=19),"+4",IF(OR(R433=20,R433=21),"+5",IF(OR(R433=22,R433=23),"+6",IF(OR(R433=24,R433=25),"+7",IF(OR(R433=26,R433=27),"+8",IF(OR(R433=28,R433=29),"+9",IF(R433=30,"+10"," "))))))))))))))))</f>
        <v>+5</v>
      </c>
      <c r="T433" s="10" t="n">
        <v>25</v>
      </c>
      <c r="U433" s="1" t="str">
        <f aca="false">IF(T433=1,"-5",IF(OR(T433=2,T433=3),"-4",IF(OR(T433=4,T433=5),"-3",IF(OR(T433=6,T433=7),"-2",IF(OR(T433=8,T433=9),"-1",IF(OR(T433=10,T433=11),"0",IF(OR(T433=12,T433=13),"+1",IF(OR(T433=14,T433=15),"+2",IF(OR(T433=16,T433=17),"+3",IF(OR(T433=18,T433=19),"+4",IF(OR(T433=20,T433=21),"+5",IF(OR(T433=22,T433=23),"+6",IF(OR(T433=24,T433=25),"+7",IF(OR(T433=26,T433=27),"+8",IF(OR(T433=28,T433=29),"+9",IF(T433=30,"+10"," "))))))))))))))))</f>
        <v>+7</v>
      </c>
      <c r="V433" s="1" t="s">
        <v>2141</v>
      </c>
      <c r="W433" s="1" t="s">
        <v>174</v>
      </c>
      <c r="X433" s="11" t="s">
        <v>2142</v>
      </c>
      <c r="Y433" s="11" t="s">
        <v>2143</v>
      </c>
      <c r="Z433" s="11" t="s">
        <v>37</v>
      </c>
      <c r="AA433" s="12" t="s">
        <v>2144</v>
      </c>
    </row>
    <row r="434" customFormat="false" ht="16.4" hidden="false" customHeight="false" outlineLevel="0" collapsed="false">
      <c r="A434" s="15" t="s">
        <v>2145</v>
      </c>
      <c r="B434" s="3" t="s">
        <v>2107</v>
      </c>
      <c r="C434" s="3" t="s">
        <v>222</v>
      </c>
      <c r="D434" s="16" t="n">
        <v>2</v>
      </c>
      <c r="E434" s="3" t="n">
        <f aca="false">VLOOKUP(D434,'[1]REF Tables'!$A$2:$B$40,2)</f>
        <v>450</v>
      </c>
      <c r="F434" s="3" t="s">
        <v>30</v>
      </c>
      <c r="G434" s="3" t="n">
        <v>18</v>
      </c>
      <c r="H434" s="3" t="s">
        <v>2146</v>
      </c>
      <c r="I434" s="3" t="s">
        <v>42</v>
      </c>
      <c r="J434" s="3" t="n">
        <v>18</v>
      </c>
      <c r="K434" s="1" t="str">
        <f aca="false">IF(J434=1,"-5",IF(OR(J434=2,J434=3),"-4",IF(OR(J434=4,J434=5),"-3",IF(OR(J434=6,J434=7),"-2",IF(OR(J434=8,J434=9),"-1",IF(OR(J434=10,J434=11),"0",IF(OR(J434=12,J434=13),"+1",IF(OR(J434=14,J434=15),"+2",IF(OR(J434=16,J434=17),"+3",IF(OR(J434=18,J434=19),"+4",IF(OR(J434=20,J434=21),"+5",IF(OR(J434=22,J434=23),"+6",IF(OR(J434=24,J434=25),"+7",IF(OR(J434=26,J434=27),"+8",IF(OR(J434=28,J434=29),"+9",IF(J434=30,"+10"," "))))))))))))))))</f>
        <v>+4</v>
      </c>
      <c r="L434" s="3" t="n">
        <v>12</v>
      </c>
      <c r="M434" s="1" t="str">
        <f aca="false">IF(L434=1,"-5",IF(OR(L434=2,L434=3),"-4",IF(OR(L434=4,L434=5),"-3",IF(OR(L434=6,L434=7),"-2",IF(OR(L434=8,L434=9),"-1",IF(OR(L434=10,L434=11),"0",IF(OR(L434=12,L434=13),"+1",IF(OR(L434=14,L434=15),"+2",IF(OR(L434=16,L434=17),"+3",IF(OR(L434=18,L434=19),"+4",IF(OR(L434=20,L434=21),"+5",IF(OR(L434=22,L434=23),"+6",IF(OR(L434=24,L434=25),"+7",IF(OR(L434=26,L434=27),"+8",IF(OR(L434=28,L434=29),"+9",IF(L434=30,"+10"," "))))))))))))))))</f>
        <v>+1</v>
      </c>
      <c r="N434" s="3" t="n">
        <v>18</v>
      </c>
      <c r="O434" s="1" t="str">
        <f aca="false">IF(N434=1,"-5",IF(OR(N434=2,N434=3),"-4",IF(OR(N434=4,N434=5),"-3",IF(OR(N434=6,N434=7),"-2",IF(OR(N434=8,N434=9),"-1",IF(OR(N434=10,N434=11),"0",IF(OR(N434=12,N434=13),"+1",IF(OR(N434=14,N434=15),"+2",IF(OR(N434=16,N434=17),"+3",IF(OR(N434=18,N434=19),"+4",IF(OR(N434=20,N434=21),"+5",IF(OR(N434=22,N434=23),"+6",IF(OR(N434=24,N434=25),"+7",IF(OR(N434=26,N434=27),"+8",IF(OR(N434=28,N434=29),"+9",IF(N434=30,"+10"," "))))))))))))))))</f>
        <v>+4</v>
      </c>
      <c r="P434" s="3" t="n">
        <v>12</v>
      </c>
      <c r="Q434" s="1" t="str">
        <f aca="false">IF(P434=1,"-5",IF(OR(P434=2,P434=3),"-4",IF(OR(P434=4,P434=5),"-3",IF(OR(P434=6,P434=7),"-2",IF(OR(P434=8,P434=9),"-1",IF(OR(P434=10,P434=11),"0",IF(OR(P434=12,P434=13),"+1",IF(OR(P434=14,P434=15),"+2",IF(OR(P434=16,P434=17),"+3",IF(OR(P434=18,P434=19),"+4",IF(OR(P434=20,P434=21),"+5",IF(OR(P434=22,P434=23),"+6",IF(OR(P434=24,P434=25),"+7",IF(OR(P434=26,P434=27),"+8",IF(OR(P434=28,P434=29),"+9",IF(P434=30,"+10"," "))))))))))))))))</f>
        <v>+1</v>
      </c>
      <c r="R434" s="3" t="n">
        <v>11</v>
      </c>
      <c r="S434" s="1" t="str">
        <f aca="false">IF(R434=1,"-5",IF(OR(R434=2,R434=3),"-4",IF(OR(R434=4,R434=5),"-3",IF(OR(R434=6,R434=7),"-2",IF(OR(R434=8,R434=9),"-1",IF(OR(R434=10,R434=11),"0",IF(OR(R434=12,R434=13),"+1",IF(OR(R434=14,R434=15),"+2",IF(OR(R434=16,R434=17),"+3",IF(OR(R434=18,R434=19),"+4",IF(OR(R434=20,R434=21),"+5",IF(OR(R434=22,R434=23),"+6",IF(OR(R434=24,R434=25),"+7",IF(OR(R434=26,R434=27),"+8",IF(OR(R434=28,R434=29),"+9",IF(R434=30,"+10"," "))))))))))))))))</f>
        <v>0</v>
      </c>
      <c r="T434" s="3" t="n">
        <v>12</v>
      </c>
      <c r="U434" s="1" t="str">
        <f aca="false">IF(T434=1,"-5",IF(OR(T434=2,T434=3),"-4",IF(OR(T434=4,T434=5),"-3",IF(OR(T434=6,T434=7),"-2",IF(OR(T434=8,T434=9),"-1",IF(OR(T434=10,T434=11),"0",IF(OR(T434=12,T434=13),"+1",IF(OR(T434=14,T434=15),"+2",IF(OR(T434=16,T434=17),"+3",IF(OR(T434=18,T434=19),"+4",IF(OR(T434=20,T434=21),"+5",IF(OR(T434=22,T434=23),"+6",IF(OR(T434=24,T434=25),"+7",IF(OR(T434=26,T434=27),"+8",IF(OR(T434=28,T434=29),"+9",IF(T434=30,"+10"," "))))))))))))))))</f>
        <v>+1</v>
      </c>
      <c r="V434" s="3" t="s">
        <v>2147</v>
      </c>
      <c r="W434" s="3" t="s">
        <v>2109</v>
      </c>
      <c r="X434" s="11" t="s">
        <v>2148</v>
      </c>
      <c r="Y434" s="11" t="s">
        <v>2149</v>
      </c>
      <c r="Z434" s="11" t="s">
        <v>37</v>
      </c>
      <c r="AA434" s="12" t="s">
        <v>37</v>
      </c>
    </row>
    <row r="435" customFormat="false" ht="16.4" hidden="false" customHeight="false" outlineLevel="0" collapsed="false">
      <c r="A435" s="15" t="s">
        <v>2150</v>
      </c>
      <c r="B435" s="3" t="s">
        <v>48</v>
      </c>
      <c r="C435" s="3" t="s">
        <v>230</v>
      </c>
      <c r="D435" s="16" t="n">
        <v>5</v>
      </c>
      <c r="E435" s="6" t="n">
        <f aca="false">VLOOKUP(D435,'[1]REF Tables'!$A$2:$B$40,2)</f>
        <v>1800</v>
      </c>
      <c r="F435" s="3" t="s">
        <v>50</v>
      </c>
      <c r="G435" s="3" t="n">
        <v>14</v>
      </c>
      <c r="H435" s="3" t="s">
        <v>508</v>
      </c>
      <c r="I435" s="3" t="s">
        <v>42</v>
      </c>
      <c r="J435" s="3" t="n">
        <v>16</v>
      </c>
      <c r="K435" s="1" t="str">
        <f aca="false">IF(J435=1,"-5",IF(OR(J435=2,J435=3),"-4",IF(OR(J435=4,J435=5),"-3",IF(OR(J435=6,J435=7),"-2",IF(OR(J435=8,J435=9),"-1",IF(OR(J435=10,J435=11),"0",IF(OR(J435=12,J435=13),"+1",IF(OR(J435=14,J435=15),"+2",IF(OR(J435=16,J435=17),"+3",IF(OR(J435=18,J435=19),"+4",IF(OR(J435=20,J435=21),"+5",IF(OR(J435=22,J435=23),"+6",IF(OR(J435=24,J435=25),"+7",IF(OR(J435=26,J435=27),"+8",IF(OR(J435=28,J435=29),"+9",IF(J435=30,"+10"," "))))))))))))))))</f>
        <v>+3</v>
      </c>
      <c r="L435" s="3" t="n">
        <v>11</v>
      </c>
      <c r="M435" s="1" t="str">
        <f aca="false">IF(L435=1,"-5",IF(OR(L435=2,L435=3),"-4",IF(OR(L435=4,L435=5),"-3",IF(OR(L435=6,L435=7),"-2",IF(OR(L435=8,L435=9),"-1",IF(OR(L435=10,L435=11),"0",IF(OR(L435=12,L435=13),"+1",IF(OR(L435=14,L435=15),"+2",IF(OR(L435=16,L435=17),"+3",IF(OR(L435=18,L435=19),"+4",IF(OR(L435=20,L435=21),"+5",IF(OR(L435=22,L435=23),"+6",IF(OR(L435=24,L435=25),"+7",IF(OR(L435=26,L435=27),"+8",IF(OR(L435=28,L435=29),"+9",IF(L435=30,"+10"," "))))))))))))))))</f>
        <v>0</v>
      </c>
      <c r="N435" s="3" t="n">
        <v>19</v>
      </c>
      <c r="O435" s="1" t="str">
        <f aca="false">IF(N435=1,"-5",IF(OR(N435=2,N435=3),"-4",IF(OR(N435=4,N435=5),"-3",IF(OR(N435=6,N435=7),"-2",IF(OR(N435=8,N435=9),"-1",IF(OR(N435=10,N435=11),"0",IF(OR(N435=12,N435=13),"+1",IF(OR(N435=14,N435=15),"+2",IF(OR(N435=16,N435=17),"+3",IF(OR(N435=18,N435=19),"+4",IF(OR(N435=20,N435=21),"+5",IF(OR(N435=22,N435=23),"+6",IF(OR(N435=24,N435=25),"+7",IF(OR(N435=26,N435=27),"+8",IF(OR(N435=28,N435=29),"+9",IF(N435=30,"+10"," "))))))))))))))))</f>
        <v>+4</v>
      </c>
      <c r="P435" s="3" t="n">
        <v>6</v>
      </c>
      <c r="Q435" s="1" t="str">
        <f aca="false">IF(P435=1,"-5",IF(OR(P435=2,P435=3),"-4",IF(OR(P435=4,P435=5),"-3",IF(OR(P435=6,P435=7),"-2",IF(OR(P435=8,P435=9),"-1",IF(OR(P435=10,P435=11),"0",IF(OR(P435=12,P435=13),"+1",IF(OR(P435=14,P435=15),"+2",IF(OR(P435=16,P435=17),"+3",IF(OR(P435=18,P435=19),"+4",IF(OR(P435=20,P435=21),"+5",IF(OR(P435=22,P435=23),"+6",IF(OR(P435=24,P435=25),"+7",IF(OR(P435=26,P435=27),"+8",IF(OR(P435=28,P435=29),"+9",IF(P435=30,"+10"," "))))))))))))))))</f>
        <v>-2</v>
      </c>
      <c r="R435" s="3" t="n">
        <v>13</v>
      </c>
      <c r="S435" s="1" t="str">
        <f aca="false">IF(R435=1,"-5",IF(OR(R435=2,R435=3),"-4",IF(OR(R435=4,R435=5),"-3",IF(OR(R435=6,R435=7),"-2",IF(OR(R435=8,R435=9),"-1",IF(OR(R435=10,R435=11),"0",IF(OR(R435=12,R435=13),"+1",IF(OR(R435=14,R435=15),"+2",IF(OR(R435=16,R435=17),"+3",IF(OR(R435=18,R435=19),"+4",IF(OR(R435=20,R435=21),"+5",IF(OR(R435=22,R435=23),"+6",IF(OR(R435=24,R435=25),"+7",IF(OR(R435=26,R435=27),"+8",IF(OR(R435=28,R435=29),"+9",IF(R435=30,"+10"," "))))))))))))))))</f>
        <v>+1</v>
      </c>
      <c r="T435" s="3" t="n">
        <v>6</v>
      </c>
      <c r="U435" s="1" t="str">
        <f aca="false">IF(T435=1,"-5",IF(OR(T435=2,T435=3),"-4",IF(OR(T435=4,T435=5),"-3",IF(OR(T435=6,T435=7),"-2",IF(OR(T435=8,T435=9),"-1",IF(OR(T435=10,T435=11),"0",IF(OR(T435=12,T435=13),"+1",IF(OR(T435=14,T435=15),"+2",IF(OR(T435=16,T435=17),"+3",IF(OR(T435=18,T435=19),"+4",IF(OR(T435=20,T435=21),"+5",IF(OR(T435=22,T435=23),"+6",IF(OR(T435=24,T435=25),"+7",IF(OR(T435=26,T435=27),"+8",IF(OR(T435=28,T435=29),"+9",IF(T435=30,"+10"," "))))))))))))))))</f>
        <v>-2</v>
      </c>
      <c r="V435" s="3" t="s">
        <v>2151</v>
      </c>
      <c r="W435" s="3" t="s">
        <v>2152</v>
      </c>
      <c r="X435" s="11" t="s">
        <v>2153</v>
      </c>
      <c r="Y435" s="11" t="s">
        <v>2154</v>
      </c>
      <c r="Z435" s="11" t="s">
        <v>37</v>
      </c>
      <c r="AA435" s="12" t="s">
        <v>37</v>
      </c>
    </row>
    <row r="436" customFormat="false" ht="16.4" hidden="false" customHeight="false" outlineLevel="0" collapsed="false">
      <c r="A436" s="15" t="s">
        <v>2155</v>
      </c>
      <c r="B436" s="3" t="s">
        <v>59</v>
      </c>
      <c r="C436" s="3" t="s">
        <v>37</v>
      </c>
      <c r="D436" s="16" t="n">
        <v>1</v>
      </c>
      <c r="E436" s="3" t="n">
        <f aca="false">VLOOKUP(D436,'[1]REF Tables'!$A$2:$B$40,2)</f>
        <v>200</v>
      </c>
      <c r="F436" s="3" t="s">
        <v>50</v>
      </c>
      <c r="G436" s="3" t="n">
        <v>11</v>
      </c>
      <c r="H436" s="3" t="s">
        <v>2156</v>
      </c>
      <c r="I436" s="3" t="s">
        <v>439</v>
      </c>
      <c r="J436" s="3" t="n">
        <v>19</v>
      </c>
      <c r="K436" s="1" t="str">
        <f aca="false">IF(J436=1,"-5",IF(OR(J436=2,J436=3),"-4",IF(OR(J436=4,J436=5),"-3",IF(OR(J436=6,J436=7),"-2",IF(OR(J436=8,J436=9),"-1",IF(OR(J436=10,J436=11),"0",IF(OR(J436=12,J436=13),"+1",IF(OR(J436=14,J436=15),"+2",IF(OR(J436=16,J436=17),"+3",IF(OR(J436=18,J436=19),"+4",IF(OR(J436=20,J436=21),"+5",IF(OR(J436=22,J436=23),"+6",IF(OR(J436=24,J436=25),"+7",IF(OR(J436=26,J436=27),"+8",IF(OR(J436=28,J436=29),"+9",IF(J436=30,"+10"," "))))))))))))))))</f>
        <v>+4</v>
      </c>
      <c r="L436" s="3" t="n">
        <v>10</v>
      </c>
      <c r="M436" s="1" t="str">
        <f aca="false">IF(L436=1,"-5",IF(OR(L436=2,L436=3),"-4",IF(OR(L436=4,L436=5),"-3",IF(OR(L436=6,L436=7),"-2",IF(OR(L436=8,L436=9),"-1",IF(OR(L436=10,L436=11),"0",IF(OR(L436=12,L436=13),"+1",IF(OR(L436=14,L436=15),"+2",IF(OR(L436=16,L436=17),"+3",IF(OR(L436=18,L436=19),"+4",IF(OR(L436=20,L436=21),"+5",IF(OR(L436=22,L436=23),"+6",IF(OR(L436=24,L436=25),"+7",IF(OR(L436=26,L436=27),"+8",IF(OR(L436=28,L436=29),"+9",IF(L436=30,"+10"," "))))))))))))))))</f>
        <v>0</v>
      </c>
      <c r="N436" s="3" t="n">
        <v>16</v>
      </c>
      <c r="O436" s="1" t="str">
        <f aca="false">IF(N436=1,"-5",IF(OR(N436=2,N436=3),"-4",IF(OR(N436=4,N436=5),"-3",IF(OR(N436=6,N436=7),"-2",IF(OR(N436=8,N436=9),"-1",IF(OR(N436=10,N436=11),"0",IF(OR(N436=12,N436=13),"+1",IF(OR(N436=14,N436=15),"+2",IF(OR(N436=16,N436=17),"+3",IF(OR(N436=18,N436=19),"+4",IF(OR(N436=20,N436=21),"+5",IF(OR(N436=22,N436=23),"+6",IF(OR(N436=24,N436=25),"+7",IF(OR(N436=26,N436=27),"+8",IF(OR(N436=28,N436=29),"+9",IF(N436=30,"+10"," "))))))))))))))))</f>
        <v>+3</v>
      </c>
      <c r="P436" s="3" t="n">
        <v>2</v>
      </c>
      <c r="Q436" s="1" t="str">
        <f aca="false">IF(P436=1,"-5",IF(OR(P436=2,P436=3),"-4",IF(OR(P436=4,P436=5),"-3",IF(OR(P436=6,P436=7),"-2",IF(OR(P436=8,P436=9),"-1",IF(OR(P436=10,P436=11),"0",IF(OR(P436=12,P436=13),"+1",IF(OR(P436=14,P436=15),"+2",IF(OR(P436=16,P436=17),"+3",IF(OR(P436=18,P436=19),"+4",IF(OR(P436=20,P436=21),"+5",IF(OR(P436=22,P436=23),"+6",IF(OR(P436=24,P436=25),"+7",IF(OR(P436=26,P436=27),"+8",IF(OR(P436=28,P436=29),"+9",IF(P436=30,"+10"," "))))))))))))))))</f>
        <v>-4</v>
      </c>
      <c r="R436" s="3" t="n">
        <v>13</v>
      </c>
      <c r="S436" s="1" t="str">
        <f aca="false">IF(R436=1,"-5",IF(OR(R436=2,R436=3),"-4",IF(OR(R436=4,R436=5),"-3",IF(OR(R436=6,R436=7),"-2",IF(OR(R436=8,R436=9),"-1",IF(OR(R436=10,R436=11),"0",IF(OR(R436=12,R436=13),"+1",IF(OR(R436=14,R436=15),"+2",IF(OR(R436=16,R436=17),"+3",IF(OR(R436=18,R436=19),"+4",IF(OR(R436=20,R436=21),"+5",IF(OR(R436=22,R436=23),"+6",IF(OR(R436=24,R436=25),"+7",IF(OR(R436=26,R436=27),"+8",IF(OR(R436=28,R436=29),"+9",IF(R436=30,"+10"," "))))))))))))))))</f>
        <v>+1</v>
      </c>
      <c r="T436" s="3" t="n">
        <v>7</v>
      </c>
      <c r="U436" s="1" t="str">
        <f aca="false">IF(T436=1,"-5",IF(OR(T436=2,T436=3),"-4",IF(OR(T436=4,T436=5),"-3",IF(OR(T436=6,T436=7),"-2",IF(OR(T436=8,T436=9),"-1",IF(OR(T436=10,T436=11),"0",IF(OR(T436=12,T436=13),"+1",IF(OR(T436=14,T436=15),"+2",IF(OR(T436=16,T436=17),"+3",IF(OR(T436=18,T436=19),"+4",IF(OR(T436=20,T436=21),"+5",IF(OR(T436=22,T436=23),"+6",IF(OR(T436=24,T436=25),"+7",IF(OR(T436=26,T436=27),"+8",IF(OR(T436=28,T436=29),"+9",IF(T436=30,"+10"," "))))))))))))))))</f>
        <v>-2</v>
      </c>
      <c r="V436" s="3" t="s">
        <v>416</v>
      </c>
      <c r="W436" s="3" t="s">
        <v>37</v>
      </c>
      <c r="X436" s="11" t="s">
        <v>2157</v>
      </c>
      <c r="Y436" s="11" t="s">
        <v>2158</v>
      </c>
      <c r="Z436" s="11" t="s">
        <v>37</v>
      </c>
      <c r="AA436" s="12" t="s">
        <v>37</v>
      </c>
    </row>
    <row r="437" customFormat="false" ht="16.4" hidden="false" customHeight="false" outlineLevel="0" collapsed="false">
      <c r="A437" s="15" t="s">
        <v>2159</v>
      </c>
      <c r="B437" s="3" t="s">
        <v>59</v>
      </c>
      <c r="C437" s="3" t="s">
        <v>37</v>
      </c>
      <c r="D437" s="16" t="n">
        <v>0.5</v>
      </c>
      <c r="E437" s="3" t="n">
        <f aca="false">VLOOKUP(D437,'[1]REF Tables'!$A$2:$B$40,2)</f>
        <v>100</v>
      </c>
      <c r="F437" s="3" t="s">
        <v>30</v>
      </c>
      <c r="G437" s="3" t="n">
        <v>11</v>
      </c>
      <c r="H437" s="3" t="s">
        <v>1498</v>
      </c>
      <c r="I437" s="3" t="s">
        <v>439</v>
      </c>
      <c r="J437" s="3" t="n">
        <v>15</v>
      </c>
      <c r="K437" s="1" t="str">
        <f aca="false">IF(J437=1,"-5",IF(OR(J437=2,J437=3),"-4",IF(OR(J437=4,J437=5),"-3",IF(OR(J437=6,J437=7),"-2",IF(OR(J437=8,J437=9),"-1",IF(OR(J437=10,J437=11),"0",IF(OR(J437=12,J437=13),"+1",IF(OR(J437=14,J437=15),"+2",IF(OR(J437=16,J437=17),"+3",IF(OR(J437=18,J437=19),"+4",IF(OR(J437=20,J437=21),"+5",IF(OR(J437=22,J437=23),"+6",IF(OR(J437=24,J437=25),"+7",IF(OR(J437=26,J437=27),"+8",IF(OR(J437=28,J437=29),"+9",IF(J437=30,"+10"," "))))))))))))))))</f>
        <v>+2</v>
      </c>
      <c r="L437" s="3" t="n">
        <v>10</v>
      </c>
      <c r="M437" s="1" t="str">
        <f aca="false">IF(L437=1,"-5",IF(OR(L437=2,L437=3),"-4",IF(OR(L437=4,L437=5),"-3",IF(OR(L437=6,L437=7),"-2",IF(OR(L437=8,L437=9),"-1",IF(OR(L437=10,L437=11),"0",IF(OR(L437=12,L437=13),"+1",IF(OR(L437=14,L437=15),"+2",IF(OR(L437=16,L437=17),"+3",IF(OR(L437=18,L437=19),"+4",IF(OR(L437=20,L437=21),"+5",IF(OR(L437=22,L437=23),"+6",IF(OR(L437=24,L437=25),"+7",IF(OR(L437=26,L437=27),"+8",IF(OR(L437=28,L437=29),"+9",IF(L437=30,"+10"," "))))))))))))))))</f>
        <v>0</v>
      </c>
      <c r="N437" s="3" t="n">
        <v>14</v>
      </c>
      <c r="O437" s="1" t="str">
        <f aca="false">IF(N437=1,"-5",IF(OR(N437=2,N437=3),"-4",IF(OR(N437=4,N437=5),"-3",IF(OR(N437=6,N437=7),"-2",IF(OR(N437=8,N437=9),"-1",IF(OR(N437=10,N437=11),"0",IF(OR(N437=12,N437=13),"+1",IF(OR(N437=14,N437=15),"+2",IF(OR(N437=16,N437=17),"+3",IF(OR(N437=18,N437=19),"+4",IF(OR(N437=20,N437=21),"+5",IF(OR(N437=22,N437=23),"+6",IF(OR(N437=24,N437=25),"+7",IF(OR(N437=26,N437=27),"+8",IF(OR(N437=28,N437=29),"+9",IF(N437=30,"+10"," "))))))))))))))))</f>
        <v>+2</v>
      </c>
      <c r="P437" s="3" t="n">
        <v>2</v>
      </c>
      <c r="Q437" s="1" t="str">
        <f aca="false">IF(P437=1,"-5",IF(OR(P437=2,P437=3),"-4",IF(OR(P437=4,P437=5),"-3",IF(OR(P437=6,P437=7),"-2",IF(OR(P437=8,P437=9),"-1",IF(OR(P437=10,P437=11),"0",IF(OR(P437=12,P437=13),"+1",IF(OR(P437=14,P437=15),"+2",IF(OR(P437=16,P437=17),"+3",IF(OR(P437=18,P437=19),"+4",IF(OR(P437=20,P437=21),"+5",IF(OR(P437=22,P437=23),"+6",IF(OR(P437=24,P437=25),"+7",IF(OR(P437=26,P437=27),"+8",IF(OR(P437=28,P437=29),"+9",IF(P437=30,"+10"," "))))))))))))))))</f>
        <v>-4</v>
      </c>
      <c r="R437" s="3" t="n">
        <v>12</v>
      </c>
      <c r="S437" s="1" t="str">
        <f aca="false">IF(R437=1,"-5",IF(OR(R437=2,R437=3),"-4",IF(OR(R437=4,R437=5),"-3",IF(OR(R437=6,R437=7),"-2",IF(OR(R437=8,R437=9),"-1",IF(OR(R437=10,R437=11),"0",IF(OR(R437=12,R437=13),"+1",IF(OR(R437=14,R437=15),"+2",IF(OR(R437=16,R437=17),"+3",IF(OR(R437=18,R437=19),"+4",IF(OR(R437=20,R437=21),"+5",IF(OR(R437=22,R437=23),"+6",IF(OR(R437=24,R437=25),"+7",IF(OR(R437=26,R437=27),"+8",IF(OR(R437=28,R437=29),"+9",IF(R437=30,"+10"," "))))))))))))))))</f>
        <v>+1</v>
      </c>
      <c r="T437" s="3" t="n">
        <v>7</v>
      </c>
      <c r="U437" s="1" t="str">
        <f aca="false">IF(T437=1,"-5",IF(OR(T437=2,T437=3),"-4",IF(OR(T437=4,T437=5),"-3",IF(OR(T437=6,T437=7),"-2",IF(OR(T437=8,T437=9),"-1",IF(OR(T437=10,T437=11),"0",IF(OR(T437=12,T437=13),"+1",IF(OR(T437=14,T437=15),"+2",IF(OR(T437=16,T437=17),"+3",IF(OR(T437=18,T437=19),"+4",IF(OR(T437=20,T437=21),"+5",IF(OR(T437=22,T437=23),"+6",IF(OR(T437=24,T437=25),"+7",IF(OR(T437=26,T437=27),"+8",IF(OR(T437=28,T437=29),"+9",IF(T437=30,"+10"," "))))))))))))))))</f>
        <v>-2</v>
      </c>
      <c r="V437" s="3" t="s">
        <v>416</v>
      </c>
      <c r="W437" s="3" t="s">
        <v>37</v>
      </c>
      <c r="X437" s="11" t="s">
        <v>2157</v>
      </c>
      <c r="Y437" s="11" t="s">
        <v>2160</v>
      </c>
      <c r="Z437" s="11" t="s">
        <v>37</v>
      </c>
      <c r="AA437" s="12" t="s">
        <v>37</v>
      </c>
    </row>
    <row r="438" customFormat="false" ht="16.4" hidden="false" customHeight="false" outlineLevel="0" collapsed="false">
      <c r="A438" s="15" t="s">
        <v>2161</v>
      </c>
      <c r="B438" s="3" t="s">
        <v>59</v>
      </c>
      <c r="C438" s="3" t="s">
        <v>37</v>
      </c>
      <c r="D438" s="16" t="n">
        <v>2</v>
      </c>
      <c r="E438" s="3" t="n">
        <f aca="false">VLOOKUP(D438,'[1]REF Tables'!$A$2:$B$40,2)</f>
        <v>450</v>
      </c>
      <c r="F438" s="3" t="s">
        <v>50</v>
      </c>
      <c r="G438" s="3" t="n">
        <v>12</v>
      </c>
      <c r="H438" s="3" t="s">
        <v>2162</v>
      </c>
      <c r="I438" s="3" t="s">
        <v>2163</v>
      </c>
      <c r="J438" s="3" t="n">
        <v>20</v>
      </c>
      <c r="K438" s="1" t="str">
        <f aca="false">IF(J438=1,"-5",IF(OR(J438=2,J438=3),"-4",IF(OR(J438=4,J438=5),"-3",IF(OR(J438=6,J438=7),"-2",IF(OR(J438=8,J438=9),"-1",IF(OR(J438=10,J438=11),"0",IF(OR(J438=12,J438=13),"+1",IF(OR(J438=14,J438=15),"+2",IF(OR(J438=16,J438=17),"+3",IF(OR(J438=18,J438=19),"+4",IF(OR(J438=20,J438=21),"+5",IF(OR(J438=22,J438=23),"+6",IF(OR(J438=24,J438=25),"+7",IF(OR(J438=26,J438=27),"+8",IF(OR(J438=28,J438=29),"+9",IF(J438=30,"+10"," "))))))))))))))))</f>
        <v>+5</v>
      </c>
      <c r="L438" s="3" t="n">
        <v>10</v>
      </c>
      <c r="M438" s="1" t="str">
        <f aca="false">IF(L438=1,"-5",IF(OR(L438=2,L438=3),"-4",IF(OR(L438=4,L438=5),"-3",IF(OR(L438=6,L438=7),"-2",IF(OR(L438=8,L438=9),"-1",IF(OR(L438=10,L438=11),"0",IF(OR(L438=12,L438=13),"+1",IF(OR(L438=14,L438=15),"+2",IF(OR(L438=16,L438=17),"+3",IF(OR(L438=18,L438=19),"+4",IF(OR(L438=20,L438=21),"+5",IF(OR(L438=22,L438=23),"+6",IF(OR(L438=24,L438=25),"+7",IF(OR(L438=26,L438=27),"+8",IF(OR(L438=28,L438=29),"+9",IF(L438=30,"+10"," "))))))))))))))))</f>
        <v>0</v>
      </c>
      <c r="N438" s="3" t="n">
        <v>16</v>
      </c>
      <c r="O438" s="1" t="str">
        <f aca="false">IF(N438=1,"-5",IF(OR(N438=2,N438=3),"-4",IF(OR(N438=4,N438=5),"-3",IF(OR(N438=6,N438=7),"-2",IF(OR(N438=8,N438=9),"-1",IF(OR(N438=10,N438=11),"0",IF(OR(N438=12,N438=13),"+1",IF(OR(N438=14,N438=15),"+2",IF(OR(N438=16,N438=17),"+3",IF(OR(N438=18,N438=19),"+4",IF(OR(N438=20,N438=21),"+5",IF(OR(N438=22,N438=23),"+6",IF(OR(N438=24,N438=25),"+7",IF(OR(N438=26,N438=27),"+8",IF(OR(N438=28,N438=29),"+9",IF(N438=30,"+10"," "))))))))))))))))</f>
        <v>+3</v>
      </c>
      <c r="P438" s="3" t="n">
        <v>2</v>
      </c>
      <c r="Q438" s="1" t="str">
        <f aca="false">IF(P438=1,"-5",IF(OR(P438=2,P438=3),"-4",IF(OR(P438=4,P438=5),"-3",IF(OR(P438=6,P438=7),"-2",IF(OR(P438=8,P438=9),"-1",IF(OR(P438=10,P438=11),"0",IF(OR(P438=12,P438=13),"+1",IF(OR(P438=14,P438=15),"+2",IF(OR(P438=16,P438=17),"+3",IF(OR(P438=18,P438=19),"+4",IF(OR(P438=20,P438=21),"+5",IF(OR(P438=22,P438=23),"+6",IF(OR(P438=24,P438=25),"+7",IF(OR(P438=26,P438=27),"+8",IF(OR(P438=28,P438=29),"+9",IF(P438=30,"+10"," "))))))))))))))))</f>
        <v>-4</v>
      </c>
      <c r="R438" s="3" t="n">
        <v>13</v>
      </c>
      <c r="S438" s="1" t="str">
        <f aca="false">IF(R438=1,"-5",IF(OR(R438=2,R438=3),"-4",IF(OR(R438=4,R438=5),"-3",IF(OR(R438=6,R438=7),"-2",IF(OR(R438=8,R438=9),"-1",IF(OR(R438=10,R438=11),"0",IF(OR(R438=12,R438=13),"+1",IF(OR(R438=14,R438=15),"+2",IF(OR(R438=16,R438=17),"+3",IF(OR(R438=18,R438=19),"+4",IF(OR(R438=20,R438=21),"+5",IF(OR(R438=22,R438=23),"+6",IF(OR(R438=24,R438=25),"+7",IF(OR(R438=26,R438=27),"+8",IF(OR(R438=28,R438=29),"+9",IF(R438=30,"+10"," "))))))))))))))))</f>
        <v>+1</v>
      </c>
      <c r="T438" s="3" t="n">
        <v>7</v>
      </c>
      <c r="U438" s="1" t="str">
        <f aca="false">IF(T438=1,"-5",IF(OR(T438=2,T438=3),"-4",IF(OR(T438=4,T438=5),"-3",IF(OR(T438=6,T438=7),"-2",IF(OR(T438=8,T438=9),"-1",IF(OR(T438=10,T438=11),"0",IF(OR(T438=12,T438=13),"+1",IF(OR(T438=14,T438=15),"+2",IF(OR(T438=16,T438=17),"+3",IF(OR(T438=18,T438=19),"+4",IF(OR(T438=20,T438=21),"+5",IF(OR(T438=22,T438=23),"+6",IF(OR(T438=24,T438=25),"+7",IF(OR(T438=26,T438=27),"+8",IF(OR(T438=28,T438=29),"+9",IF(T438=30,"+10"," "))))))))))))))))</f>
        <v>-2</v>
      </c>
      <c r="V438" s="3" t="s">
        <v>416</v>
      </c>
      <c r="W438" s="3" t="s">
        <v>37</v>
      </c>
      <c r="X438" s="11" t="s">
        <v>2157</v>
      </c>
      <c r="Y438" s="11" t="s">
        <v>2164</v>
      </c>
      <c r="Z438" s="11" t="s">
        <v>37</v>
      </c>
      <c r="AA438" s="12" t="s">
        <v>37</v>
      </c>
    </row>
    <row r="439" customFormat="false" ht="16.4" hidden="false" customHeight="false" outlineLevel="0" collapsed="false">
      <c r="A439" s="15" t="s">
        <v>2165</v>
      </c>
      <c r="B439" s="3" t="s">
        <v>1791</v>
      </c>
      <c r="C439" s="3" t="s">
        <v>29</v>
      </c>
      <c r="D439" s="16" t="n">
        <v>5</v>
      </c>
      <c r="E439" s="6" t="n">
        <f aca="false">VLOOKUP(D439,'[1]REF Tables'!$A$2:$B$40,2)</f>
        <v>1800</v>
      </c>
      <c r="F439" s="3" t="s">
        <v>30</v>
      </c>
      <c r="G439" s="3" t="s">
        <v>2166</v>
      </c>
      <c r="H439" s="3" t="s">
        <v>1758</v>
      </c>
      <c r="I439" s="3" t="s">
        <v>2167</v>
      </c>
      <c r="J439" s="3" t="n">
        <v>19</v>
      </c>
      <c r="K439" s="1" t="str">
        <f aca="false">IF(J439=1,"-5",IF(OR(J439=2,J439=3),"-4",IF(OR(J439=4,J439=5),"-3",IF(OR(J439=6,J439=7),"-2",IF(OR(J439=8,J439=9),"-1",IF(OR(J439=10,J439=11),"0",IF(OR(J439=12,J439=13),"+1",IF(OR(J439=14,J439=15),"+2",IF(OR(J439=16,J439=17),"+3",IF(OR(J439=18,J439=19),"+4",IF(OR(J439=20,J439=21),"+5",IF(OR(J439=22,J439=23),"+6",IF(OR(J439=24,J439=25),"+7",IF(OR(J439=26,J439=27),"+8",IF(OR(J439=28,J439=29),"+9",IF(J439=30,"+10"," "))))))))))))))))</f>
        <v>+4</v>
      </c>
      <c r="L439" s="3" t="n">
        <v>10</v>
      </c>
      <c r="M439" s="1" t="str">
        <f aca="false">IF(L439=1,"-5",IF(OR(L439=2,L439=3),"-4",IF(OR(L439=4,L439=5),"-3",IF(OR(L439=6,L439=7),"-2",IF(OR(L439=8,L439=9),"-1",IF(OR(L439=10,L439=11),"0",IF(OR(L439=12,L439=13),"+1",IF(OR(L439=14,L439=15),"+2",IF(OR(L439=16,L439=17),"+3",IF(OR(L439=18,L439=19),"+4",IF(OR(L439=20,L439=21),"+5",IF(OR(L439=22,L439=23),"+6",IF(OR(L439=24,L439=25),"+7",IF(OR(L439=26,L439=27),"+8",IF(OR(L439=28,L439=29),"+9",IF(L439=30,"+10"," "))))))))))))))))</f>
        <v>0</v>
      </c>
      <c r="N439" s="3" t="n">
        <v>17</v>
      </c>
      <c r="O439" s="1" t="str">
        <f aca="false">IF(N439=1,"-5",IF(OR(N439=2,N439=3),"-4",IF(OR(N439=4,N439=5),"-3",IF(OR(N439=6,N439=7),"-2",IF(OR(N439=8,N439=9),"-1",IF(OR(N439=10,N439=11),"0",IF(OR(N439=12,N439=13),"+1",IF(OR(N439=14,N439=15),"+2",IF(OR(N439=16,N439=17),"+3",IF(OR(N439=18,N439=19),"+4",IF(OR(N439=20,N439=21),"+5",IF(OR(N439=22,N439=23),"+6",IF(OR(N439=24,N439=25),"+7",IF(OR(N439=26,N439=27),"+8",IF(OR(N439=28,N439=29),"+9",IF(N439=30,"+10"," "))))))))))))))))</f>
        <v>+3</v>
      </c>
      <c r="P439" s="3" t="n">
        <v>11</v>
      </c>
      <c r="Q439" s="1" t="str">
        <f aca="false">IF(P439=1,"-5",IF(OR(P439=2,P439=3),"-4",IF(OR(P439=4,P439=5),"-3",IF(OR(P439=6,P439=7),"-2",IF(OR(P439=8,P439=9),"-1",IF(OR(P439=10,P439=11),"0",IF(OR(P439=12,P439=13),"+1",IF(OR(P439=14,P439=15),"+2",IF(OR(P439=16,P439=17),"+3",IF(OR(P439=18,P439=19),"+4",IF(OR(P439=20,P439=21),"+5",IF(OR(P439=22,P439=23),"+6",IF(OR(P439=24,P439=25),"+7",IF(OR(P439=26,P439=27),"+8",IF(OR(P439=28,P439=29),"+9",IF(P439=30,"+10"," "))))))))))))))))</f>
        <v>0</v>
      </c>
      <c r="R439" s="3" t="n">
        <v>12</v>
      </c>
      <c r="S439" s="1" t="str">
        <f aca="false">IF(R439=1,"-5",IF(OR(R439=2,R439=3),"-4",IF(OR(R439=4,R439=5),"-3",IF(OR(R439=6,R439=7),"-2",IF(OR(R439=8,R439=9),"-1",IF(OR(R439=10,R439=11),"0",IF(OR(R439=12,R439=13),"+1",IF(OR(R439=14,R439=15),"+2",IF(OR(R439=16,R439=17),"+3",IF(OR(R439=18,R439=19),"+4",IF(OR(R439=20,R439=21),"+5",IF(OR(R439=22,R439=23),"+6",IF(OR(R439=24,R439=25),"+7",IF(OR(R439=26,R439=27),"+8",IF(OR(R439=28,R439=29),"+9",IF(R439=30,"+10"," "))))))))))))))))</f>
        <v>+1</v>
      </c>
      <c r="T439" s="3" t="n">
        <v>12</v>
      </c>
      <c r="U439" s="1" t="str">
        <f aca="false">IF(T439=1,"-5",IF(OR(T439=2,T439=3),"-4",IF(OR(T439=4,T439=5),"-3",IF(OR(T439=6,T439=7),"-2",IF(OR(T439=8,T439=9),"-1",IF(OR(T439=10,T439=11),"0",IF(OR(T439=12,T439=13),"+1",IF(OR(T439=14,T439=15),"+2",IF(OR(T439=16,T439=17),"+3",IF(OR(T439=18,T439=19),"+4",IF(OR(T439=20,T439=21),"+5",IF(OR(T439=22,T439=23),"+6",IF(OR(T439=24,T439=25),"+7",IF(OR(T439=26,T439=27),"+8",IF(OR(T439=28,T439=29),"+9",IF(T439=30,"+10"," "))))))))))))))))</f>
        <v>+1</v>
      </c>
      <c r="V439" s="3" t="s">
        <v>1904</v>
      </c>
      <c r="W439" s="3" t="s">
        <v>2168</v>
      </c>
      <c r="X439" s="11" t="s">
        <v>2169</v>
      </c>
      <c r="Y439" s="11" t="s">
        <v>2170</v>
      </c>
      <c r="Z439" s="11" t="s">
        <v>37</v>
      </c>
      <c r="AA439" s="12" t="s">
        <v>37</v>
      </c>
    </row>
    <row r="440" customFormat="false" ht="16.4" hidden="false" customHeight="false" outlineLevel="0" collapsed="false">
      <c r="A440" s="14" t="s">
        <v>2171</v>
      </c>
      <c r="B440" s="1" t="s">
        <v>1523</v>
      </c>
      <c r="C440" s="1" t="s">
        <v>37</v>
      </c>
      <c r="D440" s="5" t="n">
        <v>3</v>
      </c>
      <c r="E440" s="3" t="n">
        <f aca="false">VLOOKUP(D440,'[1]REF Tables'!$A$2:$B$40,2)</f>
        <v>700</v>
      </c>
      <c r="F440" s="1" t="s">
        <v>50</v>
      </c>
      <c r="G440" s="1" t="n">
        <v>13</v>
      </c>
      <c r="H440" s="1" t="s">
        <v>1383</v>
      </c>
      <c r="I440" s="3" t="s">
        <v>224</v>
      </c>
      <c r="J440" s="1" t="n">
        <v>20</v>
      </c>
      <c r="K440" s="1" t="str">
        <f aca="false">IF(J440=1,"-5",IF(OR(J440=2,J440=3),"-4",IF(OR(J440=4,J440=5),"-3",IF(OR(J440=6,J440=7),"-2",IF(OR(J440=8,J440=9),"-1",IF(OR(J440=10,J440=11),"0",IF(OR(J440=12,J440=13),"+1",IF(OR(J440=14,J440=15),"+2",IF(OR(J440=16,J440=17),"+3",IF(OR(J440=18,J440=19),"+4",IF(OR(J440=20,J440=21),"+5",IF(OR(J440=22,J440=23),"+6",IF(OR(J440=24,J440=25),"+7",IF(OR(J440=26,J440=27),"+8",IF(OR(J440=28,J440=29),"+9",IF(J440=30,"+10"," "))))))))))))))))</f>
        <v>+5</v>
      </c>
      <c r="L440" s="1" t="n">
        <v>12</v>
      </c>
      <c r="M440" s="1" t="str">
        <f aca="false">IF(L440=1,"-5",IF(OR(L440=2,L440=3),"-4",IF(OR(L440=4,L440=5),"-3",IF(OR(L440=6,L440=7),"-2",IF(OR(L440=8,L440=9),"-1",IF(OR(L440=10,L440=11),"0",IF(OR(L440=12,L440=13),"+1",IF(OR(L440=14,L440=15),"+2",IF(OR(L440=16,L440=17),"+3",IF(OR(L440=18,L440=19),"+4",IF(OR(L440=20,L440=21),"+5",IF(OR(L440=22,L440=23),"+6",IF(OR(L440=24,L440=25),"+7",IF(OR(L440=26,L440=27),"+8",IF(OR(L440=28,L440=29),"+9",IF(L440=30,"+10"," "))))))))))))))))</f>
        <v>+1</v>
      </c>
      <c r="N440" s="1" t="n">
        <v>17</v>
      </c>
      <c r="O440" s="1" t="str">
        <f aca="false">IF(N440=1,"-5",IF(OR(N440=2,N440=3),"-4",IF(OR(N440=4,N440=5),"-3",IF(OR(N440=6,N440=7),"-2",IF(OR(N440=8,N440=9),"-1",IF(OR(N440=10,N440=11),"0",IF(OR(N440=12,N440=13),"+1",IF(OR(N440=14,N440=15),"+2",IF(OR(N440=16,N440=17),"+3",IF(OR(N440=18,N440=19),"+4",IF(OR(N440=20,N440=21),"+5",IF(OR(N440=22,N440=23),"+6",IF(OR(N440=24,N440=25),"+7",IF(OR(N440=26,N440=27),"+8",IF(OR(N440=28,N440=29),"+9",IF(N440=30,"+10"," "))))))))))))))))</f>
        <v>+3</v>
      </c>
      <c r="P440" s="1" t="n">
        <v>3</v>
      </c>
      <c r="Q440" s="1" t="str">
        <f aca="false">IF(P440=1,"-5",IF(OR(P440=2,P440=3),"-4",IF(OR(P440=4,P440=5),"-3",IF(OR(P440=6,P440=7),"-2",IF(OR(P440=8,P440=9),"-1",IF(OR(P440=10,P440=11),"0",IF(OR(P440=12,P440=13),"+1",IF(OR(P440=14,P440=15),"+2",IF(OR(P440=16,P440=17),"+3",IF(OR(P440=18,P440=19),"+4",IF(OR(P440=20,P440=21),"+5",IF(OR(P440=22,P440=23),"+6",IF(OR(P440=24,P440=25),"+7",IF(OR(P440=26,P440=27),"+8",IF(OR(P440=28,P440=29),"+9",IF(P440=30,"+10"," "))))))))))))))))</f>
        <v>-4</v>
      </c>
      <c r="R440" s="1" t="n">
        <v>12</v>
      </c>
      <c r="S440" s="1" t="str">
        <f aca="false">IF(R440=1,"-5",IF(OR(R440=2,R440=3),"-4",IF(OR(R440=4,R440=5),"-3",IF(OR(R440=6,R440=7),"-2",IF(OR(R440=8,R440=9),"-1",IF(OR(R440=10,R440=11),"0",IF(OR(R440=12,R440=13),"+1",IF(OR(R440=14,R440=15),"+2",IF(OR(R440=16,R440=17),"+3",IF(OR(R440=18,R440=19),"+4",IF(OR(R440=20,R440=21),"+5",IF(OR(R440=22,R440=23),"+6",IF(OR(R440=24,R440=25),"+7",IF(OR(R440=26,R440=27),"+8",IF(OR(R440=28,R440=29),"+9",IF(R440=30,"+10"," "))))))))))))))))</f>
        <v>+1</v>
      </c>
      <c r="T440" s="1" t="n">
        <v>7</v>
      </c>
      <c r="U440" s="1" t="str">
        <f aca="false">IF(T440=1,"-5",IF(OR(T440=2,T440=3),"-4",IF(OR(T440=4,T440=5),"-3",IF(OR(T440=6,T440=7),"-2",IF(OR(T440=8,T440=9),"-1",IF(OR(T440=10,T440=11),"0",IF(OR(T440=12,T440=13),"+1",IF(OR(T440=14,T440=15),"+2",IF(OR(T440=16,T440=17),"+3",IF(OR(T440=18,T440=19),"+4",IF(OR(T440=20,T440=21),"+5",IF(OR(T440=22,T440=23),"+6",IF(OR(T440=24,T440=25),"+7",IF(OR(T440=26,T440=27),"+8",IF(OR(T440=28,T440=29),"+9",IF(T440=30,"+10"," "))))))))))))))))</f>
        <v>-2</v>
      </c>
      <c r="V440" s="1" t="s">
        <v>416</v>
      </c>
      <c r="W440" s="1" t="s">
        <v>37</v>
      </c>
      <c r="X440" s="2" t="s">
        <v>2172</v>
      </c>
      <c r="Y440" s="2" t="s">
        <v>2173</v>
      </c>
      <c r="Z440" s="2" t="s">
        <v>37</v>
      </c>
      <c r="AA440" s="1" t="s">
        <v>37</v>
      </c>
    </row>
    <row r="441" customFormat="false" ht="16.4" hidden="false" customHeight="false" outlineLevel="0" collapsed="false">
      <c r="A441" s="15" t="s">
        <v>2174</v>
      </c>
      <c r="B441" s="3" t="s">
        <v>105</v>
      </c>
      <c r="C441" s="3" t="s">
        <v>37</v>
      </c>
      <c r="D441" s="16" t="n">
        <v>0.5</v>
      </c>
      <c r="E441" s="3" t="n">
        <f aca="false">VLOOKUP(D441,'[1]REF Tables'!$A$2:$B$40,2)</f>
        <v>100</v>
      </c>
      <c r="F441" s="3" t="s">
        <v>30</v>
      </c>
      <c r="G441" s="3" t="n">
        <v>14</v>
      </c>
      <c r="H441" s="3" t="s">
        <v>1082</v>
      </c>
      <c r="I441" s="3" t="s">
        <v>224</v>
      </c>
      <c r="J441" s="3" t="n">
        <v>13</v>
      </c>
      <c r="K441" s="1" t="str">
        <f aca="false">IF(J441=1,"-5",IF(OR(J441=2,J441=3),"-4",IF(OR(J441=4,J441=5),"-3",IF(OR(J441=6,J441=7),"-2",IF(OR(J441=8,J441=9),"-1",IF(OR(J441=10,J441=11),"0",IF(OR(J441=12,J441=13),"+1",IF(OR(J441=14,J441=15),"+2",IF(OR(J441=16,J441=17),"+3",IF(OR(J441=18,J441=19),"+4",IF(OR(J441=20,J441=21),"+5",IF(OR(J441=22,J441=23),"+6",IF(OR(J441=24,J441=25),"+7",IF(OR(J441=26,J441=27),"+8",IF(OR(J441=28,J441=29),"+9",IF(J441=30,"+10"," "))))))))))))))))</f>
        <v>+1</v>
      </c>
      <c r="L441" s="3" t="n">
        <v>12</v>
      </c>
      <c r="M441" s="1" t="str">
        <f aca="false">IF(L441=1,"-5",IF(OR(L441=2,L441=3),"-4",IF(OR(L441=4,L441=5),"-3",IF(OR(L441=6,L441=7),"-2",IF(OR(L441=8,L441=9),"-1",IF(OR(L441=10,L441=11),"0",IF(OR(L441=12,L441=13),"+1",IF(OR(L441=14,L441=15),"+2",IF(OR(L441=16,L441=17),"+3",IF(OR(L441=18,L441=19),"+4",IF(OR(L441=20,L441=21),"+5",IF(OR(L441=22,L441=23),"+6",IF(OR(L441=24,L441=25),"+7",IF(OR(L441=26,L441=27),"+8",IF(OR(L441=28,L441=29),"+9",IF(L441=30,"+10"," "))))))))))))))))</f>
        <v>+1</v>
      </c>
      <c r="N441" s="3" t="n">
        <v>13</v>
      </c>
      <c r="O441" s="1" t="str">
        <f aca="false">IF(N441=1,"-5",IF(OR(N441=2,N441=3),"-4",IF(OR(N441=4,N441=5),"-3",IF(OR(N441=6,N441=7),"-2",IF(OR(N441=8,N441=9),"-1",IF(OR(N441=10,N441=11),"0",IF(OR(N441=12,N441=13),"+1",IF(OR(N441=14,N441=15),"+2",IF(OR(N441=16,N441=17),"+3",IF(OR(N441=18,N441=19),"+4",IF(OR(N441=20,N441=21),"+5",IF(OR(N441=22,N441=23),"+6",IF(OR(N441=24,N441=25),"+7",IF(OR(N441=26,N441=27),"+8",IF(OR(N441=28,N441=29),"+9",IF(N441=30,"+10"," "))))))))))))))))</f>
        <v>+1</v>
      </c>
      <c r="P441" s="3" t="n">
        <v>2</v>
      </c>
      <c r="Q441" s="1" t="str">
        <f aca="false">IF(P441=1,"-5",IF(OR(P441=2,P441=3),"-4",IF(OR(P441=4,P441=5),"-3",IF(OR(P441=6,P441=7),"-2",IF(OR(P441=8,P441=9),"-1",IF(OR(P441=10,P441=11),"0",IF(OR(P441=12,P441=13),"+1",IF(OR(P441=14,P441=15),"+2",IF(OR(P441=16,P441=17),"+3",IF(OR(P441=18,P441=19),"+4",IF(OR(P441=20,P441=21),"+5",IF(OR(P441=22,P441=23),"+6",IF(OR(P441=24,P441=25),"+7",IF(OR(P441=26,P441=27),"+8",IF(OR(P441=28,P441=29),"+9",IF(P441=30,"+10"," "))))))))))))))))</f>
        <v>-4</v>
      </c>
      <c r="R441" s="3" t="n">
        <v>13</v>
      </c>
      <c r="S441" s="1" t="str">
        <f aca="false">IF(R441=1,"-5",IF(OR(R441=2,R441=3),"-4",IF(OR(R441=4,R441=5),"-3",IF(OR(R441=6,R441=7),"-2",IF(OR(R441=8,R441=9),"-1",IF(OR(R441=10,R441=11),"0",IF(OR(R441=12,R441=13),"+1",IF(OR(R441=14,R441=15),"+2",IF(OR(R441=16,R441=17),"+3",IF(OR(R441=18,R441=19),"+4",IF(OR(R441=20,R441=21),"+5",IF(OR(R441=22,R441=23),"+6",IF(OR(R441=24,R441=25),"+7",IF(OR(R441=26,R441=27),"+8",IF(OR(R441=28,R441=29),"+9",IF(R441=30,"+10"," "))))))))))))))))</f>
        <v>+1</v>
      </c>
      <c r="T441" s="3" t="n">
        <v>6</v>
      </c>
      <c r="U441" s="1" t="str">
        <f aca="false">IF(T441=1,"-5",IF(OR(T441=2,T441=3),"-4",IF(OR(T441=4,T441=5),"-3",IF(OR(T441=6,T441=7),"-2",IF(OR(T441=8,T441=9),"-1",IF(OR(T441=10,T441=11),"0",IF(OR(T441=12,T441=13),"+1",IF(OR(T441=14,T441=15),"+2",IF(OR(T441=16,T441=17),"+3",IF(OR(T441=18,T441=19),"+4",IF(OR(T441=20,T441=21),"+5",IF(OR(T441=22,T441=23),"+6",IF(OR(T441=24,T441=25),"+7",IF(OR(T441=26,T441=27),"+8",IF(OR(T441=28,T441=29),"+9",IF(T441=30,"+10"," "))))))))))))))))</f>
        <v>-2</v>
      </c>
      <c r="V441" s="3" t="s">
        <v>37</v>
      </c>
      <c r="W441" s="3" t="s">
        <v>37</v>
      </c>
      <c r="X441" s="11" t="s">
        <v>2175</v>
      </c>
      <c r="Y441" s="11" t="s">
        <v>2176</v>
      </c>
      <c r="Z441" s="11" t="s">
        <v>37</v>
      </c>
      <c r="AA441" s="12" t="s">
        <v>37</v>
      </c>
    </row>
    <row r="442" customFormat="false" ht="16.4" hidden="false" customHeight="false" outlineLevel="0" collapsed="false">
      <c r="A442" s="15" t="s">
        <v>2177</v>
      </c>
      <c r="B442" s="3" t="s">
        <v>59</v>
      </c>
      <c r="C442" s="3" t="s">
        <v>37</v>
      </c>
      <c r="D442" s="16" t="n">
        <v>0.25</v>
      </c>
      <c r="E442" s="3" t="n">
        <f aca="false">VLOOKUP(D442,'[1]REF Tables'!$A$2:$B$40,2)</f>
        <v>50</v>
      </c>
      <c r="F442" s="3" t="s">
        <v>30</v>
      </c>
      <c r="G442" s="3" t="n">
        <v>12</v>
      </c>
      <c r="H442" s="3" t="s">
        <v>31</v>
      </c>
      <c r="I442" s="3" t="s">
        <v>309</v>
      </c>
      <c r="J442" s="3" t="n">
        <v>14</v>
      </c>
      <c r="K442" s="1" t="str">
        <f aca="false">IF(J442=1,"-5",IF(OR(J442=2,J442=3),"-4",IF(OR(J442=4,J442=5),"-3",IF(OR(J442=6,J442=7),"-2",IF(OR(J442=8,J442=9),"-1",IF(OR(J442=10,J442=11),"0",IF(OR(J442=12,J442=13),"+1",IF(OR(J442=14,J442=15),"+2",IF(OR(J442=16,J442=17),"+3",IF(OR(J442=18,J442=19),"+4",IF(OR(J442=20,J442=21),"+5",IF(OR(J442=22,J442=23),"+6",IF(OR(J442=24,J442=25),"+7",IF(OR(J442=26,J442=27),"+8",IF(OR(J442=28,J442=29),"+9",IF(J442=30,"+10"," "))))))))))))))))</f>
        <v>+2</v>
      </c>
      <c r="L442" s="3" t="n">
        <v>15</v>
      </c>
      <c r="M442" s="1" t="str">
        <f aca="false">IF(L442=1,"-5",IF(OR(L442=2,L442=3),"-4",IF(OR(L442=4,L442=5),"-3",IF(OR(L442=6,L442=7),"-2",IF(OR(L442=8,L442=9),"-1",IF(OR(L442=10,L442=11),"0",IF(OR(L442=12,L442=13),"+1",IF(OR(L442=14,L442=15),"+2",IF(OR(L442=16,L442=17),"+3",IF(OR(L442=18,L442=19),"+4",IF(OR(L442=20,L442=21),"+5",IF(OR(L442=22,L442=23),"+6",IF(OR(L442=24,L442=25),"+7",IF(OR(L442=26,L442=27),"+8",IF(OR(L442=28,L442=29),"+9",IF(L442=30,"+10"," "))))))))))))))))</f>
        <v>+2</v>
      </c>
      <c r="N442" s="3" t="n">
        <v>10</v>
      </c>
      <c r="O442" s="1" t="str">
        <f aca="false">IF(N442=1,"-5",IF(OR(N442=2,N442=3),"-4",IF(OR(N442=4,N442=5),"-3",IF(OR(N442=6,N442=7),"-2",IF(OR(N442=8,N442=9),"-1",IF(OR(N442=10,N442=11),"0",IF(OR(N442=12,N442=13),"+1",IF(OR(N442=14,N442=15),"+2",IF(OR(N442=16,N442=17),"+3",IF(OR(N442=18,N442=19),"+4",IF(OR(N442=20,N442=21),"+5",IF(OR(N442=22,N442=23),"+6",IF(OR(N442=24,N442=25),"+7",IF(OR(N442=26,N442=27),"+8",IF(OR(N442=28,N442=29),"+9",IF(N442=30,"+10"," "))))))))))))))))</f>
        <v>0</v>
      </c>
      <c r="P442" s="3" t="n">
        <v>3</v>
      </c>
      <c r="Q442" s="1" t="str">
        <f aca="false">IF(P442=1,"-5",IF(OR(P442=2,P442=3),"-4",IF(OR(P442=4,P442=5),"-3",IF(OR(P442=6,P442=7),"-2",IF(OR(P442=8,P442=9),"-1",IF(OR(P442=10,P442=11),"0",IF(OR(P442=12,P442=13),"+1",IF(OR(P442=14,P442=15),"+2",IF(OR(P442=16,P442=17),"+3",IF(OR(P442=18,P442=19),"+4",IF(OR(P442=20,P442=21),"+5",IF(OR(P442=22,P442=23),"+6",IF(OR(P442=24,P442=25),"+7",IF(OR(P442=26,P442=27),"+8",IF(OR(P442=28,P442=29),"+9",IF(P442=30,"+10"," "))))))))))))))))</f>
        <v>-4</v>
      </c>
      <c r="R442" s="3" t="n">
        <v>14</v>
      </c>
      <c r="S442" s="1" t="str">
        <f aca="false">IF(R442=1,"-5",IF(OR(R442=2,R442=3),"-4",IF(OR(R442=4,R442=5),"-3",IF(OR(R442=6,R442=7),"-2",IF(OR(R442=8,R442=9),"-1",IF(OR(R442=10,R442=11),"0",IF(OR(R442=12,R442=13),"+1",IF(OR(R442=14,R442=15),"+2",IF(OR(R442=16,R442=17),"+3",IF(OR(R442=18,R442=19),"+4",IF(OR(R442=20,R442=21),"+5",IF(OR(R442=22,R442=23),"+6",IF(OR(R442=24,R442=25),"+7",IF(OR(R442=26,R442=27),"+8",IF(OR(R442=28,R442=29),"+9",IF(R442=30,"+10"," "))))))))))))))))</f>
        <v>+2</v>
      </c>
      <c r="T442" s="3" t="n">
        <v>7</v>
      </c>
      <c r="U442" s="1" t="str">
        <f aca="false">IF(T442=1,"-5",IF(OR(T442=2,T442=3),"-4",IF(OR(T442=4,T442=5),"-3",IF(OR(T442=6,T442=7),"-2",IF(OR(T442=8,T442=9),"-1",IF(OR(T442=10,T442=11),"0",IF(OR(T442=12,T442=13),"+1",IF(OR(T442=14,T442=15),"+2",IF(OR(T442=16,T442=17),"+3",IF(OR(T442=18,T442=19),"+4",IF(OR(T442=20,T442=21),"+5",IF(OR(T442=22,T442=23),"+6",IF(OR(T442=24,T442=25),"+7",IF(OR(T442=26,T442=27),"+8",IF(OR(T442=28,T442=29),"+9",IF(T442=30,"+10"," "))))))))))))))))</f>
        <v>-2</v>
      </c>
      <c r="V442" s="3" t="s">
        <v>1511</v>
      </c>
      <c r="W442" s="3" t="s">
        <v>37</v>
      </c>
      <c r="X442" s="11" t="s">
        <v>2178</v>
      </c>
      <c r="Y442" s="11" t="s">
        <v>2179</v>
      </c>
      <c r="Z442" s="11" t="s">
        <v>37</v>
      </c>
      <c r="AA442" s="12" t="s">
        <v>37</v>
      </c>
    </row>
    <row r="443" customFormat="false" ht="76.1" hidden="false" customHeight="false" outlineLevel="0" collapsed="false">
      <c r="A443" s="15" t="s">
        <v>2180</v>
      </c>
      <c r="B443" s="3" t="s">
        <v>548</v>
      </c>
      <c r="C443" s="3" t="s">
        <v>748</v>
      </c>
      <c r="D443" s="16" t="n">
        <v>2</v>
      </c>
      <c r="E443" s="3" t="n">
        <f aca="false">VLOOKUP(D443,'[1]REF Tables'!$A$2:$B$40,2)</f>
        <v>450</v>
      </c>
      <c r="F443" s="3" t="s">
        <v>50</v>
      </c>
      <c r="G443" s="3" t="n">
        <v>12</v>
      </c>
      <c r="H443" s="3" t="s">
        <v>1383</v>
      </c>
      <c r="I443" s="3" t="s">
        <v>674</v>
      </c>
      <c r="J443" s="3" t="n">
        <v>18</v>
      </c>
      <c r="K443" s="1" t="str">
        <f aca="false">IF(J443=1,"-5",IF(OR(J443=2,J443=3),"-4",IF(OR(J443=4,J443=5),"-3",IF(OR(J443=6,J443=7),"-2",IF(OR(J443=8,J443=9),"-1",IF(OR(J443=10,J443=11),"0",IF(OR(J443=12,J443=13),"+1",IF(OR(J443=14,J443=15),"+2",IF(OR(J443=16,J443=17),"+3",IF(OR(J443=18,J443=19),"+4",IF(OR(J443=20,J443=21),"+5",IF(OR(J443=22,J443=23),"+6",IF(OR(J443=24,J443=25),"+7",IF(OR(J443=26,J443=27),"+8",IF(OR(J443=28,J443=29),"+9",IF(J443=30,"+10"," "))))))))))))))))</f>
        <v>+4</v>
      </c>
      <c r="L443" s="3" t="n">
        <v>15</v>
      </c>
      <c r="M443" s="1" t="str">
        <f aca="false">IF(L443=1,"-5",IF(OR(L443=2,L443=3),"-4",IF(OR(L443=4,L443=5),"-3",IF(OR(L443=6,L443=7),"-2",IF(OR(L443=8,L443=9),"-1",IF(OR(L443=10,L443=11),"0",IF(OR(L443=12,L443=13),"+1",IF(OR(L443=14,L443=15),"+2",IF(OR(L443=16,L443=17),"+3",IF(OR(L443=18,L443=19),"+4",IF(OR(L443=20,L443=21),"+5",IF(OR(L443=22,L443=23),"+6",IF(OR(L443=24,L443=25),"+7",IF(OR(L443=26,L443=27),"+8",IF(OR(L443=28,L443=29),"+9",IF(L443=30,"+10"," "))))))))))))))))</f>
        <v>+2</v>
      </c>
      <c r="N443" s="3" t="n">
        <v>16</v>
      </c>
      <c r="O443" s="1" t="str">
        <f aca="false">IF(N443=1,"-5",IF(OR(N443=2,N443=3),"-4",IF(OR(N443=4,N443=5),"-3",IF(OR(N443=6,N443=7),"-2",IF(OR(N443=8,N443=9),"-1",IF(OR(N443=10,N443=11),"0",IF(OR(N443=12,N443=13),"+1",IF(OR(N443=14,N443=15),"+2",IF(OR(N443=16,N443=17),"+3",IF(OR(N443=18,N443=19),"+4",IF(OR(N443=20,N443=21),"+5",IF(OR(N443=22,N443=23),"+6",IF(OR(N443=24,N443=25),"+7",IF(OR(N443=26,N443=27),"+8",IF(OR(N443=28,N443=29),"+9",IF(N443=30,"+10"," "))))))))))))))))</f>
        <v>+3</v>
      </c>
      <c r="P443" s="3" t="n">
        <v>10</v>
      </c>
      <c r="Q443" s="1" t="str">
        <f aca="false">IF(P443=1,"-5",IF(OR(P443=2,P443=3),"-4",IF(OR(P443=4,P443=5),"-3",IF(OR(P443=6,P443=7),"-2",IF(OR(P443=8,P443=9),"-1",IF(OR(P443=10,P443=11),"0",IF(OR(P443=12,P443=13),"+1",IF(OR(P443=14,P443=15),"+2",IF(OR(P443=16,P443=17),"+3",IF(OR(P443=18,P443=19),"+4",IF(OR(P443=20,P443=21),"+5",IF(OR(P443=22,P443=23),"+6",IF(OR(P443=24,P443=25),"+7",IF(OR(P443=26,P443=27),"+8",IF(OR(P443=28,P443=29),"+9",IF(P443=30,"+10"," "))))))))))))))))</f>
        <v>0</v>
      </c>
      <c r="R443" s="3" t="n">
        <v>15</v>
      </c>
      <c r="S443" s="1" t="str">
        <f aca="false">IF(R443=1,"-5",IF(OR(R443=2,R443=3),"-4",IF(OR(R443=4,R443=5),"-3",IF(OR(R443=6,R443=7),"-2",IF(OR(R443=8,R443=9),"-1",IF(OR(R443=10,R443=11),"0",IF(OR(R443=12,R443=13),"+1",IF(OR(R443=14,R443=15),"+2",IF(OR(R443=16,R443=17),"+3",IF(OR(R443=18,R443=19),"+4",IF(OR(R443=20,R443=21),"+5",IF(OR(R443=22,R443=23),"+6",IF(OR(R443=24,R443=25),"+7",IF(OR(R443=26,R443=27),"+8",IF(OR(R443=28,R443=29),"+9",IF(R443=30,"+10"," "))))))))))))))))</f>
        <v>+2</v>
      </c>
      <c r="T443" s="3" t="n">
        <v>13</v>
      </c>
      <c r="U443" s="1" t="str">
        <f aca="false">IF(T443=1,"-5",IF(OR(T443=2,T443=3),"-4",IF(OR(T443=4,T443=5),"-3",IF(OR(T443=6,T443=7),"-2",IF(OR(T443=8,T443=9),"-1",IF(OR(T443=10,T443=11),"0",IF(OR(T443=12,T443=13),"+1",IF(OR(T443=14,T443=15),"+2",IF(OR(T443=16,T443=17),"+3",IF(OR(T443=18,T443=19),"+4",IF(OR(T443=20,T443=21),"+5",IF(OR(T443=22,T443=23),"+6",IF(OR(T443=24,T443=25),"+7",IF(OR(T443=26,T443=27),"+8",IF(OR(T443=28,T443=29),"+9",IF(T443=30,"+10"," "))))))))))))))))</f>
        <v>+1</v>
      </c>
      <c r="V443" s="20" t="s">
        <v>2181</v>
      </c>
      <c r="W443" s="3" t="s">
        <v>2182</v>
      </c>
      <c r="X443" s="11" t="s">
        <v>2183</v>
      </c>
      <c r="Y443" s="11" t="s">
        <v>453</v>
      </c>
      <c r="Z443" s="11" t="s">
        <v>37</v>
      </c>
      <c r="AA443" s="12" t="s">
        <v>37</v>
      </c>
    </row>
    <row r="444" customFormat="false" ht="777.6" hidden="false" customHeight="false" outlineLevel="0" collapsed="false">
      <c r="A444" s="15" t="s">
        <v>2184</v>
      </c>
      <c r="B444" s="3" t="s">
        <v>39</v>
      </c>
      <c r="C444" s="3" t="s">
        <v>85</v>
      </c>
      <c r="D444" s="16" t="n">
        <v>1</v>
      </c>
      <c r="E444" s="3" t="n">
        <f aca="false">VLOOKUP(D444,'[1]REF Tables'!$A$2:$B$40,2)</f>
        <v>200</v>
      </c>
      <c r="F444" s="3" t="s">
        <v>30</v>
      </c>
      <c r="G444" s="3" t="n">
        <v>15</v>
      </c>
      <c r="H444" s="3" t="s">
        <v>198</v>
      </c>
      <c r="I444" s="3" t="s">
        <v>42</v>
      </c>
      <c r="J444" s="3" t="n">
        <v>10</v>
      </c>
      <c r="K444" s="3" t="str">
        <f aca="false">IF(J444=1,"-5",IF(OR(J444=2,J444=3),"-4",IF(OR(J444=4,J444=5),"-3",IF(OR(J444=6,J444=7),"-2",IF(OR(J444=8,J444=9),"-1",IF(OR(J444=10,J444=11),"0",IF(OR(J444=12,J444=13),"+1",IF(OR(J444=14,J444=15),"+2",IF(OR(J444=16,J444=17),"+3",IF(OR(J444=18,J444=19),"+4",IF(OR(J444=20,J444=21),"+5",IF(OR(J444=22,J444=23),"+6",IF(OR(J444=24,J444=25),"+7",IF(OR(J444=26,J444=27),"+8",IF(OR(J444=28,J444=29),"+9",IF(J444=30,"+10"," "))))))))))))))))</f>
        <v>0</v>
      </c>
      <c r="L444" s="3" t="n">
        <v>15</v>
      </c>
      <c r="M444" s="3" t="str">
        <f aca="false">IF(L444=1,"-5",IF(OR(L444=2,L444=3),"-4",IF(OR(L444=4,L444=5),"-3",IF(OR(L444=6,L444=7),"-2",IF(OR(L444=8,L444=9),"-1",IF(OR(L444=10,L444=11),"0",IF(OR(L444=12,L444=13),"+1",IF(OR(L444=14,L444=15),"+2",IF(OR(L444=16,L444=17),"+3",IF(OR(L444=18,L444=19),"+4",IF(OR(L444=20,L444=21),"+5",IF(OR(L444=22,L444=23),"+6",IF(OR(L444=24,L444=25),"+7",IF(OR(L444=26,L444=27),"+8",IF(OR(L444=28,L444=29),"+9",IF(L444=30,"+10"," "))))))))))))))))</f>
        <v>+2</v>
      </c>
      <c r="N444" s="3" t="n">
        <v>12</v>
      </c>
      <c r="O444" s="3" t="str">
        <f aca="false">IF(N444=1,"-5",IF(OR(N444=2,N444=3),"-4",IF(OR(N444=4,N444=5),"-3",IF(OR(N444=6,N444=7),"-2",IF(OR(N444=8,N444=9),"-1",IF(OR(N444=10,N444=11),"0",IF(OR(N444=12,N444=13),"+1",IF(OR(N444=14,N444=15),"+2",IF(OR(N444=16,N444=17),"+3",IF(OR(N444=18,N444=19),"+4",IF(OR(N444=20,N444=21),"+5",IF(OR(N444=22,N444=23),"+6",IF(OR(N444=24,N444=25),"+7",IF(OR(N444=26,N444=27),"+8",IF(OR(N444=28,N444=29),"+9",IF(N444=30,"+10"," "))))))))))))))))</f>
        <v>+1</v>
      </c>
      <c r="P444" s="3" t="n">
        <v>12</v>
      </c>
      <c r="Q444" s="3" t="str">
        <f aca="false">IF(P444=1,"-5",IF(OR(P444=2,P444=3),"-4",IF(OR(P444=4,P444=5),"-3",IF(OR(P444=6,P444=7),"-2",IF(OR(P444=8,P444=9),"-1",IF(OR(P444=10,P444=11),"0",IF(OR(P444=12,P444=13),"+1",IF(OR(P444=14,P444=15),"+2",IF(OR(P444=16,P444=17),"+3",IF(OR(P444=18,P444=19),"+4",IF(OR(P444=20,P444=21),"+5",IF(OR(P444=22,P444=23),"+6",IF(OR(P444=24,P444=25),"+7",IF(OR(P444=26,P444=27),"+8",IF(OR(P444=28,P444=29),"+9",IF(P444=30,"+10"," "))))))))))))))))</f>
        <v>+1</v>
      </c>
      <c r="R444" s="3" t="n">
        <v>14</v>
      </c>
      <c r="S444" s="3" t="str">
        <f aca="false">IF(R444=1,"-5",IF(OR(R444=2,R444=3),"-4",IF(OR(R444=4,R444=5),"-3",IF(OR(R444=6,R444=7),"-2",IF(OR(R444=8,R444=9),"-1",IF(OR(R444=10,R444=11),"0",IF(OR(R444=12,R444=13),"+1",IF(OR(R444=14,R444=15),"+2",IF(OR(R444=16,R444=17),"+3",IF(OR(R444=18,R444=19),"+4",IF(OR(R444=20,R444=21),"+5",IF(OR(R444=22,R444=23),"+6",IF(OR(R444=24,R444=25),"+7",IF(OR(R444=26,R444=27),"+8",IF(OR(R444=28,R444=29),"+9",IF(R444=30,"+10"," "))))))))))))))))</f>
        <v>+2</v>
      </c>
      <c r="T444" s="3" t="n">
        <v>16</v>
      </c>
      <c r="U444" s="3" t="str">
        <f aca="false">IF(T444=1,"-5",IF(OR(T444=2,T444=3),"-4",IF(OR(T444=4,T444=5),"-3",IF(OR(T444=6,T444=7),"-2",IF(OR(T444=8,T444=9),"-1",IF(OR(T444=10,T444=11),"0",IF(OR(T444=12,T444=13),"+1",IF(OR(T444=14,T444=15),"+2",IF(OR(T444=16,T444=17),"+3",IF(OR(T444=18,T444=19),"+4",IF(OR(T444=20,T444=21),"+5",IF(OR(T444=22,T444=23),"+6",IF(OR(T444=24,T444=25),"+7",IF(OR(T444=26,T444=27),"+8",IF(OR(T444=28,T444=29),"+9",IF(T444=30,"+10"," "))))))))))))))))</f>
        <v>+3</v>
      </c>
      <c r="V444" s="20" t="s">
        <v>2185</v>
      </c>
      <c r="W444" s="3" t="s">
        <v>2186</v>
      </c>
      <c r="X444" s="19" t="s">
        <v>2187</v>
      </c>
      <c r="Y444" s="19" t="s">
        <v>2188</v>
      </c>
      <c r="Z444" s="11" t="s">
        <v>37</v>
      </c>
      <c r="AA444" s="12" t="s">
        <v>37</v>
      </c>
    </row>
    <row r="445" customFormat="false" ht="16.4" hidden="false" customHeight="false" outlineLevel="0" collapsed="false">
      <c r="A445" s="15" t="s">
        <v>2189</v>
      </c>
      <c r="B445" s="3" t="s">
        <v>197</v>
      </c>
      <c r="C445" s="3" t="s">
        <v>106</v>
      </c>
      <c r="D445" s="16" t="n">
        <v>2</v>
      </c>
      <c r="E445" s="3" t="n">
        <f aca="false">VLOOKUP(D445,'[1]REF Tables'!$A$2:$B$40,2)</f>
        <v>450</v>
      </c>
      <c r="F445" s="3" t="s">
        <v>50</v>
      </c>
      <c r="G445" s="3" t="n">
        <v>16</v>
      </c>
      <c r="H445" s="3" t="s">
        <v>141</v>
      </c>
      <c r="I445" s="3" t="s">
        <v>224</v>
      </c>
      <c r="J445" s="3" t="n">
        <v>15</v>
      </c>
      <c r="K445" s="1" t="str">
        <f aca="false">IF(J445=1,"-5",IF(OR(J445=2,J445=3),"-4",IF(OR(J445=4,J445=5),"-3",IF(OR(J445=6,J445=7),"-2",IF(OR(J445=8,J445=9),"-1",IF(OR(J445=10,J445=11),"0",IF(OR(J445=12,J445=13),"+1",IF(OR(J445=14,J445=15),"+2",IF(OR(J445=16,J445=17),"+3",IF(OR(J445=18,J445=19),"+4",IF(OR(J445=20,J445=21),"+5",IF(OR(J445=22,J445=23),"+6",IF(OR(J445=24,J445=25),"+7",IF(OR(J445=26,J445=27),"+8",IF(OR(J445=28,J445=29),"+9",IF(J445=30,"+10"," "))))))))))))))))</f>
        <v>+2</v>
      </c>
      <c r="L445" s="3" t="n">
        <v>14</v>
      </c>
      <c r="M445" s="1" t="str">
        <f aca="false">IF(L445=1,"-5",IF(OR(L445=2,L445=3),"-4",IF(OR(L445=4,L445=5),"-3",IF(OR(L445=6,L445=7),"-2",IF(OR(L445=8,L445=9),"-1",IF(OR(L445=10,L445=11),"0",IF(OR(L445=12,L445=13),"+1",IF(OR(L445=14,L445=15),"+2",IF(OR(L445=16,L445=17),"+3",IF(OR(L445=18,L445=19),"+4",IF(OR(L445=20,L445=21),"+5",IF(OR(L445=22,L445=23),"+6",IF(OR(L445=24,L445=25),"+7",IF(OR(L445=26,L445=27),"+8",IF(OR(L445=28,L445=29),"+9",IF(L445=30,"+10"," "))))))))))))))))</f>
        <v>+2</v>
      </c>
      <c r="N445" s="3" t="n">
        <v>12</v>
      </c>
      <c r="O445" s="1" t="str">
        <f aca="false">IF(N445=1,"-5",IF(OR(N445=2,N445=3),"-4",IF(OR(N445=4,N445=5),"-3",IF(OR(N445=6,N445=7),"-2",IF(OR(N445=8,N445=9),"-1",IF(OR(N445=10,N445=11),"0",IF(OR(N445=12,N445=13),"+1",IF(OR(N445=14,N445=15),"+2",IF(OR(N445=16,N445=17),"+3",IF(OR(N445=18,N445=19),"+4",IF(OR(N445=20,N445=21),"+5",IF(OR(N445=22,N445=23),"+6",IF(OR(N445=24,N445=25),"+7",IF(OR(N445=26,N445=27),"+8",IF(OR(N445=28,N445=29),"+9",IF(N445=30,"+10"," "))))))))))))))))</f>
        <v>+1</v>
      </c>
      <c r="P445" s="3" t="n">
        <v>10</v>
      </c>
      <c r="Q445" s="1" t="str">
        <f aca="false">IF(P445=1,"-5",IF(OR(P445=2,P445=3),"-4",IF(OR(P445=4,P445=5),"-3",IF(OR(P445=6,P445=7),"-2",IF(OR(P445=8,P445=9),"-1",IF(OR(P445=10,P445=11),"0",IF(OR(P445=12,P445=13),"+1",IF(OR(P445=14,P445=15),"+2",IF(OR(P445=16,P445=17),"+3",IF(OR(P445=18,P445=19),"+4",IF(OR(P445=20,P445=21),"+5",IF(OR(P445=22,P445=23),"+6",IF(OR(P445=24,P445=25),"+7",IF(OR(P445=26,P445=27),"+8",IF(OR(P445=28,P445=29),"+9",IF(P445=30,"+10"," "))))))))))))))))</f>
        <v>0</v>
      </c>
      <c r="R445" s="3" t="n">
        <v>10</v>
      </c>
      <c r="S445" s="1" t="str">
        <f aca="false">IF(R445=1,"-5",IF(OR(R445=2,R445=3),"-4",IF(OR(R445=4,R445=5),"-3",IF(OR(R445=6,R445=7),"-2",IF(OR(R445=8,R445=9),"-1",IF(OR(R445=10,R445=11),"0",IF(OR(R445=12,R445=13),"+1",IF(OR(R445=14,R445=15),"+2",IF(OR(R445=16,R445=17),"+3",IF(OR(R445=18,R445=19),"+4",IF(OR(R445=20,R445=21),"+5",IF(OR(R445=22,R445=23),"+6",IF(OR(R445=24,R445=25),"+7",IF(OR(R445=26,R445=27),"+8",IF(OR(R445=28,R445=29),"+9",IF(R445=30,"+10"," "))))))))))))))))</f>
        <v>0</v>
      </c>
      <c r="T445" s="3" t="n">
        <v>13</v>
      </c>
      <c r="U445" s="1" t="str">
        <f aca="false">IF(T445=1,"-5",IF(OR(T445=2,T445=3),"-4",IF(OR(T445=4,T445=5),"-3",IF(OR(T445=6,T445=7),"-2",IF(OR(T445=8,T445=9),"-1",IF(OR(T445=10,T445=11),"0",IF(OR(T445=12,T445=13),"+1",IF(OR(T445=14,T445=15),"+2",IF(OR(T445=16,T445=17),"+3",IF(OR(T445=18,T445=19),"+4",IF(OR(T445=20,T445=21),"+5",IF(OR(T445=22,T445=23),"+6",IF(OR(T445=24,T445=25),"+7",IF(OR(T445=26,T445=27),"+8",IF(OR(T445=28,T445=29),"+9",IF(T445=30,"+10"," "))))))))))))))))</f>
        <v>+1</v>
      </c>
      <c r="V445" s="3" t="s">
        <v>72</v>
      </c>
      <c r="W445" s="3" t="s">
        <v>1113</v>
      </c>
      <c r="X445" s="11" t="s">
        <v>2190</v>
      </c>
      <c r="Y445" s="11" t="s">
        <v>2191</v>
      </c>
      <c r="Z445" s="11" t="s">
        <v>37</v>
      </c>
      <c r="AA445" s="12" t="s">
        <v>37</v>
      </c>
    </row>
    <row r="446" customFormat="false" ht="16.4" hidden="false" customHeight="false" outlineLevel="0" collapsed="false">
      <c r="A446" s="15" t="s">
        <v>2192</v>
      </c>
      <c r="B446" s="3" t="s">
        <v>105</v>
      </c>
      <c r="C446" s="3" t="s">
        <v>37</v>
      </c>
      <c r="D446" s="16" t="n">
        <v>0.5</v>
      </c>
      <c r="E446" s="3" t="n">
        <f aca="false">VLOOKUP(D446,'[1]REF Tables'!$A$2:$B$40,2)</f>
        <v>100</v>
      </c>
      <c r="F446" s="3" t="s">
        <v>30</v>
      </c>
      <c r="G446" s="3" t="n">
        <v>15</v>
      </c>
      <c r="H446" s="3" t="s">
        <v>2193</v>
      </c>
      <c r="I446" s="3" t="s">
        <v>2194</v>
      </c>
      <c r="J446" s="3" t="n">
        <v>10</v>
      </c>
      <c r="K446" s="1" t="str">
        <f aca="false">IF(J446=1,"-5",IF(OR(J446=2,J446=3),"-4",IF(OR(J446=4,J446=5),"-3",IF(OR(J446=6,J446=7),"-2",IF(OR(J446=8,J446=9),"-1",IF(OR(J446=10,J446=11),"0",IF(OR(J446=12,J446=13),"+1",IF(OR(J446=14,J446=15),"+2",IF(OR(J446=16,J446=17),"+3",IF(OR(J446=18,J446=19),"+4",IF(OR(J446=20,J446=21),"+5",IF(OR(J446=22,J446=23),"+6",IF(OR(J446=24,J446=25),"+7",IF(OR(J446=26,J446=27),"+8",IF(OR(J446=28,J446=29),"+9",IF(J446=30,"+10"," "))))))))))))))))</f>
        <v>0</v>
      </c>
      <c r="L446" s="3" t="n">
        <v>13</v>
      </c>
      <c r="M446" s="1" t="str">
        <f aca="false">IF(L446=1,"-5",IF(OR(L446=2,L446=3),"-4",IF(OR(L446=4,L446=5),"-3",IF(OR(L446=6,L446=7),"-2",IF(OR(L446=8,L446=9),"-1",IF(OR(L446=10,L446=11),"0",IF(OR(L446=12,L446=13),"+1",IF(OR(L446=14,L446=15),"+2",IF(OR(L446=16,L446=17),"+3",IF(OR(L446=18,L446=19),"+4",IF(OR(L446=20,L446=21),"+5",IF(OR(L446=22,L446=23),"+6",IF(OR(L446=24,L446=25),"+7",IF(OR(L446=26,L446=27),"+8",IF(OR(L446=28,L446=29),"+9",IF(L446=30,"+10"," "))))))))))))))))</f>
        <v>+1</v>
      </c>
      <c r="N446" s="3" t="n">
        <v>16</v>
      </c>
      <c r="O446" s="1" t="str">
        <f aca="false">IF(N446=1,"-5",IF(OR(N446=2,N446=3),"-4",IF(OR(N446=4,N446=5),"-3",IF(OR(N446=6,N446=7),"-2",IF(OR(N446=8,N446=9),"-1",IF(OR(N446=10,N446=11),"0",IF(OR(N446=12,N446=13),"+1",IF(OR(N446=14,N446=15),"+2",IF(OR(N446=16,N446=17),"+3",IF(OR(N446=18,N446=19),"+4",IF(OR(N446=20,N446=21),"+5",IF(OR(N446=22,N446=23),"+6",IF(OR(N446=24,N446=25),"+7",IF(OR(N446=26,N446=27),"+8",IF(OR(N446=28,N446=29),"+9",IF(N446=30,"+10"," "))))))))))))))))</f>
        <v>+3</v>
      </c>
      <c r="P446" s="3" t="n">
        <v>1</v>
      </c>
      <c r="Q446" s="1" t="str">
        <f aca="false">IF(P446=1,"-5",IF(OR(P446=2,P446=3),"-4",IF(OR(P446=4,P446=5),"-3",IF(OR(P446=6,P446=7),"-2",IF(OR(P446=8,P446=9),"-1",IF(OR(P446=10,P446=11),"0",IF(OR(P446=12,P446=13),"+1",IF(OR(P446=14,P446=15),"+2",IF(OR(P446=16,P446=17),"+3",IF(OR(P446=18,P446=19),"+4",IF(OR(P446=20,P446=21),"+5",IF(OR(P446=22,P446=23),"+6",IF(OR(P446=24,P446=25),"+7",IF(OR(P446=26,P446=27),"+8",IF(OR(P446=28,P446=29),"+9",IF(P446=30,"+10"," "))))))))))))))))</f>
        <v>-5</v>
      </c>
      <c r="R446" s="3" t="n">
        <v>7</v>
      </c>
      <c r="S446" s="1" t="str">
        <f aca="false">IF(R446=1,"-5",IF(OR(R446=2,R446=3),"-4",IF(OR(R446=4,R446=5),"-3",IF(OR(R446=6,R446=7),"-2",IF(OR(R446=8,R446=9),"-1",IF(OR(R446=10,R446=11),"0",IF(OR(R446=12,R446=13),"+1",IF(OR(R446=14,R446=15),"+2",IF(OR(R446=16,R446=17),"+3",IF(OR(R446=18,R446=19),"+4",IF(OR(R446=20,R446=21),"+5",IF(OR(R446=22,R446=23),"+6",IF(OR(R446=24,R446=25),"+7",IF(OR(R446=26,R446=27),"+8",IF(OR(R446=28,R446=29),"+9",IF(R446=30,"+10"," "))))))))))))))))</f>
        <v>-2</v>
      </c>
      <c r="T446" s="3" t="n">
        <v>3</v>
      </c>
      <c r="U446" s="1" t="str">
        <f aca="false">IF(T446=1,"-5",IF(OR(T446=2,T446=3),"-4",IF(OR(T446=4,T446=5),"-3",IF(OR(T446=6,T446=7),"-2",IF(OR(T446=8,T446=9),"-1",IF(OR(T446=10,T446=11),"0",IF(OR(T446=12,T446=13),"+1",IF(OR(T446=14,T446=15),"+2",IF(OR(T446=16,T446=17),"+3",IF(OR(T446=18,T446=19),"+4",IF(OR(T446=20,T446=21),"+5",IF(OR(T446=22,T446=23),"+6",IF(OR(T446=24,T446=25),"+7",IF(OR(T446=26,T446=27),"+8",IF(OR(T446=28,T446=29),"+9",IF(T446=30,"+10"," "))))))))))))))))</f>
        <v>-4</v>
      </c>
      <c r="V446" s="3" t="s">
        <v>586</v>
      </c>
      <c r="W446" s="3" t="s">
        <v>37</v>
      </c>
      <c r="X446" s="11" t="s">
        <v>2195</v>
      </c>
      <c r="Y446" s="11" t="s">
        <v>2196</v>
      </c>
      <c r="Z446" s="11" t="s">
        <v>37</v>
      </c>
      <c r="AA446" s="12" t="s">
        <v>37</v>
      </c>
    </row>
    <row r="447" customFormat="false" ht="16.4" hidden="false" customHeight="false" outlineLevel="0" collapsed="false">
      <c r="A447" s="15" t="s">
        <v>2197</v>
      </c>
      <c r="B447" s="3" t="s">
        <v>105</v>
      </c>
      <c r="C447" s="3" t="s">
        <v>222</v>
      </c>
      <c r="D447" s="16" t="n">
        <v>2</v>
      </c>
      <c r="E447" s="3" t="n">
        <f aca="false">VLOOKUP(D447,'[1]REF Tables'!$A$2:$B$40,2)</f>
        <v>450</v>
      </c>
      <c r="F447" s="3" t="s">
        <v>30</v>
      </c>
      <c r="G447" s="3" t="n">
        <v>13</v>
      </c>
      <c r="H447" s="3" t="s">
        <v>198</v>
      </c>
      <c r="I447" s="3" t="s">
        <v>433</v>
      </c>
      <c r="J447" s="3" t="n">
        <v>16</v>
      </c>
      <c r="K447" s="1" t="str">
        <f aca="false">IF(J447=1,"-5",IF(OR(J447=2,J447=3),"-4",IF(OR(J447=4,J447=5),"-3",IF(OR(J447=6,J447=7),"-2",IF(OR(J447=8,J447=9),"-1",IF(OR(J447=10,J447=11),"0",IF(OR(J447=12,J447=13),"+1",IF(OR(J447=14,J447=15),"+2",IF(OR(J447=16,J447=17),"+3",IF(OR(J447=18,J447=19),"+4",IF(OR(J447=20,J447=21),"+5",IF(OR(J447=22,J447=23),"+6",IF(OR(J447=24,J447=25),"+7",IF(OR(J447=26,J447=27),"+8",IF(OR(J447=28,J447=29),"+9",IF(J447=30,"+10"," "))))))))))))))))</f>
        <v>+3</v>
      </c>
      <c r="L447" s="3" t="n">
        <v>12</v>
      </c>
      <c r="M447" s="1" t="str">
        <f aca="false">IF(L447=1,"-5",IF(OR(L447=2,L447=3),"-4",IF(OR(L447=4,L447=5),"-3",IF(OR(L447=6,L447=7),"-2",IF(OR(L447=8,L447=9),"-1",IF(OR(L447=10,L447=11),"0",IF(OR(L447=12,L447=13),"+1",IF(OR(L447=14,L447=15),"+2",IF(OR(L447=16,L447=17),"+3",IF(OR(L447=18,L447=19),"+4",IF(OR(L447=20,L447=21),"+5",IF(OR(L447=22,L447=23),"+6",IF(OR(L447=24,L447=25),"+7",IF(OR(L447=26,L447=27),"+8",IF(OR(L447=28,L447=29),"+9",IF(L447=30,"+10"," "))))))))))))))))</f>
        <v>+1</v>
      </c>
      <c r="N447" s="3" t="n">
        <v>13</v>
      </c>
      <c r="O447" s="1" t="str">
        <f aca="false">IF(N447=1,"-5",IF(OR(N447=2,N447=3),"-4",IF(OR(N447=4,N447=5),"-3",IF(OR(N447=6,N447=7),"-2",IF(OR(N447=8,N447=9),"-1",IF(OR(N447=10,N447=11),"0",IF(OR(N447=12,N447=13),"+1",IF(OR(N447=14,N447=15),"+2",IF(OR(N447=16,N447=17),"+3",IF(OR(N447=18,N447=19),"+4",IF(OR(N447=20,N447=21),"+5",IF(OR(N447=22,N447=23),"+6",IF(OR(N447=24,N447=25),"+7",IF(OR(N447=26,N447=27),"+8",IF(OR(N447=28,N447=29),"+9",IF(N447=30,"+10"," "))))))))))))))))</f>
        <v>+1</v>
      </c>
      <c r="P447" s="3" t="n">
        <v>9</v>
      </c>
      <c r="Q447" s="1" t="str">
        <f aca="false">IF(P447=1,"-5",IF(OR(P447=2,P447=3),"-4",IF(OR(P447=4,P447=5),"-3",IF(OR(P447=6,P447=7),"-2",IF(OR(P447=8,P447=9),"-1",IF(OR(P447=10,P447=11),"0",IF(OR(P447=12,P447=13),"+1",IF(OR(P447=14,P447=15),"+2",IF(OR(P447=16,P447=17),"+3",IF(OR(P447=18,P447=19),"+4",IF(OR(P447=20,P447=21),"+5",IF(OR(P447=22,P447=23),"+6",IF(OR(P447=24,P447=25),"+7",IF(OR(P447=26,P447=27),"+8",IF(OR(P447=28,P447=29),"+9",IF(P447=30,"+10"," "))))))))))))))))</f>
        <v>-1</v>
      </c>
      <c r="R447" s="3" t="n">
        <v>12</v>
      </c>
      <c r="S447" s="1" t="str">
        <f aca="false">IF(R447=1,"-5",IF(OR(R447=2,R447=3),"-4",IF(OR(R447=4,R447=5),"-3",IF(OR(R447=6,R447=7),"-2",IF(OR(R447=8,R447=9),"-1",IF(OR(R447=10,R447=11),"0",IF(OR(R447=12,R447=13),"+1",IF(OR(R447=14,R447=15),"+2",IF(OR(R447=16,R447=17),"+3",IF(OR(R447=18,R447=19),"+4",IF(OR(R447=20,R447=21),"+5",IF(OR(R447=22,R447=23),"+6",IF(OR(R447=24,R447=25),"+7",IF(OR(R447=26,R447=27),"+8",IF(OR(R447=28,R447=29),"+9",IF(R447=30,"+10"," "))))))))))))))))</f>
        <v>+1</v>
      </c>
      <c r="T447" s="3" t="n">
        <v>10</v>
      </c>
      <c r="U447" s="1" t="str">
        <f aca="false">IF(T447=1,"-5",IF(OR(T447=2,T447=3),"-4",IF(OR(T447=4,T447=5),"-3",IF(OR(T447=6,T447=7),"-2",IF(OR(T447=8,T447=9),"-1",IF(OR(T447=10,T447=11),"0",IF(OR(T447=12,T447=13),"+1",IF(OR(T447=14,T447=15),"+2",IF(OR(T447=16,T447=17),"+3",IF(OR(T447=18,T447=19),"+4",IF(OR(T447=20,T447=21),"+5",IF(OR(T447=22,T447=23),"+6",IF(OR(T447=24,T447=25),"+7",IF(OR(T447=26,T447=27),"+8",IF(OR(T447=28,T447=29),"+9",IF(T447=30,"+10"," "))))))))))))))))</f>
        <v>0</v>
      </c>
      <c r="V447" s="3" t="s">
        <v>33</v>
      </c>
      <c r="W447" s="3" t="s">
        <v>2198</v>
      </c>
      <c r="X447" s="11" t="s">
        <v>2199</v>
      </c>
      <c r="Y447" s="11" t="s">
        <v>2200</v>
      </c>
      <c r="Z447" s="11" t="s">
        <v>37</v>
      </c>
      <c r="AA447" s="12" t="s">
        <v>37</v>
      </c>
    </row>
    <row r="448" customFormat="false" ht="16.4" hidden="false" customHeight="false" outlineLevel="0" collapsed="false">
      <c r="A448" s="15" t="s">
        <v>2201</v>
      </c>
      <c r="B448" s="3" t="s">
        <v>2202</v>
      </c>
      <c r="C448" s="3" t="s">
        <v>37</v>
      </c>
      <c r="D448" s="16" t="n">
        <v>3</v>
      </c>
      <c r="E448" s="3" t="n">
        <f aca="false">VLOOKUP(D448,'[1]REF Tables'!$A$2:$B$40,2)</f>
        <v>700</v>
      </c>
      <c r="F448" s="3" t="s">
        <v>50</v>
      </c>
      <c r="G448" s="3" t="n">
        <v>13</v>
      </c>
      <c r="H448" s="3" t="s">
        <v>1225</v>
      </c>
      <c r="I448" s="3" t="s">
        <v>1178</v>
      </c>
      <c r="J448" s="3" t="n">
        <v>17</v>
      </c>
      <c r="K448" s="1" t="str">
        <f aca="false">IF(J448=1,"-5",IF(OR(J448=2,J448=3),"-4",IF(OR(J448=4,J448=5),"-3",IF(OR(J448=6,J448=7),"-2",IF(OR(J448=8,J448=9),"-1",IF(OR(J448=10,J448=11),"0",IF(OR(J448=12,J448=13),"+1",IF(OR(J448=14,J448=15),"+2",IF(OR(J448=16,J448=17),"+3",IF(OR(J448=18,J448=19),"+4",IF(OR(J448=20,J448=21),"+5",IF(OR(J448=22,J448=23),"+6",IF(OR(J448=24,J448=25),"+7",IF(OR(J448=26,J448=27),"+8",IF(OR(J448=28,J448=29),"+9",IF(J448=30,"+10"," "))))))))))))))))</f>
        <v>+3</v>
      </c>
      <c r="L448" s="3" t="n">
        <v>10</v>
      </c>
      <c r="M448" s="1" t="str">
        <f aca="false">IF(L448=1,"-5",IF(OR(L448=2,L448=3),"-4",IF(OR(L448=4,L448=5),"-3",IF(OR(L448=6,L448=7),"-2",IF(OR(L448=8,L448=9),"-1",IF(OR(L448=10,L448=11),"0",IF(OR(L448=12,L448=13),"+1",IF(OR(L448=14,L448=15),"+2",IF(OR(L448=16,L448=17),"+3",IF(OR(L448=18,L448=19),"+4",IF(OR(L448=20,L448=21),"+5",IF(OR(L448=22,L448=23),"+6",IF(OR(L448=24,L448=25),"+7",IF(OR(L448=26,L448=27),"+8",IF(OR(L448=28,L448=29),"+9",IF(L448=30,"+10"," "))))))))))))))))</f>
        <v>0</v>
      </c>
      <c r="N448" s="3" t="n">
        <v>17</v>
      </c>
      <c r="O448" s="1" t="str">
        <f aca="false">IF(N448=1,"-5",IF(OR(N448=2,N448=3),"-4",IF(OR(N448=4,N448=5),"-3",IF(OR(N448=6,N448=7),"-2",IF(OR(N448=8,N448=9),"-1",IF(OR(N448=10,N448=11),"0",IF(OR(N448=12,N448=13),"+1",IF(OR(N448=14,N448=15),"+2",IF(OR(N448=16,N448=17),"+3",IF(OR(N448=18,N448=19),"+4",IF(OR(N448=20,N448=21),"+5",IF(OR(N448=22,N448=23),"+6",IF(OR(N448=24,N448=25),"+7",IF(OR(N448=26,N448=27),"+8",IF(OR(N448=28,N448=29),"+9",IF(N448=30,"+10"," "))))))))))))))))</f>
        <v>+3</v>
      </c>
      <c r="P448" s="3" t="n">
        <v>2</v>
      </c>
      <c r="Q448" s="1" t="str">
        <f aca="false">IF(P448=1,"-5",IF(OR(P448=2,P448=3),"-4",IF(OR(P448=4,P448=5),"-3",IF(OR(P448=6,P448=7),"-2",IF(OR(P448=8,P448=9),"-1",IF(OR(P448=10,P448=11),"0",IF(OR(P448=12,P448=13),"+1",IF(OR(P448=14,P448=15),"+2",IF(OR(P448=16,P448=17),"+3",IF(OR(P448=18,P448=19),"+4",IF(OR(P448=20,P448=21),"+5",IF(OR(P448=22,P448=23),"+6",IF(OR(P448=24,P448=25),"+7",IF(OR(P448=26,P448=27),"+8",IF(OR(P448=28,P448=29),"+9",IF(P448=30,"+10"," "))))))))))))))))</f>
        <v>-4</v>
      </c>
      <c r="R448" s="3" t="n">
        <v>13</v>
      </c>
      <c r="S448" s="1" t="str">
        <f aca="false">IF(R448=1,"-5",IF(OR(R448=2,R448=3),"-4",IF(OR(R448=4,R448=5),"-3",IF(OR(R448=6,R448=7),"-2",IF(OR(R448=8,R448=9),"-1",IF(OR(R448=10,R448=11),"0",IF(OR(R448=12,R448=13),"+1",IF(OR(R448=14,R448=15),"+2",IF(OR(R448=16,R448=17),"+3",IF(OR(R448=18,R448=19),"+4",IF(OR(R448=20,R448=21),"+5",IF(OR(R448=22,R448=23),"+6",IF(OR(R448=24,R448=25),"+7",IF(OR(R448=26,R448=27),"+8",IF(OR(R448=28,R448=29),"+9",IF(R448=30,"+10"," "))))))))))))))))</f>
        <v>+1</v>
      </c>
      <c r="T448" s="3" t="n">
        <v>4</v>
      </c>
      <c r="U448" s="1" t="str">
        <f aca="false">IF(T448=1,"-5",IF(OR(T448=2,T448=3),"-4",IF(OR(T448=4,T448=5),"-3",IF(OR(T448=6,T448=7),"-2",IF(OR(T448=8,T448=9),"-1",IF(OR(T448=10,T448=11),"0",IF(OR(T448=12,T448=13),"+1",IF(OR(T448=14,T448=15),"+2",IF(OR(T448=16,T448=17),"+3",IF(OR(T448=18,T448=19),"+4",IF(OR(T448=20,T448=21),"+5",IF(OR(T448=22,T448=23),"+6",IF(OR(T448=24,T448=25),"+7",IF(OR(T448=26,T448=27),"+8",IF(OR(T448=28,T448=29),"+9",IF(T448=30,"+10"," "))))))))))))))))</f>
        <v>-3</v>
      </c>
      <c r="V448" s="3" t="s">
        <v>556</v>
      </c>
      <c r="W448" s="3" t="s">
        <v>37</v>
      </c>
      <c r="X448" s="11" t="s">
        <v>2203</v>
      </c>
      <c r="Y448" s="11" t="s">
        <v>2204</v>
      </c>
      <c r="Z448" s="11" t="s">
        <v>37</v>
      </c>
      <c r="AA448" s="12" t="s">
        <v>37</v>
      </c>
    </row>
    <row r="449" customFormat="false" ht="61.15" hidden="false" customHeight="false" outlineLevel="0" collapsed="false">
      <c r="A449" s="15" t="s">
        <v>2205</v>
      </c>
      <c r="B449" s="3" t="s">
        <v>59</v>
      </c>
      <c r="C449" s="3" t="s">
        <v>37</v>
      </c>
      <c r="D449" s="16" t="n">
        <v>0</v>
      </c>
      <c r="E449" s="3" t="n">
        <f aca="false">VLOOKUP(D449,'[1]REF Tables'!$A$2:$B$40,2)</f>
        <v>10</v>
      </c>
      <c r="F449" s="3" t="s">
        <v>165</v>
      </c>
      <c r="G449" s="3" t="n">
        <v>12</v>
      </c>
      <c r="H449" s="3" t="s">
        <v>235</v>
      </c>
      <c r="I449" s="3" t="s">
        <v>2206</v>
      </c>
      <c r="J449" s="3" t="n">
        <v>4</v>
      </c>
      <c r="K449" s="1" t="str">
        <f aca="false">IF(J449=1,"-5",IF(OR(J449=2,J449=3),"-4",IF(OR(J449=4,J449=5),"-3",IF(OR(J449=6,J449=7),"-2",IF(OR(J449=8,J449=9),"-1",IF(OR(J449=10,J449=11),"0",IF(OR(J449=12,J449=13),"+1",IF(OR(J449=14,J449=15),"+2",IF(OR(J449=16,J449=17),"+3",IF(OR(J449=18,J449=19),"+4",IF(OR(J449=20,J449=21),"+5",IF(OR(J449=22,J449=23),"+6",IF(OR(J449=24,J449=25),"+7",IF(OR(J449=26,J449=27),"+8",IF(OR(J449=28,J449=29),"+9",IF(J449=30,"+10"," "))))))))))))))))</f>
        <v>-3</v>
      </c>
      <c r="L449" s="3" t="n">
        <v>15</v>
      </c>
      <c r="M449" s="1" t="str">
        <f aca="false">IF(L449=1,"-5",IF(OR(L449=2,L449=3),"-4",IF(OR(L449=4,L449=5),"-3",IF(OR(L449=6,L449=7),"-2",IF(OR(L449=8,L449=9),"-1",IF(OR(L449=10,L449=11),"0",IF(OR(L449=12,L449=13),"+1",IF(OR(L449=14,L449=15),"+2",IF(OR(L449=16,L449=17),"+3",IF(OR(L449=18,L449=19),"+4",IF(OR(L449=20,L449=21),"+5",IF(OR(L449=22,L449=23),"+6",IF(OR(L449=24,L449=25),"+7",IF(OR(L449=26,L449=27),"+8",IF(OR(L449=28,L449=29),"+9",IF(L449=30,"+10"," "))))))))))))))))</f>
        <v>+2</v>
      </c>
      <c r="N449" s="3" t="n">
        <v>11</v>
      </c>
      <c r="O449" s="1" t="str">
        <f aca="false">IF(N449=1,"-5",IF(OR(N449=2,N449=3),"-4",IF(OR(N449=4,N449=5),"-3",IF(OR(N449=6,N449=7),"-2",IF(OR(N449=8,N449=9),"-1",IF(OR(N449=10,N449=11),"0",IF(OR(N449=12,N449=13),"+1",IF(OR(N449=14,N449=15),"+2",IF(OR(N449=16,N449=17),"+3",IF(OR(N449=18,N449=19),"+4",IF(OR(N449=20,N449=21),"+5",IF(OR(N449=22,N449=23),"+6",IF(OR(N449=24,N449=25),"+7",IF(OR(N449=26,N449=27),"+8",IF(OR(N449=28,N449=29),"+9",IF(N449=30,"+10"," "))))))))))))))))</f>
        <v>0</v>
      </c>
      <c r="P449" s="3" t="n">
        <v>3</v>
      </c>
      <c r="Q449" s="1" t="str">
        <f aca="false">IF(P449=1,"-5",IF(OR(P449=2,P449=3),"-4",IF(OR(P449=4,P449=5),"-3",IF(OR(P449=6,P449=7),"-2",IF(OR(P449=8,P449=9),"-1",IF(OR(P449=10,P449=11),"0",IF(OR(P449=12,P449=13),"+1",IF(OR(P449=14,P449=15),"+2",IF(OR(P449=16,P449=17),"+3",IF(OR(P449=18,P449=19),"+4",IF(OR(P449=20,P449=21),"+5",IF(OR(P449=22,P449=23),"+6",IF(OR(P449=24,P449=25),"+7",IF(OR(P449=26,P449=27),"+8",IF(OR(P449=28,P449=29),"+9",IF(P449=30,"+10"," "))))))))))))))))</f>
        <v>-4</v>
      </c>
      <c r="R449" s="3" t="n">
        <v>10</v>
      </c>
      <c r="S449" s="1" t="str">
        <f aca="false">IF(R449=1,"-5",IF(OR(R449=2,R449=3),"-4",IF(OR(R449=4,R449=5),"-3",IF(OR(R449=6,R449=7),"-2",IF(OR(R449=8,R449=9),"-1",IF(OR(R449=10,R449=11),"0",IF(OR(R449=12,R449=13),"+1",IF(OR(R449=14,R449=15),"+2",IF(OR(R449=16,R449=17),"+3",IF(OR(R449=18,R449=19),"+4",IF(OR(R449=20,R449=21),"+5",IF(OR(R449=22,R449=23),"+6",IF(OR(R449=24,R449=25),"+7",IF(OR(R449=26,R449=27),"+8",IF(OR(R449=28,R449=29),"+9",IF(R449=30,"+10"," "))))))))))))))))</f>
        <v>0</v>
      </c>
      <c r="T449" s="3" t="n">
        <v>4</v>
      </c>
      <c r="U449" s="1" t="str">
        <f aca="false">IF(T449=1,"-5",IF(OR(T449=2,T449=3),"-4",IF(OR(T449=4,T449=5),"-3",IF(OR(T449=6,T449=7),"-2",IF(OR(T449=8,T449=9),"-1",IF(OR(T449=10,T449=11),"0",IF(OR(T449=12,T449=13),"+1",IF(OR(T449=14,T449=15),"+2",IF(OR(T449=16,T449=17),"+3",IF(OR(T449=18,T449=19),"+4",IF(OR(T449=20,T449=21),"+5",IF(OR(T449=22,T449=23),"+6",IF(OR(T449=24,T449=25),"+7",IF(OR(T449=26,T449=27),"+8",IF(OR(T449=28,T449=29),"+9",IF(T449=30,"+10"," "))))))))))))))))</f>
        <v>-3</v>
      </c>
      <c r="V449" s="20" t="s">
        <v>694</v>
      </c>
      <c r="W449" s="3" t="s">
        <v>37</v>
      </c>
      <c r="X449" s="11" t="s">
        <v>2207</v>
      </c>
      <c r="Y449" s="11" t="s">
        <v>2208</v>
      </c>
      <c r="Z449" s="11" t="s">
        <v>37</v>
      </c>
      <c r="AA449" s="12" t="s">
        <v>37</v>
      </c>
    </row>
    <row r="450" customFormat="false" ht="61.15" hidden="false" customHeight="false" outlineLevel="0" collapsed="false">
      <c r="A450" s="15" t="s">
        <v>2209</v>
      </c>
      <c r="B450" s="3" t="s">
        <v>59</v>
      </c>
      <c r="C450" s="3" t="s">
        <v>37</v>
      </c>
      <c r="D450" s="16" t="n">
        <v>1</v>
      </c>
      <c r="E450" s="3" t="n">
        <f aca="false">VLOOKUP(D450,'[1]REF Tables'!$A$2:$B$40,2)</f>
        <v>200</v>
      </c>
      <c r="F450" s="3" t="s">
        <v>50</v>
      </c>
      <c r="G450" s="3" t="n">
        <v>11</v>
      </c>
      <c r="H450" s="3" t="s">
        <v>2210</v>
      </c>
      <c r="I450" s="3" t="s">
        <v>2211</v>
      </c>
      <c r="J450" s="3" t="n">
        <v>17</v>
      </c>
      <c r="K450" s="1" t="str">
        <f aca="false">IF(J450=1,"-5",IF(OR(J450=2,J450=3),"-4",IF(OR(J450=4,J450=5),"-3",IF(OR(J450=6,J450=7),"-2",IF(OR(J450=8,J450=9),"-1",IF(OR(J450=10,J450=11),"0",IF(OR(J450=12,J450=13),"+1",IF(OR(J450=14,J450=15),"+2",IF(OR(J450=16,J450=17),"+3",IF(OR(J450=18,J450=19),"+4",IF(OR(J450=20,J450=21),"+5",IF(OR(J450=22,J450=23),"+6",IF(OR(J450=24,J450=25),"+7",IF(OR(J450=26,J450=27),"+8",IF(OR(J450=28,J450=29),"+9",IF(J450=30,"+10"," "))))))))))))))))</f>
        <v>+3</v>
      </c>
      <c r="L450" s="3" t="n">
        <v>13</v>
      </c>
      <c r="M450" s="1" t="str">
        <f aca="false">IF(L450=1,"-5",IF(OR(L450=2,L450=3),"-4",IF(OR(L450=4,L450=5),"-3",IF(OR(L450=6,L450=7),"-2",IF(OR(L450=8,L450=9),"-1",IF(OR(L450=10,L450=11),"0",IF(OR(L450=12,L450=13),"+1",IF(OR(L450=14,L450=15),"+2",IF(OR(L450=16,L450=17),"+3",IF(OR(L450=18,L450=19),"+4",IF(OR(L450=20,L450=21),"+5",IF(OR(L450=22,L450=23),"+6",IF(OR(L450=24,L450=25),"+7",IF(OR(L450=26,L450=27),"+8",IF(OR(L450=28,L450=29),"+9",IF(L450=30,"+10"," "))))))))))))))))</f>
        <v>+1</v>
      </c>
      <c r="N450" s="3" t="n">
        <v>13</v>
      </c>
      <c r="O450" s="1" t="str">
        <f aca="false">IF(N450=1,"-5",IF(OR(N450=2,N450=3),"-4",IF(OR(N450=4,N450=5),"-3",IF(OR(N450=6,N450=7),"-2",IF(OR(N450=8,N450=9),"-1",IF(OR(N450=10,N450=11),"0",IF(OR(N450=12,N450=13),"+1",IF(OR(N450=14,N450=15),"+2",IF(OR(N450=16,N450=17),"+3",IF(OR(N450=18,N450=19),"+4",IF(OR(N450=20,N450=21),"+5",IF(OR(N450=22,N450=23),"+6",IF(OR(N450=24,N450=25),"+7",IF(OR(N450=26,N450=27),"+8",IF(OR(N450=28,N450=29),"+9",IF(N450=30,"+10"," "))))))))))))))))</f>
        <v>+1</v>
      </c>
      <c r="P450" s="3" t="n">
        <v>4</v>
      </c>
      <c r="Q450" s="1" t="str">
        <f aca="false">IF(P450=1,"-5",IF(OR(P450=2,P450=3),"-4",IF(OR(P450=4,P450=5),"-3",IF(OR(P450=6,P450=7),"-2",IF(OR(P450=8,P450=9),"-1",IF(OR(P450=10,P450=11),"0",IF(OR(P450=12,P450=13),"+1",IF(OR(P450=14,P450=15),"+2",IF(OR(P450=16,P450=17),"+3",IF(OR(P450=18,P450=19),"+4",IF(OR(P450=20,P450=21),"+5",IF(OR(P450=22,P450=23),"+6",IF(OR(P450=24,P450=25),"+7",IF(OR(P450=26,P450=27),"+8",IF(OR(P450=28,P450=29),"+9",IF(P450=30,"+10"," "))))))))))))))))</f>
        <v>-3</v>
      </c>
      <c r="R450" s="3" t="n">
        <v>10</v>
      </c>
      <c r="S450" s="1" t="str">
        <f aca="false">IF(R450=1,"-5",IF(OR(R450=2,R450=3),"-4",IF(OR(R450=4,R450=5),"-3",IF(OR(R450=6,R450=7),"-2",IF(OR(R450=8,R450=9),"-1",IF(OR(R450=10,R450=11),"0",IF(OR(R450=12,R450=13),"+1",IF(OR(R450=14,R450=15),"+2",IF(OR(R450=16,R450=17),"+3",IF(OR(R450=18,R450=19),"+4",IF(OR(R450=20,R450=21),"+5",IF(OR(R450=22,R450=23),"+6",IF(OR(R450=24,R450=25),"+7",IF(OR(R450=26,R450=27),"+8",IF(OR(R450=28,R450=29),"+9",IF(R450=30,"+10"," "))))))))))))))))</f>
        <v>0</v>
      </c>
      <c r="T450" s="3" t="n">
        <v>4</v>
      </c>
      <c r="U450" s="1" t="str">
        <f aca="false">IF(T450=1,"-5",IF(OR(T450=2,T450=3),"-4",IF(OR(T450=4,T450=5),"-3",IF(OR(T450=6,T450=7),"-2",IF(OR(T450=8,T450=9),"-1",IF(OR(T450=10,T450=11),"0",IF(OR(T450=12,T450=13),"+1",IF(OR(T450=14,T450=15),"+2",IF(OR(T450=16,T450=17),"+3",IF(OR(T450=18,T450=19),"+4",IF(OR(T450=20,T450=21),"+5",IF(OR(T450=22,T450=23),"+6",IF(OR(T450=24,T450=25),"+7",IF(OR(T450=26,T450=27),"+8",IF(OR(T450=28,T450=29),"+9",IF(T450=30,"+10"," "))))))))))))))))</f>
        <v>-3</v>
      </c>
      <c r="V450" s="20" t="s">
        <v>137</v>
      </c>
      <c r="W450" s="3" t="s">
        <v>37</v>
      </c>
      <c r="X450" s="11" t="s">
        <v>2212</v>
      </c>
      <c r="Y450" s="11" t="s">
        <v>2213</v>
      </c>
      <c r="Z450" s="11" t="s">
        <v>37</v>
      </c>
      <c r="AA450" s="12" t="s">
        <v>37</v>
      </c>
    </row>
    <row r="451" customFormat="false" ht="16.4" hidden="false" customHeight="false" outlineLevel="0" collapsed="false">
      <c r="A451" s="15" t="s">
        <v>2214</v>
      </c>
      <c r="B451" s="3" t="s">
        <v>59</v>
      </c>
      <c r="C451" s="3" t="s">
        <v>37</v>
      </c>
      <c r="D451" s="16" t="n">
        <v>0</v>
      </c>
      <c r="E451" s="3" t="n">
        <f aca="false">VLOOKUP(D451,'[1]REF Tables'!$A$2:$B$40,2)</f>
        <v>10</v>
      </c>
      <c r="F451" s="3" t="s">
        <v>315</v>
      </c>
      <c r="G451" s="3" t="n">
        <v>13</v>
      </c>
      <c r="H451" s="3" t="s">
        <v>316</v>
      </c>
      <c r="I451" s="3" t="s">
        <v>1603</v>
      </c>
      <c r="J451" s="3" t="n">
        <v>2</v>
      </c>
      <c r="K451" s="1" t="str">
        <f aca="false">IF(J451=1,"-5",IF(OR(J451=2,J451=3),"-4",IF(OR(J451=4,J451=5),"-3",IF(OR(J451=6,J451=7),"-2",IF(OR(J451=8,J451=9),"-1",IF(OR(J451=10,J451=11),"0",IF(OR(J451=12,J451=13),"+1",IF(OR(J451=14,J451=15),"+2",IF(OR(J451=16,J451=17),"+3",IF(OR(J451=18,J451=19),"+4",IF(OR(J451=20,J451=21),"+5",IF(OR(J451=22,J451=23),"+6",IF(OR(J451=24,J451=25),"+7",IF(OR(J451=26,J451=27),"+8",IF(OR(J451=28,J451=29),"+9",IF(J451=30,"+10"," "))))))))))))))))</f>
        <v>-4</v>
      </c>
      <c r="L451" s="3" t="n">
        <v>16</v>
      </c>
      <c r="M451" s="1" t="str">
        <f aca="false">IF(L451=1,"-5",IF(OR(L451=2,L451=3),"-4",IF(OR(L451=4,L451=5),"-3",IF(OR(L451=6,L451=7),"-2",IF(OR(L451=8,L451=9),"-1",IF(OR(L451=10,L451=11),"0",IF(OR(L451=12,L451=13),"+1",IF(OR(L451=14,L451=15),"+2",IF(OR(L451=16,L451=17),"+3",IF(OR(L451=18,L451=19),"+4",IF(OR(L451=20,L451=21),"+5",IF(OR(L451=22,L451=23),"+6",IF(OR(L451=24,L451=25),"+7",IF(OR(L451=26,L451=27),"+8",IF(OR(L451=28,L451=29),"+9",IF(L451=30,"+10"," "))))))))))))))))</f>
        <v>+3</v>
      </c>
      <c r="N451" s="3" t="n">
        <v>9</v>
      </c>
      <c r="O451" s="1" t="str">
        <f aca="false">IF(N451=1,"-5",IF(OR(N451=2,N451=3),"-4",IF(OR(N451=4,N451=5),"-3",IF(OR(N451=6,N451=7),"-2",IF(OR(N451=8,N451=9),"-1",IF(OR(N451=10,N451=11),"0",IF(OR(N451=12,N451=13),"+1",IF(OR(N451=14,N451=15),"+2",IF(OR(N451=16,N451=17),"+3",IF(OR(N451=18,N451=19),"+4",IF(OR(N451=20,N451=21),"+5",IF(OR(N451=22,N451=23),"+6",IF(OR(N451=24,N451=25),"+7",IF(OR(N451=26,N451=27),"+8",IF(OR(N451=28,N451=29),"+9",IF(N451=30,"+10"," "))))))))))))))))</f>
        <v>-1</v>
      </c>
      <c r="P451" s="3" t="n">
        <v>1</v>
      </c>
      <c r="Q451" s="1" t="str">
        <f aca="false">IF(P451=1,"-5",IF(OR(P451=2,P451=3),"-4",IF(OR(P451=4,P451=5),"-3",IF(OR(P451=6,P451=7),"-2",IF(OR(P451=8,P451=9),"-1",IF(OR(P451=10,P451=11),"0",IF(OR(P451=12,P451=13),"+1",IF(OR(P451=14,P451=15),"+2",IF(OR(P451=16,P451=17),"+3",IF(OR(P451=18,P451=19),"+4",IF(OR(P451=20,P451=21),"+5",IF(OR(P451=22,P451=23),"+6",IF(OR(P451=24,P451=25),"+7",IF(OR(P451=26,P451=27),"+8",IF(OR(P451=28,P451=29),"+9",IF(P451=30,"+10"," "))))))))))))))))</f>
        <v>-5</v>
      </c>
      <c r="R451" s="3" t="n">
        <v>7</v>
      </c>
      <c r="S451" s="1" t="str">
        <f aca="false">IF(R451=1,"-5",IF(OR(R451=2,R451=3),"-4",IF(OR(R451=4,R451=5),"-3",IF(OR(R451=6,R451=7),"-2",IF(OR(R451=8,R451=9),"-1",IF(OR(R451=10,R451=11),"0",IF(OR(R451=12,R451=13),"+1",IF(OR(R451=14,R451=15),"+2",IF(OR(R451=16,R451=17),"+3",IF(OR(R451=18,R451=19),"+4",IF(OR(R451=20,R451=21),"+5",IF(OR(R451=22,R451=23),"+6",IF(OR(R451=24,R451=25),"+7",IF(OR(R451=26,R451=27),"+8",IF(OR(R451=28,R451=29),"+9",IF(R451=30,"+10"," "))))))))))))))))</f>
        <v>-2</v>
      </c>
      <c r="T451" s="3" t="n">
        <v>2</v>
      </c>
      <c r="U451" s="1" t="str">
        <f aca="false">IF(T451=1,"-5",IF(OR(T451=2,T451=3),"-4",IF(OR(T451=4,T451=5),"-3",IF(OR(T451=6,T451=7),"-2",IF(OR(T451=8,T451=9),"-1",IF(OR(T451=10,T451=11),"0",IF(OR(T451=12,T451=13),"+1",IF(OR(T451=14,T451=15),"+2",IF(OR(T451=16,T451=17),"+3",IF(OR(T451=18,T451=19),"+4",IF(OR(T451=20,T451=21),"+5",IF(OR(T451=22,T451=23),"+6",IF(OR(T451=24,T451=25),"+7",IF(OR(T451=26,T451=27),"+8",IF(OR(T451=28,T451=29),"+9",IF(T451=30,"+10"," "))))))))))))))))</f>
        <v>-4</v>
      </c>
      <c r="V451" s="3" t="s">
        <v>37</v>
      </c>
      <c r="W451" s="3" t="s">
        <v>37</v>
      </c>
      <c r="X451" s="11" t="s">
        <v>2215</v>
      </c>
      <c r="Y451" s="11" t="s">
        <v>319</v>
      </c>
      <c r="Z451" s="11" t="s">
        <v>37</v>
      </c>
      <c r="AA451" s="12" t="s">
        <v>37</v>
      </c>
    </row>
    <row r="452" customFormat="false" ht="16.4" hidden="false" customHeight="false" outlineLevel="0" collapsed="false">
      <c r="A452" s="15" t="s">
        <v>2216</v>
      </c>
      <c r="B452" s="3" t="s">
        <v>356</v>
      </c>
      <c r="C452" s="3" t="s">
        <v>29</v>
      </c>
      <c r="D452" s="16" t="n">
        <v>0.125</v>
      </c>
      <c r="E452" s="3" t="n">
        <f aca="false">VLOOKUP(D452,'[1]REF Tables'!$A$2:$B$40,2)</f>
        <v>25</v>
      </c>
      <c r="F452" s="3" t="s">
        <v>315</v>
      </c>
      <c r="G452" s="3" t="n">
        <v>15</v>
      </c>
      <c r="H452" s="3" t="s">
        <v>316</v>
      </c>
      <c r="I452" s="3" t="s">
        <v>1826</v>
      </c>
      <c r="J452" s="3" t="n">
        <v>2</v>
      </c>
      <c r="K452" s="1" t="str">
        <f aca="false">IF(J452=1,"-5",IF(OR(J452=2,J452=3),"-4",IF(OR(J452=4,J452=5),"-3",IF(OR(J452=6,J452=7),"-2",IF(OR(J452=8,J452=9),"-1",IF(OR(J452=10,J452=11),"0",IF(OR(J452=12,J452=13),"+1",IF(OR(J452=14,J452=15),"+2",IF(OR(J452=16,J452=17),"+3",IF(OR(J452=18,J452=19),"+4",IF(OR(J452=20,J452=21),"+5",IF(OR(J452=22,J452=23),"+6",IF(OR(J452=24,J452=25),"+7",IF(OR(J452=26,J452=27),"+8",IF(OR(J452=28,J452=29),"+9",IF(J452=30,"+10"," "))))))))))))))))</f>
        <v>-4</v>
      </c>
      <c r="L452" s="3" t="n">
        <v>20</v>
      </c>
      <c r="M452" s="1" t="str">
        <f aca="false">IF(L452=1,"-5",IF(OR(L452=2,L452=3),"-4",IF(OR(L452=4,L452=5),"-3",IF(OR(L452=6,L452=7),"-2",IF(OR(L452=8,L452=9),"-1",IF(OR(L452=10,L452=11),"0",IF(OR(L452=12,L452=13),"+1",IF(OR(L452=14,L452=15),"+2",IF(OR(L452=16,L452=17),"+3",IF(OR(L452=18,L452=19),"+4",IF(OR(L452=20,L452=21),"+5",IF(OR(L452=22,L452=23),"+6",IF(OR(L452=24,L452=25),"+7",IF(OR(L452=26,L452=27),"+8",IF(OR(L452=28,L452=29),"+9",IF(L452=30,"+10"," "))))))))))))))))</f>
        <v>+5</v>
      </c>
      <c r="N452" s="3" t="n">
        <v>8</v>
      </c>
      <c r="O452" s="1" t="str">
        <f aca="false">IF(N452=1,"-5",IF(OR(N452=2,N452=3),"-4",IF(OR(N452=4,N452=5),"-3",IF(OR(N452=6,N452=7),"-2",IF(OR(N452=8,N452=9),"-1",IF(OR(N452=10,N452=11),"0",IF(OR(N452=12,N452=13),"+1",IF(OR(N452=14,N452=15),"+2",IF(OR(N452=16,N452=17),"+3",IF(OR(N452=18,N452=19),"+4",IF(OR(N452=20,N452=21),"+5",IF(OR(N452=22,N452=23),"+6",IF(OR(N452=24,N452=25),"+7",IF(OR(N452=26,N452=27),"+8",IF(OR(N452=28,N452=29),"+9",IF(N452=30,"+10"," "))))))))))))))))</f>
        <v>-1</v>
      </c>
      <c r="P452" s="3" t="n">
        <v>10</v>
      </c>
      <c r="Q452" s="1" t="str">
        <f aca="false">IF(P452=1,"-5",IF(OR(P452=2,P452=3),"-4",IF(OR(P452=4,P452=5),"-3",IF(OR(P452=6,P452=7),"-2",IF(OR(P452=8,P452=9),"-1",IF(OR(P452=10,P452=11),"0",IF(OR(P452=12,P452=13),"+1",IF(OR(P452=14,P452=15),"+2",IF(OR(P452=16,P452=17),"+3",IF(OR(P452=18,P452=19),"+4",IF(OR(P452=20,P452=21),"+5",IF(OR(P452=22,P452=23),"+6",IF(OR(P452=24,P452=25),"+7",IF(OR(P452=26,P452=27),"+8",IF(OR(P452=28,P452=29),"+9",IF(P452=30,"+10"," "))))))))))))))))</f>
        <v>0</v>
      </c>
      <c r="R452" s="3" t="n">
        <v>14</v>
      </c>
      <c r="S452" s="1" t="str">
        <f aca="false">IF(R452=1,"-5",IF(OR(R452=2,R452=3),"-4",IF(OR(R452=4,R452=5),"-3",IF(OR(R452=6,R452=7),"-2",IF(OR(R452=8,R452=9),"-1",IF(OR(R452=10,R452=11),"0",IF(OR(R452=12,R452=13),"+1",IF(OR(R452=14,R452=15),"+2",IF(OR(R452=16,R452=17),"+3",IF(OR(R452=18,R452=19),"+4",IF(OR(R452=20,R452=21),"+5",IF(OR(R452=22,R452=23),"+6",IF(OR(R452=24,R452=25),"+7",IF(OR(R452=26,R452=27),"+8",IF(OR(R452=28,R452=29),"+9",IF(R452=30,"+10"," "))))))))))))))))</f>
        <v>+2</v>
      </c>
      <c r="T452" s="3" t="n">
        <v>15</v>
      </c>
      <c r="U452" s="1" t="str">
        <f aca="false">IF(T452=1,"-5",IF(OR(T452=2,T452=3),"-4",IF(OR(T452=4,T452=5),"-3",IF(OR(T452=6,T452=7),"-2",IF(OR(T452=8,T452=9),"-1",IF(OR(T452=10,T452=11),"0",IF(OR(T452=12,T452=13),"+1",IF(OR(T452=14,T452=15),"+2",IF(OR(T452=16,T452=17),"+3",IF(OR(T452=18,T452=19),"+4",IF(OR(T452=20,T452=21),"+5",IF(OR(T452=22,T452=23),"+6",IF(OR(T452=24,T452=25),"+7",IF(OR(T452=26,T452=27),"+8",IF(OR(T452=28,T452=29),"+9",IF(T452=30,"+10"," "))))))))))))))))</f>
        <v>+2</v>
      </c>
      <c r="V452" s="3" t="s">
        <v>132</v>
      </c>
      <c r="W452" s="3" t="s">
        <v>352</v>
      </c>
      <c r="X452" s="11" t="s">
        <v>2217</v>
      </c>
      <c r="Y452" s="11" t="s">
        <v>2218</v>
      </c>
      <c r="Z452" s="11" t="s">
        <v>37</v>
      </c>
      <c r="AA452" s="12" t="s">
        <v>37</v>
      </c>
    </row>
    <row r="453" customFormat="false" ht="16.4" hidden="false" customHeight="false" outlineLevel="0" collapsed="false">
      <c r="A453" s="15" t="s">
        <v>2219</v>
      </c>
      <c r="B453" s="3" t="s">
        <v>548</v>
      </c>
      <c r="C453" s="3" t="s">
        <v>502</v>
      </c>
      <c r="D453" s="16" t="n">
        <v>16</v>
      </c>
      <c r="E453" s="6" t="n">
        <f aca="false">VLOOKUP(D453,'[1]REF Tables'!$A$2:$B$40,2)</f>
        <v>15000</v>
      </c>
      <c r="F453" s="3" t="s">
        <v>50</v>
      </c>
      <c r="G453" s="3" t="n">
        <v>19</v>
      </c>
      <c r="H453" s="3" t="s">
        <v>2220</v>
      </c>
      <c r="I453" s="3" t="s">
        <v>2221</v>
      </c>
      <c r="J453" s="3" t="n">
        <v>24</v>
      </c>
      <c r="K453" s="1" t="str">
        <f aca="false">IF(J453=1,"-5",IF(OR(J453=2,J453=3),"-4",IF(OR(J453=4,J453=5),"-3",IF(OR(J453=6,J453=7),"-2",IF(OR(J453=8,J453=9),"-1",IF(OR(J453=10,J453=11),"0",IF(OR(J453=12,J453=13),"+1",IF(OR(J453=14,J453=15),"+2",IF(OR(J453=16,J453=17),"+3",IF(OR(J453=18,J453=19),"+4",IF(OR(J453=20,J453=21),"+5",IF(OR(J453=22,J453=23),"+6",IF(OR(J453=24,J453=25),"+7",IF(OR(J453=26,J453=27),"+8",IF(OR(J453=28,J453=29),"+9",IF(J453=30,"+10"," "))))))))))))))))</f>
        <v>+7</v>
      </c>
      <c r="L453" s="3" t="n">
        <v>20</v>
      </c>
      <c r="M453" s="1" t="str">
        <f aca="false">IF(L453=1,"-5",IF(OR(L453=2,L453=3),"-4",IF(OR(L453=4,L453=5),"-3",IF(OR(L453=6,L453=7),"-2",IF(OR(L453=8,L453=9),"-1",IF(OR(L453=10,L453=11),"0",IF(OR(L453=12,L453=13),"+1",IF(OR(L453=14,L453=15),"+2",IF(OR(L453=16,L453=17),"+3",IF(OR(L453=18,L453=19),"+4",IF(OR(L453=20,L453=21),"+5",IF(OR(L453=22,L453=23),"+6",IF(OR(L453=24,L453=25),"+7",IF(OR(L453=26,L453=27),"+8",IF(OR(L453=28,L453=29),"+9",IF(L453=30,"+10"," "))))))))))))))))</f>
        <v>+5</v>
      </c>
      <c r="N453" s="3" t="n">
        <v>24</v>
      </c>
      <c r="O453" s="1" t="str">
        <f aca="false">IF(N453=1,"-5",IF(OR(N453=2,N453=3),"-4",IF(OR(N453=4,N453=5),"-3",IF(OR(N453=6,N453=7),"-2",IF(OR(N453=8,N453=9),"-1",IF(OR(N453=10,N453=11),"0",IF(OR(N453=12,N453=13),"+1",IF(OR(N453=14,N453=15),"+2",IF(OR(N453=16,N453=17),"+3",IF(OR(N453=18,N453=19),"+4",IF(OR(N453=20,N453=21),"+5",IF(OR(N453=22,N453=23),"+6",IF(OR(N453=24,N453=25),"+7",IF(OR(N453=26,N453=27),"+8",IF(OR(N453=28,N453=29),"+9",IF(N453=30,"+10"," "))))))))))))))))</f>
        <v>+7</v>
      </c>
      <c r="P453" s="3" t="n">
        <v>19</v>
      </c>
      <c r="Q453" s="1" t="str">
        <f aca="false">IF(P453=1,"-5",IF(OR(P453=2,P453=3),"-4",IF(OR(P453=4,P453=5),"-3",IF(OR(P453=6,P453=7),"-2",IF(OR(P453=8,P453=9),"-1",IF(OR(P453=10,P453=11),"0",IF(OR(P453=12,P453=13),"+1",IF(OR(P453=14,P453=15),"+2",IF(OR(P453=16,P453=17),"+3",IF(OR(P453=18,P453=19),"+4",IF(OR(P453=20,P453=21),"+5",IF(OR(P453=22,P453=23),"+6",IF(OR(P453=24,P453=25),"+7",IF(OR(P453=26,P453=27),"+8",IF(OR(P453=28,P453=29),"+9",IF(P453=30,"+10"," "))))))))))))))))</f>
        <v>+4</v>
      </c>
      <c r="R453" s="3" t="n">
        <v>22</v>
      </c>
      <c r="S453" s="1" t="str">
        <f aca="false">IF(R453=1,"-5",IF(OR(R453=2,R453=3),"-4",IF(OR(R453=4,R453=5),"-3",IF(OR(R453=6,R453=7),"-2",IF(OR(R453=8,R453=9),"-1",IF(OR(R453=10,R453=11),"0",IF(OR(R453=12,R453=13),"+1",IF(OR(R453=14,R453=15),"+2",IF(OR(R453=16,R453=17),"+3",IF(OR(R453=18,R453=19),"+4",IF(OR(R453=20,R453=21),"+5",IF(OR(R453=22,R453=23),"+6",IF(OR(R453=24,R453=25),"+7",IF(OR(R453=26,R453=27),"+8",IF(OR(R453=28,R453=29),"+9",IF(R453=30,"+10"," "))))))))))))))))</f>
        <v>+6</v>
      </c>
      <c r="T453" s="3" t="n">
        <v>25</v>
      </c>
      <c r="U453" s="1" t="str">
        <f aca="false">IF(T453=1,"-5",IF(OR(T453=2,T453=3),"-4",IF(OR(T453=4,T453=5),"-3",IF(OR(T453=6,T453=7),"-2",IF(OR(T453=8,T453=9),"-1",IF(OR(T453=10,T453=11),"0",IF(OR(T453=12,T453=13),"+1",IF(OR(T453=14,T453=15),"+2",IF(OR(T453=16,T453=17),"+3",IF(OR(T453=18,T453=19),"+4",IF(OR(T453=20,T453=21),"+5",IF(OR(T453=22,T453=23),"+6",IF(OR(T453=24,T453=25),"+7",IF(OR(T453=26,T453=27),"+8",IF(OR(T453=28,T453=29),"+9",IF(T453=30,"+10"," "))))))))))))))))</f>
        <v>+7</v>
      </c>
      <c r="V453" s="3" t="s">
        <v>2222</v>
      </c>
      <c r="W453" s="3" t="s">
        <v>174</v>
      </c>
      <c r="X453" s="11" t="s">
        <v>2223</v>
      </c>
      <c r="Y453" s="11" t="s">
        <v>2224</v>
      </c>
      <c r="Z453" s="11" t="s">
        <v>37</v>
      </c>
      <c r="AA453" s="12" t="s">
        <v>37</v>
      </c>
    </row>
    <row r="454" customFormat="false" ht="16.4" hidden="false" customHeight="false" outlineLevel="0" collapsed="false">
      <c r="A454" s="15" t="s">
        <v>2225</v>
      </c>
      <c r="B454" s="3" t="s">
        <v>59</v>
      </c>
      <c r="C454" s="3" t="s">
        <v>37</v>
      </c>
      <c r="D454" s="16" t="n">
        <v>2</v>
      </c>
      <c r="E454" s="3" t="n">
        <f aca="false">VLOOKUP(D454,'[1]REF Tables'!$A$2:$B$40,2)</f>
        <v>450</v>
      </c>
      <c r="F454" s="3" t="s">
        <v>50</v>
      </c>
      <c r="G454" s="3" t="n">
        <v>13</v>
      </c>
      <c r="H454" s="3" t="s">
        <v>295</v>
      </c>
      <c r="I454" s="3" t="s">
        <v>374</v>
      </c>
      <c r="J454" s="3" t="n">
        <v>18</v>
      </c>
      <c r="K454" s="1" t="str">
        <f aca="false">IF(J454=1,"-5",IF(OR(J454=2,J454=3),"-4",IF(OR(J454=4,J454=5),"-3",IF(OR(J454=6,J454=7),"-2",IF(OR(J454=8,J454=9),"-1",IF(OR(J454=10,J454=11),"0",IF(OR(J454=12,J454=13),"+1",IF(OR(J454=14,J454=15),"+2",IF(OR(J454=16,J454=17),"+3",IF(OR(J454=18,J454=19),"+4",IF(OR(J454=20,J454=21),"+5",IF(OR(J454=22,J454=23),"+6",IF(OR(J454=24,J454=25),"+7",IF(OR(J454=26,J454=27),"+8",IF(OR(J454=28,J454=29),"+9",IF(J454=30,"+10"," "))))))))))))))))</f>
        <v>+4</v>
      </c>
      <c r="L454" s="3" t="n">
        <v>15</v>
      </c>
      <c r="M454" s="1" t="str">
        <f aca="false">IF(L454=1,"-5",IF(OR(L454=2,L454=3),"-4",IF(OR(L454=4,L454=5),"-3",IF(OR(L454=6,L454=7),"-2",IF(OR(L454=8,L454=9),"-1",IF(OR(L454=10,L454=11),"0",IF(OR(L454=12,L454=13),"+1",IF(OR(L454=14,L454=15),"+2",IF(OR(L454=16,L454=17),"+3",IF(OR(L454=18,L454=19),"+4",IF(OR(L454=20,L454=21),"+5",IF(OR(L454=22,L454=23),"+6",IF(OR(L454=24,L454=25),"+7",IF(OR(L454=26,L454=27),"+8",IF(OR(L454=28,L454=29),"+9",IF(L454=30,"+10"," "))))))))))))))))</f>
        <v>+2</v>
      </c>
      <c r="N454" s="3" t="n">
        <v>16</v>
      </c>
      <c r="O454" s="1" t="str">
        <f aca="false">IF(N454=1,"-5",IF(OR(N454=2,N454=3),"-4",IF(OR(N454=4,N454=5),"-3",IF(OR(N454=6,N454=7),"-2",IF(OR(N454=8,N454=9),"-1",IF(OR(N454=10,N454=11),"0",IF(OR(N454=12,N454=13),"+1",IF(OR(N454=14,N454=15),"+2",IF(OR(N454=16,N454=17),"+3",IF(OR(N454=18,N454=19),"+4",IF(OR(N454=20,N454=21),"+5",IF(OR(N454=22,N454=23),"+6",IF(OR(N454=24,N454=25),"+7",IF(OR(N454=26,N454=27),"+8",IF(OR(N454=28,N454=29),"+9",IF(N454=30,"+10"," "))))))))))))))))</f>
        <v>+3</v>
      </c>
      <c r="P454" s="3" t="n">
        <v>2</v>
      </c>
      <c r="Q454" s="1" t="str">
        <f aca="false">IF(P454=1,"-5",IF(OR(P454=2,P454=3),"-4",IF(OR(P454=4,P454=5),"-3",IF(OR(P454=6,P454=7),"-2",IF(OR(P454=8,P454=9),"-1",IF(OR(P454=10,P454=11),"0",IF(OR(P454=12,P454=13),"+1",IF(OR(P454=14,P454=15),"+2",IF(OR(P454=16,P454=17),"+3",IF(OR(P454=18,P454=19),"+4",IF(OR(P454=20,P454=21),"+5",IF(OR(P454=22,P454=23),"+6",IF(OR(P454=24,P454=25),"+7",IF(OR(P454=26,P454=27),"+8",IF(OR(P454=28,P454=29),"+9",IF(P454=30,"+10"," "))))))))))))))))</f>
        <v>-4</v>
      </c>
      <c r="R454" s="3" t="n">
        <v>12</v>
      </c>
      <c r="S454" s="1" t="str">
        <f aca="false">IF(R454=1,"-5",IF(OR(R454=2,R454=3),"-4",IF(OR(R454=4,R454=5),"-3",IF(OR(R454=6,R454=7),"-2",IF(OR(R454=8,R454=9),"-1",IF(OR(R454=10,R454=11),"0",IF(OR(R454=12,R454=13),"+1",IF(OR(R454=14,R454=15),"+2",IF(OR(R454=16,R454=17),"+3",IF(OR(R454=18,R454=19),"+4",IF(OR(R454=20,R454=21),"+5",IF(OR(R454=22,R454=23),"+6",IF(OR(R454=24,R454=25),"+7",IF(OR(R454=26,R454=27),"+8",IF(OR(R454=28,R454=29),"+9",IF(R454=30,"+10"," "))))))))))))))))</f>
        <v>+1</v>
      </c>
      <c r="T454" s="3" t="n">
        <v>5</v>
      </c>
      <c r="U454" s="1" t="str">
        <f aca="false">IF(T454=1,"-5",IF(OR(T454=2,T454=3),"-4",IF(OR(T454=4,T454=5),"-3",IF(OR(T454=6,T454=7),"-2",IF(OR(T454=8,T454=9),"-1",IF(OR(T454=10,T454=11),"0",IF(OR(T454=12,T454=13),"+1",IF(OR(T454=14,T454=15),"+2",IF(OR(T454=16,T454=17),"+3",IF(OR(T454=18,T454=19),"+4",IF(OR(T454=20,T454=21),"+5",IF(OR(T454=22,T454=23),"+6",IF(OR(T454=24,T454=25),"+7",IF(OR(T454=26,T454=27),"+8",IF(OR(T454=28,T454=29),"+9",IF(T454=30,"+10"," "))))))))))))))))</f>
        <v>-3</v>
      </c>
      <c r="V454" s="3" t="s">
        <v>440</v>
      </c>
      <c r="W454" s="3" t="s">
        <v>37</v>
      </c>
      <c r="X454" s="11" t="s">
        <v>2226</v>
      </c>
      <c r="Y454" s="11" t="s">
        <v>2227</v>
      </c>
      <c r="Z454" s="11" t="s">
        <v>37</v>
      </c>
      <c r="AA454" s="12" t="s">
        <v>37</v>
      </c>
    </row>
    <row r="455" customFormat="false" ht="16.4" hidden="false" customHeight="false" outlineLevel="0" collapsed="false">
      <c r="A455" s="15" t="s">
        <v>2228</v>
      </c>
      <c r="B455" s="3" t="s">
        <v>59</v>
      </c>
      <c r="C455" s="3" t="s">
        <v>37</v>
      </c>
      <c r="D455" s="16" t="n">
        <v>0.125</v>
      </c>
      <c r="E455" s="3" t="n">
        <f aca="false">VLOOKUP(D455,'[1]REF Tables'!$A$2:$B$40,2)</f>
        <v>25</v>
      </c>
      <c r="F455" s="3" t="s">
        <v>30</v>
      </c>
      <c r="G455" s="3" t="n">
        <v>10</v>
      </c>
      <c r="H455" s="3" t="s">
        <v>152</v>
      </c>
      <c r="I455" s="3" t="s">
        <v>224</v>
      </c>
      <c r="J455" s="3" t="n">
        <v>15</v>
      </c>
      <c r="K455" s="1" t="str">
        <f aca="false">IF(J455=1,"-5",IF(OR(J455=2,J455=3),"-4",IF(OR(J455=4,J455=5),"-3",IF(OR(J455=6,J455=7),"-2",IF(OR(J455=8,J455=9),"-1",IF(OR(J455=10,J455=11),"0",IF(OR(J455=12,J455=13),"+1",IF(OR(J455=14,J455=15),"+2",IF(OR(J455=16,J455=17),"+3",IF(OR(J455=18,J455=19),"+4",IF(OR(J455=20,J455=21),"+5",IF(OR(J455=22,J455=23),"+6",IF(OR(J455=24,J455=25),"+7",IF(OR(J455=26,J455=27),"+8",IF(OR(J455=28,J455=29),"+9",IF(J455=30,"+10"," "))))))))))))))))</f>
        <v>+2</v>
      </c>
      <c r="L455" s="3" t="n">
        <v>10</v>
      </c>
      <c r="M455" s="1" t="str">
        <f aca="false">IF(L455=1,"-5",IF(OR(L455=2,L455=3),"-4",IF(OR(L455=4,L455=5),"-3",IF(OR(L455=6,L455=7),"-2",IF(OR(L455=8,L455=9),"-1",IF(OR(L455=10,L455=11),"0",IF(OR(L455=12,L455=13),"+1",IF(OR(L455=14,L455=15),"+2",IF(OR(L455=16,L455=17),"+3",IF(OR(L455=18,L455=19),"+4",IF(OR(L455=20,L455=21),"+5",IF(OR(L455=22,L455=23),"+6",IF(OR(L455=24,L455=25),"+7",IF(OR(L455=26,L455=27),"+8",IF(OR(L455=28,L455=29),"+9",IF(L455=30,"+10"," "))))))))))))))))</f>
        <v>0</v>
      </c>
      <c r="N455" s="3" t="n">
        <v>13</v>
      </c>
      <c r="O455" s="1" t="str">
        <f aca="false">IF(N455=1,"-5",IF(OR(N455=2,N455=3),"-4",IF(OR(N455=4,N455=5),"-3",IF(OR(N455=6,N455=7),"-2",IF(OR(N455=8,N455=9),"-1",IF(OR(N455=10,N455=11),"0",IF(OR(N455=12,N455=13),"+1",IF(OR(N455=14,N455=15),"+2",IF(OR(N455=16,N455=17),"+3",IF(OR(N455=18,N455=19),"+4",IF(OR(N455=20,N455=21),"+5",IF(OR(N455=22,N455=23),"+6",IF(OR(N455=24,N455=25),"+7",IF(OR(N455=26,N455=27),"+8",IF(OR(N455=28,N455=29),"+9",IF(N455=30,"+10"," "))))))))))))))))</f>
        <v>+1</v>
      </c>
      <c r="P455" s="3" t="n">
        <v>2</v>
      </c>
      <c r="Q455" s="1" t="str">
        <f aca="false">IF(P455=1,"-5",IF(OR(P455=2,P455=3),"-4",IF(OR(P455=4,P455=5),"-3",IF(OR(P455=6,P455=7),"-2",IF(OR(P455=8,P455=9),"-1",IF(OR(P455=10,P455=11),"0",IF(OR(P455=12,P455=13),"+1",IF(OR(P455=14,P455=15),"+2",IF(OR(P455=16,P455=17),"+3",IF(OR(P455=18,P455=19),"+4",IF(OR(P455=20,P455=21),"+5",IF(OR(P455=22,P455=23),"+6",IF(OR(P455=24,P455=25),"+7",IF(OR(P455=26,P455=27),"+8",IF(OR(P455=28,P455=29),"+9",IF(P455=30,"+10"," "))))))))))))))))</f>
        <v>-4</v>
      </c>
      <c r="R455" s="3" t="n">
        <v>11</v>
      </c>
      <c r="S455" s="1" t="str">
        <f aca="false">IF(R455=1,"-5",IF(OR(R455=2,R455=3),"-4",IF(OR(R455=4,R455=5),"-3",IF(OR(R455=6,R455=7),"-2",IF(OR(R455=8,R455=9),"-1",IF(OR(R455=10,R455=11),"0",IF(OR(R455=12,R455=13),"+1",IF(OR(R455=14,R455=15),"+2",IF(OR(R455=16,R455=17),"+3",IF(OR(R455=18,R455=19),"+4",IF(OR(R455=20,R455=21),"+5",IF(OR(R455=22,R455=23),"+6",IF(OR(R455=24,R455=25),"+7",IF(OR(R455=26,R455=27),"+8",IF(OR(R455=28,R455=29),"+9",IF(R455=30,"+10"," "))))))))))))))))</f>
        <v>0</v>
      </c>
      <c r="T455" s="3" t="n">
        <v>7</v>
      </c>
      <c r="U455" s="1" t="str">
        <f aca="false">IF(T455=1,"-5",IF(OR(T455=2,T455=3),"-4",IF(OR(T455=4,T455=5),"-3",IF(OR(T455=6,T455=7),"-2",IF(OR(T455=8,T455=9),"-1",IF(OR(T455=10,T455=11),"0",IF(OR(T455=12,T455=13),"+1",IF(OR(T455=14,T455=15),"+2",IF(OR(T455=16,T455=17),"+3",IF(OR(T455=18,T455=19),"+4",IF(OR(T455=20,T455=21),"+5",IF(OR(T455=22,T455=23),"+6",IF(OR(T455=24,T455=25),"+7",IF(OR(T455=26,T455=27),"+8",IF(OR(T455=28,T455=29),"+9",IF(T455=30,"+10"," "))))))))))))))))</f>
        <v>-2</v>
      </c>
      <c r="V455" s="3" t="s">
        <v>37</v>
      </c>
      <c r="W455" s="3" t="s">
        <v>37</v>
      </c>
      <c r="X455" s="11" t="s">
        <v>305</v>
      </c>
      <c r="Y455" s="11" t="s">
        <v>2229</v>
      </c>
      <c r="Z455" s="11" t="s">
        <v>37</v>
      </c>
      <c r="AA455" s="12" t="s">
        <v>37</v>
      </c>
    </row>
    <row r="456" customFormat="false" ht="16.4" hidden="false" customHeight="false" outlineLevel="0" collapsed="false">
      <c r="A456" s="15" t="s">
        <v>2230</v>
      </c>
      <c r="B456" s="3" t="s">
        <v>595</v>
      </c>
      <c r="C456" s="3" t="s">
        <v>37</v>
      </c>
      <c r="D456" s="16" t="n">
        <v>4</v>
      </c>
      <c r="E456" s="6" t="n">
        <f aca="false">VLOOKUP(D456,'[1]REF Tables'!$A$2:$B$40,2)</f>
        <v>1100</v>
      </c>
      <c r="F456" s="3" t="s">
        <v>50</v>
      </c>
      <c r="G456" s="3" t="n">
        <v>7</v>
      </c>
      <c r="H456" s="3" t="s">
        <v>1225</v>
      </c>
      <c r="I456" s="3" t="s">
        <v>563</v>
      </c>
      <c r="J456" s="3" t="n">
        <v>16</v>
      </c>
      <c r="K456" s="1" t="str">
        <f aca="false">IF(J456=1,"-5",IF(OR(J456=2,J456=3),"-4",IF(OR(J456=4,J456=5),"-3",IF(OR(J456=6,J456=7),"-2",IF(OR(J456=8,J456=9),"-1",IF(OR(J456=10,J456=11),"0",IF(OR(J456=12,J456=13),"+1",IF(OR(J456=14,J456=15),"+2",IF(OR(J456=16,J456=17),"+3",IF(OR(J456=18,J456=19),"+4",IF(OR(J456=20,J456=21),"+5",IF(OR(J456=22,J456=23),"+6",IF(OR(J456=24,J456=25),"+7",IF(OR(J456=26,J456=27),"+8",IF(OR(J456=28,J456=29),"+9",IF(J456=30,"+10"," "))))))))))))))))</f>
        <v>+3</v>
      </c>
      <c r="L456" s="3" t="n">
        <v>5</v>
      </c>
      <c r="M456" s="1" t="str">
        <f aca="false">IF(L456=1,"-5",IF(OR(L456=2,L456=3),"-4",IF(OR(L456=4,L456=5),"-3",IF(OR(L456=6,L456=7),"-2",IF(OR(L456=8,L456=9),"-1",IF(OR(L456=10,L456=11),"0",IF(OR(L456=12,L456=13),"+1",IF(OR(L456=14,L456=15),"+2",IF(OR(L456=16,L456=17),"+3",IF(OR(L456=18,L456=19),"+4",IF(OR(L456=20,L456=21),"+5",IF(OR(L456=22,L456=23),"+6",IF(OR(L456=24,L456=25),"+7",IF(OR(L456=26,L456=27),"+8",IF(OR(L456=28,L456=29),"+9",IF(L456=30,"+10"," "))))))))))))))))</f>
        <v>-3</v>
      </c>
      <c r="N456" s="3" t="n">
        <v>16</v>
      </c>
      <c r="O456" s="1" t="str">
        <f aca="false">IF(N456=1,"-5",IF(OR(N456=2,N456=3),"-4",IF(OR(N456=4,N456=5),"-3",IF(OR(N456=6,N456=7),"-2",IF(OR(N456=8,N456=9),"-1",IF(OR(N456=10,N456=11),"0",IF(OR(N456=12,N456=13),"+1",IF(OR(N456=14,N456=15),"+2",IF(OR(N456=16,N456=17),"+3",IF(OR(N456=18,N456=19),"+4",IF(OR(N456=20,N456=21),"+5",IF(OR(N456=22,N456=23),"+6",IF(OR(N456=24,N456=25),"+7",IF(OR(N456=26,N456=27),"+8",IF(OR(N456=28,N456=29),"+9",IF(N456=30,"+10"," "))))))))))))))))</f>
        <v>+3</v>
      </c>
      <c r="P456" s="3" t="n">
        <v>1</v>
      </c>
      <c r="Q456" s="1" t="str">
        <f aca="false">IF(P456=1,"-5",IF(OR(P456=2,P456=3),"-4",IF(OR(P456=4,P456=5),"-3",IF(OR(P456=6,P456=7),"-2",IF(OR(P456=8,P456=9),"-1",IF(OR(P456=10,P456=11),"0",IF(OR(P456=12,P456=13),"+1",IF(OR(P456=14,P456=15),"+2",IF(OR(P456=16,P456=17),"+3",IF(OR(P456=18,P456=19),"+4",IF(OR(P456=20,P456=21),"+5",IF(OR(P456=22,P456=23),"+6",IF(OR(P456=24,P456=25),"+7",IF(OR(P456=26,P456=27),"+8",IF(OR(P456=28,P456=29),"+9",IF(P456=30,"+10"," "))))))))))))))))</f>
        <v>-5</v>
      </c>
      <c r="R456" s="3" t="n">
        <v>6</v>
      </c>
      <c r="S456" s="1" t="str">
        <f aca="false">IF(R456=1,"-5",IF(OR(R456=2,R456=3),"-4",IF(OR(R456=4,R456=5),"-3",IF(OR(R456=6,R456=7),"-2",IF(OR(R456=8,R456=9),"-1",IF(OR(R456=10,R456=11),"0",IF(OR(R456=12,R456=13),"+1",IF(OR(R456=14,R456=15),"+2",IF(OR(R456=16,R456=17),"+3",IF(OR(R456=18,R456=19),"+4",IF(OR(R456=20,R456=21),"+5",IF(OR(R456=22,R456=23),"+6",IF(OR(R456=24,R456=25),"+7",IF(OR(R456=26,R456=27),"+8",IF(OR(R456=28,R456=29),"+9",IF(R456=30,"+10"," "))))))))))))))))</f>
        <v>-2</v>
      </c>
      <c r="T456" s="3" t="n">
        <v>1</v>
      </c>
      <c r="U456" s="1" t="str">
        <f aca="false">IF(T456=1,"-5",IF(OR(T456=2,T456=3),"-4",IF(OR(T456=4,T456=5),"-3",IF(OR(T456=6,T456=7),"-2",IF(OR(T456=8,T456=9),"-1",IF(OR(T456=10,T456=11),"0",IF(OR(T456=12,T456=13),"+1",IF(OR(T456=14,T456=15),"+2",IF(OR(T456=16,T456=17),"+3",IF(OR(T456=18,T456=19),"+4",IF(OR(T456=20,T456=21),"+5",IF(OR(T456=22,T456=23),"+6",IF(OR(T456=24,T456=25),"+7",IF(OR(T456=26,T456=27),"+8",IF(OR(T456=28,T456=29),"+9",IF(T456=30,"+10"," "))))))))))))))))</f>
        <v>-5</v>
      </c>
      <c r="V456" s="3" t="s">
        <v>37</v>
      </c>
      <c r="W456" s="3" t="s">
        <v>37</v>
      </c>
      <c r="X456" s="11" t="s">
        <v>2231</v>
      </c>
      <c r="Y456" s="11" t="s">
        <v>2232</v>
      </c>
      <c r="Z456" s="11" t="s">
        <v>2233</v>
      </c>
      <c r="AA456" s="12" t="s">
        <v>37</v>
      </c>
    </row>
    <row r="457" customFormat="false" ht="120.85" hidden="false" customHeight="false" outlineLevel="0" collapsed="false">
      <c r="A457" s="15" t="s">
        <v>2234</v>
      </c>
      <c r="B457" s="3" t="s">
        <v>356</v>
      </c>
      <c r="C457" s="3" t="s">
        <v>222</v>
      </c>
      <c r="D457" s="16" t="n">
        <v>1</v>
      </c>
      <c r="E457" s="3" t="n">
        <f aca="false">VLOOKUP(D457,'[1]REF Tables'!$A$2:$B$40,2)</f>
        <v>200</v>
      </c>
      <c r="F457" s="3" t="s">
        <v>315</v>
      </c>
      <c r="G457" s="3" t="n">
        <v>16</v>
      </c>
      <c r="H457" s="3" t="s">
        <v>736</v>
      </c>
      <c r="I457" s="3" t="s">
        <v>2235</v>
      </c>
      <c r="J457" s="3" t="n">
        <v>4</v>
      </c>
      <c r="K457" s="1" t="str">
        <f aca="false">IF(J457=1,"-5",IF(OR(J457=2,J457=3),"-4",IF(OR(J457=4,J457=5),"-3",IF(OR(J457=6,J457=7),"-2",IF(OR(J457=8,J457=9),"-1",IF(OR(J457=10,J457=11),"0",IF(OR(J457=12,J457=13),"+1",IF(OR(J457=14,J457=15),"+2",IF(OR(J457=16,J457=17),"+3",IF(OR(J457=18,J457=19),"+4",IF(OR(J457=20,J457=21),"+5",IF(OR(J457=22,J457=23),"+6",IF(OR(J457=24,J457=25),"+7",IF(OR(J457=26,J457=27),"+8",IF(OR(J457=28,J457=29),"+9",IF(J457=30,"+10"," "))))))))))))))))</f>
        <v>-3</v>
      </c>
      <c r="L457" s="3" t="n">
        <v>23</v>
      </c>
      <c r="M457" s="1" t="str">
        <f aca="false">IF(L457=1,"-5",IF(OR(L457=2,L457=3),"-4",IF(OR(L457=4,L457=5),"-3",IF(OR(L457=6,L457=7),"-2",IF(OR(L457=8,L457=9),"-1",IF(OR(L457=10,L457=11),"0",IF(OR(L457=12,L457=13),"+1",IF(OR(L457=14,L457=15),"+2",IF(OR(L457=16,L457=17),"+3",IF(OR(L457=18,L457=19),"+4",IF(OR(L457=20,L457=21),"+5",IF(OR(L457=22,L457=23),"+6",IF(OR(L457=24,L457=25),"+7",IF(OR(L457=26,L457=27),"+8",IF(OR(L457=28,L457=29),"+9",IF(L457=30,"+10"," "))))))))))))))))</f>
        <v>+6</v>
      </c>
      <c r="N457" s="3" t="n">
        <v>13</v>
      </c>
      <c r="O457" s="1" t="str">
        <f aca="false">IF(N457=1,"-5",IF(OR(N457=2,N457=3),"-4",IF(OR(N457=4,N457=5),"-3",IF(OR(N457=6,N457=7),"-2",IF(OR(N457=8,N457=9),"-1",IF(OR(N457=10,N457=11),"0",IF(OR(N457=12,N457=13),"+1",IF(OR(N457=14,N457=15),"+2",IF(OR(N457=16,N457=17),"+3",IF(OR(N457=18,N457=19),"+4",IF(OR(N457=20,N457=21),"+5",IF(OR(N457=22,N457=23),"+6",IF(OR(N457=24,N457=25),"+7",IF(OR(N457=26,N457=27),"+8",IF(OR(N457=28,N457=29),"+9",IF(N457=30,"+10"," "))))))))))))))))</f>
        <v>+1</v>
      </c>
      <c r="P457" s="3" t="n">
        <v>10</v>
      </c>
      <c r="Q457" s="1" t="str">
        <f aca="false">IF(P457=1,"-5",IF(OR(P457=2,P457=3),"-4",IF(OR(P457=4,P457=5),"-3",IF(OR(P457=6,P457=7),"-2",IF(OR(P457=8,P457=9),"-1",IF(OR(P457=10,P457=11),"0",IF(OR(P457=12,P457=13),"+1",IF(OR(P457=14,P457=15),"+2",IF(OR(P457=16,P457=17),"+3",IF(OR(P457=18,P457=19),"+4",IF(OR(P457=20,P457=21),"+5",IF(OR(P457=22,P457=23),"+6",IF(OR(P457=24,P457=25),"+7",IF(OR(P457=26,P457=27),"+8",IF(OR(P457=28,P457=29),"+9",IF(P457=30,"+10"," "))))))))))))))))</f>
        <v>0</v>
      </c>
      <c r="R457" s="3" t="n">
        <v>12</v>
      </c>
      <c r="S457" s="1" t="str">
        <f aca="false">IF(R457=1,"-5",IF(OR(R457=2,R457=3),"-4",IF(OR(R457=4,R457=5),"-3",IF(OR(R457=6,R457=7),"-2",IF(OR(R457=8,R457=9),"-1",IF(OR(R457=10,R457=11),"0",IF(OR(R457=12,R457=13),"+1",IF(OR(R457=14,R457=15),"+2",IF(OR(R457=16,R457=17),"+3",IF(OR(R457=18,R457=19),"+4",IF(OR(R457=20,R457=21),"+5",IF(OR(R457=22,R457=23),"+6",IF(OR(R457=24,R457=25),"+7",IF(OR(R457=26,R457=27),"+8",IF(OR(R457=28,R457=29),"+9",IF(R457=30,"+10"," "))))))))))))))))</f>
        <v>+1</v>
      </c>
      <c r="T457" s="3" t="n">
        <v>7</v>
      </c>
      <c r="U457" s="1" t="str">
        <f aca="false">IF(T457=1,"-5",IF(OR(T457=2,T457=3),"-4",IF(OR(T457=4,T457=5),"-3",IF(OR(T457=6,T457=7),"-2",IF(OR(T457=8,T457=9),"-1",IF(OR(T457=10,T457=11),"0",IF(OR(T457=12,T457=13),"+1",IF(OR(T457=14,T457=15),"+2",IF(OR(T457=16,T457=17),"+3",IF(OR(T457=18,T457=19),"+4",IF(OR(T457=20,T457=21),"+5",IF(OR(T457=22,T457=23),"+6",IF(OR(T457=24,T457=25),"+7",IF(OR(T457=26,T457=27),"+8",IF(OR(T457=28,T457=29),"+9",IF(T457=30,"+10"," "))))))))))))))))</f>
        <v>-2</v>
      </c>
      <c r="V457" s="20" t="s">
        <v>2236</v>
      </c>
      <c r="W457" s="3" t="s">
        <v>360</v>
      </c>
      <c r="X457" s="11" t="s">
        <v>2237</v>
      </c>
      <c r="Y457" s="11" t="s">
        <v>2238</v>
      </c>
      <c r="Z457" s="11" t="s">
        <v>37</v>
      </c>
      <c r="AA457" s="12" t="s">
        <v>37</v>
      </c>
      <c r="AB457" s="1"/>
      <c r="AC457" s="1"/>
      <c r="AD457" s="1"/>
      <c r="AE457" s="1"/>
      <c r="AF457" s="1"/>
    </row>
    <row r="458" customFormat="false" ht="76.1" hidden="false" customHeight="false" outlineLevel="0" collapsed="false">
      <c r="A458" s="15" t="s">
        <v>2239</v>
      </c>
      <c r="B458" s="3" t="s">
        <v>39</v>
      </c>
      <c r="C458" s="3" t="s">
        <v>40</v>
      </c>
      <c r="D458" s="16" t="n">
        <v>2</v>
      </c>
      <c r="E458" s="3" t="n">
        <f aca="false">VLOOKUP(D458,'[1]REF Tables'!$A$2:$B$40,2)</f>
        <v>450</v>
      </c>
      <c r="F458" s="3" t="s">
        <v>30</v>
      </c>
      <c r="G458" s="3" t="n">
        <v>13</v>
      </c>
      <c r="H458" s="3" t="s">
        <v>1082</v>
      </c>
      <c r="I458" s="3" t="s">
        <v>42</v>
      </c>
      <c r="J458" s="3" t="n">
        <v>10</v>
      </c>
      <c r="K458" s="1" t="str">
        <f aca="false">IF(J458=1,"-5",IF(OR(J458=2,J458=3),"-4",IF(OR(J458=4,J458=5),"-3",IF(OR(J458=6,J458=7),"-2",IF(OR(J458=8,J458=9),"-1",IF(OR(J458=10,J458=11),"0",IF(OR(J458=12,J458=13),"+1",IF(OR(J458=14,J458=15),"+2",IF(OR(J458=16,J458=17),"+3",IF(OR(J458=18,J458=19),"+4",IF(OR(J458=20,J458=21),"+5",IF(OR(J458=22,J458=23),"+6",IF(OR(J458=24,J458=25),"+7",IF(OR(J458=26,J458=27),"+8",IF(OR(J458=28,J458=29),"+9",IF(J458=30,"+10"," "))))))))))))))))</f>
        <v>0</v>
      </c>
      <c r="L458" s="3" t="n">
        <v>10</v>
      </c>
      <c r="M458" s="1" t="str">
        <f aca="false">IF(L458=1,"-5",IF(OR(L458=2,L458=3),"-4",IF(OR(L458=4,L458=5),"-3",IF(OR(L458=6,L458=7),"-2",IF(OR(L458=8,L458=9),"-1",IF(OR(L458=10,L458=11),"0",IF(OR(L458=12,L458=13),"+1",IF(OR(L458=14,L458=15),"+2",IF(OR(L458=16,L458=17),"+3",IF(OR(L458=18,L458=19),"+4",IF(OR(L458=20,L458=21),"+5",IF(OR(L458=22,L458=23),"+6",IF(OR(L458=24,L458=25),"+7",IF(OR(L458=26,L458=27),"+8",IF(OR(L458=28,L458=29),"+9",IF(L458=30,"+10"," "))))))))))))))))</f>
        <v>0</v>
      </c>
      <c r="N458" s="3" t="n">
        <v>12</v>
      </c>
      <c r="O458" s="1" t="str">
        <f aca="false">IF(N458=1,"-5",IF(OR(N458=2,N458=3),"-4",IF(OR(N458=4,N458=5),"-3",IF(OR(N458=6,N458=7),"-2",IF(OR(N458=8,N458=9),"-1",IF(OR(N458=10,N458=11),"0",IF(OR(N458=12,N458=13),"+1",IF(OR(N458=14,N458=15),"+2",IF(OR(N458=16,N458=17),"+3",IF(OR(N458=18,N458=19),"+4",IF(OR(N458=20,N458=21),"+5",IF(OR(N458=22,N458=23),"+6",IF(OR(N458=24,N458=25),"+7",IF(OR(N458=26,N458=27),"+8",IF(OR(N458=28,N458=29),"+9",IF(N458=30,"+10"," "))))))))))))))))</f>
        <v>+1</v>
      </c>
      <c r="P458" s="3" t="n">
        <v>13</v>
      </c>
      <c r="Q458" s="1" t="str">
        <f aca="false">IF(P458=1,"-5",IF(OR(P458=2,P458=3),"-4",IF(OR(P458=4,P458=5),"-3",IF(OR(P458=6,P458=7),"-2",IF(OR(P458=8,P458=9),"-1",IF(OR(P458=10,P458=11),"0",IF(OR(P458=12,P458=13),"+1",IF(OR(P458=14,P458=15),"+2",IF(OR(P458=16,P458=17),"+3",IF(OR(P458=18,P458=19),"+4",IF(OR(P458=20,P458=21),"+5",IF(OR(P458=22,P458=23),"+6",IF(OR(P458=24,P458=25),"+7",IF(OR(P458=26,P458=27),"+8",IF(OR(P458=28,P458=29),"+9",IF(P458=30,"+10"," "))))))))))))))))</f>
        <v>+1</v>
      </c>
      <c r="R458" s="3" t="n">
        <v>16</v>
      </c>
      <c r="S458" s="1" t="str">
        <f aca="false">IF(R458=1,"-5",IF(OR(R458=2,R458=3),"-4",IF(OR(R458=4,R458=5),"-3",IF(OR(R458=6,R458=7),"-2",IF(OR(R458=8,R458=9),"-1",IF(OR(R458=10,R458=11),"0",IF(OR(R458=12,R458=13),"+1",IF(OR(R458=14,R458=15),"+2",IF(OR(R458=16,R458=17),"+3",IF(OR(R458=18,R458=19),"+4",IF(OR(R458=20,R458=21),"+5",IF(OR(R458=22,R458=23),"+6",IF(OR(R458=24,R458=25),"+7",IF(OR(R458=26,R458=27),"+8",IF(OR(R458=28,R458=29),"+9",IF(R458=30,"+10"," "))))))))))))))))</f>
        <v>+3</v>
      </c>
      <c r="T458" s="3" t="n">
        <v>13</v>
      </c>
      <c r="U458" s="1" t="str">
        <f aca="false">IF(T458=1,"-5",IF(OR(T458=2,T458=3),"-4",IF(OR(T458=4,T458=5),"-3",IF(OR(T458=6,T458=7),"-2",IF(OR(T458=8,T458=9),"-1",IF(OR(T458=10,T458=11),"0",IF(OR(T458=12,T458=13),"+1",IF(OR(T458=14,T458=15),"+2",IF(OR(T458=16,T458=17),"+3",IF(OR(T458=18,T458=19),"+4",IF(OR(T458=20,T458=21),"+5",IF(OR(T458=22,T458=23),"+6",IF(OR(T458=24,T458=25),"+7",IF(OR(T458=26,T458=27),"+8",IF(OR(T458=28,T458=29),"+9",IF(T458=30,"+10"," "))))))))))))))))</f>
        <v>+1</v>
      </c>
      <c r="V458" s="20" t="s">
        <v>2240</v>
      </c>
      <c r="W458" s="3" t="s">
        <v>265</v>
      </c>
      <c r="X458" s="11" t="s">
        <v>2241</v>
      </c>
      <c r="Y458" s="11" t="s">
        <v>2242</v>
      </c>
      <c r="Z458" s="11" t="s">
        <v>37</v>
      </c>
      <c r="AA458" s="12" t="s">
        <v>37</v>
      </c>
    </row>
    <row r="459" customFormat="false" ht="76.1" hidden="false" customHeight="false" outlineLevel="0" collapsed="false">
      <c r="A459" s="7" t="s">
        <v>2243</v>
      </c>
      <c r="B459" s="1" t="s">
        <v>2244</v>
      </c>
      <c r="C459" s="1" t="s">
        <v>40</v>
      </c>
      <c r="D459" s="8" t="n">
        <v>9</v>
      </c>
      <c r="E459" s="9" t="n">
        <f aca="false">VLOOKUP(D459,'[1]REF Tables'!$A$2:$B$40,2)</f>
        <v>5000</v>
      </c>
      <c r="F459" s="1" t="s">
        <v>30</v>
      </c>
      <c r="G459" s="10" t="n">
        <v>18</v>
      </c>
      <c r="H459" s="1" t="s">
        <v>2245</v>
      </c>
      <c r="I459" s="1" t="s">
        <v>42</v>
      </c>
      <c r="J459" s="10" t="n">
        <v>16</v>
      </c>
      <c r="K459" s="1" t="str">
        <f aca="false">IF(J459=1,"-5",IF(OR(J459=2,J459=3),"-4",IF(OR(J459=4,J459=5),"-3",IF(OR(J459=6,J459=7),"-2",IF(OR(J459=8,J459=9),"-1",IF(OR(J459=10,J459=11),"0",IF(OR(J459=12,J459=13),"+1",IF(OR(J459=14,J459=15),"+2",IF(OR(J459=16,J459=17),"+3",IF(OR(J459=18,J459=19),"+4",IF(OR(J459=20,J459=21),"+5",IF(OR(J459=22,J459=23),"+6",IF(OR(J459=24,J459=25),"+7",IF(OR(J459=26,J459=27),"+8",IF(OR(J459=28,J459=29),"+9",IF(J459=30,"+10"," "))))))))))))))))</f>
        <v>+3</v>
      </c>
      <c r="L459" s="10" t="n">
        <v>10</v>
      </c>
      <c r="M459" s="1" t="str">
        <f aca="false">IF(L459=1,"-5",IF(OR(L459=2,L459=3),"-4",IF(OR(L459=4,L459=5),"-3",IF(OR(L459=6,L459=7),"-2",IF(OR(L459=8,L459=9),"-1",IF(OR(L459=10,L459=11),"0",IF(OR(L459=12,L459=13),"+1",IF(OR(L459=14,L459=15),"+2",IF(OR(L459=16,L459=17),"+3",IF(OR(L459=18,L459=19),"+4",IF(OR(L459=20,L459=21),"+5",IF(OR(L459=22,L459=23),"+6",IF(OR(L459=24,L459=25),"+7",IF(OR(L459=26,L459=27),"+8",IF(OR(L459=28,L459=29),"+9",IF(L459=30,"+10"," "))))))))))))))))</f>
        <v>0</v>
      </c>
      <c r="N459" s="10" t="n">
        <v>14</v>
      </c>
      <c r="O459" s="1" t="str">
        <f aca="false">IF(N459=1,"-5",IF(OR(N459=2,N459=3),"-4",IF(OR(N459=4,N459=5),"-3",IF(OR(N459=6,N459=7),"-2",IF(OR(N459=8,N459=9),"-1",IF(OR(N459=10,N459=11),"0",IF(OR(N459=12,N459=13),"+1",IF(OR(N459=14,N459=15),"+2",IF(OR(N459=16,N459=17),"+3",IF(OR(N459=18,N459=19),"+4",IF(OR(N459=20,N459=21),"+5",IF(OR(N459=22,N459=23),"+6",IF(OR(N459=24,N459=25),"+7",IF(OR(N459=26,N459=27),"+8",IF(OR(N459=28,N459=29),"+9",IF(N459=30,"+10"," "))))))))))))))))</f>
        <v>+2</v>
      </c>
      <c r="P459" s="10" t="n">
        <v>11</v>
      </c>
      <c r="Q459" s="1" t="str">
        <f aca="false">IF(P459=1,"-5",IF(OR(P459=2,P459=3),"-4",IF(OR(P459=4,P459=5),"-3",IF(OR(P459=6,P459=7),"-2",IF(OR(P459=8,P459=9),"-1",IF(OR(P459=10,P459=11),"0",IF(OR(P459=12,P459=13),"+1",IF(OR(P459=14,P459=15),"+2",IF(OR(P459=16,P459=17),"+3",IF(OR(P459=18,P459=19),"+4",IF(OR(P459=20,P459=21),"+5",IF(OR(P459=22,P459=23),"+6",IF(OR(P459=24,P459=25),"+7",IF(OR(P459=26,P459=27),"+8",IF(OR(P459=28,P459=29),"+9",IF(P459=30,"+10"," "))))))))))))))))</f>
        <v>0</v>
      </c>
      <c r="R459" s="10" t="n">
        <v>17</v>
      </c>
      <c r="S459" s="1" t="str">
        <f aca="false">IF(R459=1,"-5",IF(OR(R459=2,R459=3),"-4",IF(OR(R459=4,R459=5),"-3",IF(OR(R459=6,R459=7),"-2",IF(OR(R459=8,R459=9),"-1",IF(OR(R459=10,R459=11),"0",IF(OR(R459=12,R459=13),"+1",IF(OR(R459=14,R459=15),"+2",IF(OR(R459=16,R459=17),"+3",IF(OR(R459=18,R459=19),"+4",IF(OR(R459=20,R459=21),"+5",IF(OR(R459=22,R459=23),"+6",IF(OR(R459=24,R459=25),"+7",IF(OR(R459=26,R459=27),"+8",IF(OR(R459=28,R459=29),"+9",IF(R459=30,"+10"," "))))))))))))))))</f>
        <v>+3</v>
      </c>
      <c r="T459" s="10" t="n">
        <v>13</v>
      </c>
      <c r="U459" s="1" t="str">
        <f aca="false">IF(T459=1,"-5",IF(OR(T459=2,T459=3),"-4",IF(OR(T459=4,T459=5),"-3",IF(OR(T459=6,T459=7),"-2",IF(OR(T459=8,T459=9),"-1",IF(OR(T459=10,T459=11),"0",IF(OR(T459=12,T459=13),"+1",IF(OR(T459=14,T459=15),"+2",IF(OR(T459=16,T459=17),"+3",IF(OR(T459=18,T459=19),"+4",IF(OR(T459=20,T459=21),"+5",IF(OR(T459=22,T459=23),"+6",IF(OR(T459=24,T459=25),"+7",IF(OR(T459=26,T459=27),"+8",IF(OR(T459=28,T459=29),"+9",IF(T459=30,"+10"," "))))))))))))))))</f>
        <v>+1</v>
      </c>
      <c r="V459" s="21" t="s">
        <v>2246</v>
      </c>
      <c r="W459" s="1" t="s">
        <v>265</v>
      </c>
      <c r="X459" s="11" t="s">
        <v>1218</v>
      </c>
      <c r="Y459" s="11" t="s">
        <v>2247</v>
      </c>
      <c r="Z459" s="11" t="s">
        <v>37</v>
      </c>
      <c r="AA459" s="12" t="s">
        <v>37</v>
      </c>
      <c r="AB459" s="1"/>
      <c r="AC459" s="1"/>
      <c r="AD459" s="1"/>
      <c r="AE459" s="1"/>
      <c r="AF459" s="1"/>
    </row>
    <row r="460" customFormat="false" ht="16.4" hidden="false" customHeight="false" outlineLevel="0" collapsed="false">
      <c r="A460" s="15" t="s">
        <v>2243</v>
      </c>
      <c r="B460" s="3" t="s">
        <v>39</v>
      </c>
      <c r="C460" s="3" t="s">
        <v>40</v>
      </c>
      <c r="D460" s="16" t="n">
        <v>9</v>
      </c>
      <c r="E460" s="6" t="n">
        <f aca="false">VLOOKUP(D460,'[1]REF Tables'!$A$2:$B$40,2)</f>
        <v>5000</v>
      </c>
      <c r="F460" s="3" t="s">
        <v>30</v>
      </c>
      <c r="G460" s="3" t="n">
        <v>18</v>
      </c>
      <c r="H460" s="3" t="s">
        <v>2245</v>
      </c>
      <c r="I460" s="3" t="s">
        <v>42</v>
      </c>
      <c r="J460" s="3" t="n">
        <v>16</v>
      </c>
      <c r="K460" s="1" t="str">
        <f aca="false">IF(J460=1,"-5",IF(OR(J460=2,J460=3),"-4",IF(OR(J460=4,J460=5),"-3",IF(OR(J460=6,J460=7),"-2",IF(OR(J460=8,J460=9),"-1",IF(OR(J460=10,J460=11),"0",IF(OR(J460=12,J460=13),"+1",IF(OR(J460=14,J460=15),"+2",IF(OR(J460=16,J460=17),"+3",IF(OR(J460=18,J460=19),"+4",IF(OR(J460=20,J460=21),"+5",IF(OR(J460=22,J460=23),"+6",IF(OR(J460=24,J460=25),"+7",IF(OR(J460=26,J460=27),"+8",IF(OR(J460=28,J460=29),"+9",IF(J460=30,"+10"," "))))))))))))))))</f>
        <v>+3</v>
      </c>
      <c r="L460" s="3" t="n">
        <v>10</v>
      </c>
      <c r="M460" s="1" t="str">
        <f aca="false">IF(L460=1,"-5",IF(OR(L460=2,L460=3),"-4",IF(OR(L460=4,L460=5),"-3",IF(OR(L460=6,L460=7),"-2",IF(OR(L460=8,L460=9),"-1",IF(OR(L460=10,L460=11),"0",IF(OR(L460=12,L460=13),"+1",IF(OR(L460=14,L460=15),"+2",IF(OR(L460=16,L460=17),"+3",IF(OR(L460=18,L460=19),"+4",IF(OR(L460=20,L460=21),"+5",IF(OR(L460=22,L460=23),"+6",IF(OR(L460=24,L460=25),"+7",IF(OR(L460=26,L460=27),"+8",IF(OR(L460=28,L460=29),"+9",IF(L460=30,"+10"," "))))))))))))))))</f>
        <v>0</v>
      </c>
      <c r="N460" s="3" t="n">
        <v>14</v>
      </c>
      <c r="O460" s="1" t="str">
        <f aca="false">IF(N460=1,"-5",IF(OR(N460=2,N460=3),"-4",IF(OR(N460=4,N460=5),"-3",IF(OR(N460=6,N460=7),"-2",IF(OR(N460=8,N460=9),"-1",IF(OR(N460=10,N460=11),"0",IF(OR(N460=12,N460=13),"+1",IF(OR(N460=14,N460=15),"+2",IF(OR(N460=16,N460=17),"+3",IF(OR(N460=18,N460=19),"+4",IF(OR(N460=20,N460=21),"+5",IF(OR(N460=22,N460=23),"+6",IF(OR(N460=24,N460=25),"+7",IF(OR(N460=26,N460=27),"+8",IF(OR(N460=28,N460=29),"+9",IF(N460=30,"+10"," "))))))))))))))))</f>
        <v>+2</v>
      </c>
      <c r="P460" s="3" t="n">
        <v>11</v>
      </c>
      <c r="Q460" s="1" t="str">
        <f aca="false">IF(P460=1,"-5",IF(OR(P460=2,P460=3),"-4",IF(OR(P460=4,P460=5),"-3",IF(OR(P460=6,P460=7),"-2",IF(OR(P460=8,P460=9),"-1",IF(OR(P460=10,P460=11),"0",IF(OR(P460=12,P460=13),"+1",IF(OR(P460=14,P460=15),"+2",IF(OR(P460=16,P460=17),"+3",IF(OR(P460=18,P460=19),"+4",IF(OR(P460=20,P460=21),"+5",IF(OR(P460=22,P460=23),"+6",IF(OR(P460=24,P460=25),"+7",IF(OR(P460=26,P460=27),"+8",IF(OR(P460=28,P460=29),"+9",IF(P460=30,"+10"," "))))))))))))))))</f>
        <v>0</v>
      </c>
      <c r="R460" s="3" t="n">
        <v>17</v>
      </c>
      <c r="S460" s="1" t="str">
        <f aca="false">IF(R460=1,"-5",IF(OR(R460=2,R460=3),"-4",IF(OR(R460=4,R460=5),"-3",IF(OR(R460=6,R460=7),"-2",IF(OR(R460=8,R460=9),"-1",IF(OR(R460=10,R460=11),"0",IF(OR(R460=12,R460=13),"+1",IF(OR(R460=14,R460=15),"+2",IF(OR(R460=16,R460=17),"+3",IF(OR(R460=18,R460=19),"+4",IF(OR(R460=20,R460=21),"+5",IF(OR(R460=22,R460=23),"+6",IF(OR(R460=24,R460=25),"+7",IF(OR(R460=26,R460=27),"+8",IF(OR(R460=28,R460=29),"+9",IF(R460=30,"+10"," "))))))))))))))))</f>
        <v>+3</v>
      </c>
      <c r="T460" s="3" t="n">
        <v>13</v>
      </c>
      <c r="U460" s="1" t="str">
        <f aca="false">IF(T460=1,"-5",IF(OR(T460=2,T460=3),"-4",IF(OR(T460=4,T460=5),"-3",IF(OR(T460=6,T460=7),"-2",IF(OR(T460=8,T460=9),"-1",IF(OR(T460=10,T460=11),"0",IF(OR(T460=12,T460=13),"+1",IF(OR(T460=14,T460=15),"+2",IF(OR(T460=16,T460=17),"+3",IF(OR(T460=18,T460=19),"+4",IF(OR(T460=20,T460=21),"+5",IF(OR(T460=22,T460=23),"+6",IF(OR(T460=24,T460=25),"+7",IF(OR(T460=26,T460=27),"+8",IF(OR(T460=28,T460=29),"+9",IF(T460=30,"+10"," "))))))))))))))))</f>
        <v>+1</v>
      </c>
      <c r="V460" s="3" t="s">
        <v>2248</v>
      </c>
      <c r="W460" s="3" t="s">
        <v>265</v>
      </c>
      <c r="X460" s="11" t="s">
        <v>2249</v>
      </c>
      <c r="Y460" s="11" t="s">
        <v>2250</v>
      </c>
      <c r="Z460" s="11" t="s">
        <v>2251</v>
      </c>
      <c r="AA460" s="12" t="s">
        <v>37</v>
      </c>
    </row>
    <row r="461" customFormat="false" ht="16.4" hidden="false" customHeight="false" outlineLevel="0" collapsed="false">
      <c r="A461" s="15" t="s">
        <v>2252</v>
      </c>
      <c r="B461" s="3" t="s">
        <v>39</v>
      </c>
      <c r="C461" s="3" t="s">
        <v>78</v>
      </c>
      <c r="D461" s="16" t="n">
        <v>5</v>
      </c>
      <c r="E461" s="6" t="n">
        <f aca="false">VLOOKUP(D461,'[1]REF Tables'!$A$2:$B$40,2)</f>
        <v>1800</v>
      </c>
      <c r="F461" s="3" t="s">
        <v>30</v>
      </c>
      <c r="G461" s="3" t="n">
        <v>10</v>
      </c>
      <c r="H461" s="3" t="s">
        <v>178</v>
      </c>
      <c r="I461" s="3" t="s">
        <v>42</v>
      </c>
      <c r="J461" s="3" t="n">
        <v>12</v>
      </c>
      <c r="K461" s="1" t="str">
        <f aca="false">IF(J461=1,"-5",IF(OR(J461=2,J461=3),"-4",IF(OR(J461=4,J461=5),"-3",IF(OR(J461=6,J461=7),"-2",IF(OR(J461=8,J461=9),"-1",IF(OR(J461=10,J461=11),"0",IF(OR(J461=12,J461=13),"+1",IF(OR(J461=14,J461=15),"+2",IF(OR(J461=16,J461=17),"+3",IF(OR(J461=18,J461=19),"+4",IF(OR(J461=20,J461=21),"+5",IF(OR(J461=22,J461=23),"+6",IF(OR(J461=24,J461=25),"+7",IF(OR(J461=26,J461=27),"+8",IF(OR(J461=28,J461=29),"+9",IF(J461=30,"+10"," "))))))))))))))))</f>
        <v>+1</v>
      </c>
      <c r="L461" s="3" t="n">
        <v>10</v>
      </c>
      <c r="M461" s="1" t="str">
        <f aca="false">IF(L461=1,"-5",IF(OR(L461=2,L461=3),"-4",IF(OR(L461=4,L461=5),"-3",IF(OR(L461=6,L461=7),"-2",IF(OR(L461=8,L461=9),"-1",IF(OR(L461=10,L461=11),"0",IF(OR(L461=12,L461=13),"+1",IF(OR(L461=14,L461=15),"+2",IF(OR(L461=16,L461=17),"+3",IF(OR(L461=18,L461=19),"+4",IF(OR(L461=20,L461=21),"+5",IF(OR(L461=22,L461=23),"+6",IF(OR(L461=24,L461=25),"+7",IF(OR(L461=26,L461=27),"+8",IF(OR(L461=28,L461=29),"+9",IF(L461=30,"+10"," "))))))))))))))))</f>
        <v>0</v>
      </c>
      <c r="N461" s="3" t="n">
        <v>16</v>
      </c>
      <c r="O461" s="1" t="str">
        <f aca="false">IF(N461=1,"-5",IF(OR(N461=2,N461=3),"-4",IF(OR(N461=4,N461=5),"-3",IF(OR(N461=6,N461=7),"-2",IF(OR(N461=8,N461=9),"-1",IF(OR(N461=10,N461=11),"0",IF(OR(N461=12,N461=13),"+1",IF(OR(N461=14,N461=15),"+2",IF(OR(N461=16,N461=17),"+3",IF(OR(N461=18,N461=19),"+4",IF(OR(N461=20,N461=21),"+5",IF(OR(N461=22,N461=23),"+6",IF(OR(N461=24,N461=25),"+7",IF(OR(N461=26,N461=27),"+8",IF(OR(N461=28,N461=29),"+9",IF(N461=30,"+10"," "))))))))))))))))</f>
        <v>+3</v>
      </c>
      <c r="P461" s="3" t="n">
        <v>10</v>
      </c>
      <c r="Q461" s="1" t="str">
        <f aca="false">IF(P461=1,"-5",IF(OR(P461=2,P461=3),"-4",IF(OR(P461=4,P461=5),"-3",IF(OR(P461=6,P461=7),"-2",IF(OR(P461=8,P461=9),"-1",IF(OR(P461=10,P461=11),"0",IF(OR(P461=12,P461=13),"+1",IF(OR(P461=14,P461=15),"+2",IF(OR(P461=16,P461=17),"+3",IF(OR(P461=18,P461=19),"+4",IF(OR(P461=20,P461=21),"+5",IF(OR(P461=22,P461=23),"+6",IF(OR(P461=24,P461=25),"+7",IF(OR(P461=26,P461=27),"+8",IF(OR(P461=28,P461=29),"+9",IF(P461=30,"+10"," "))))))))))))))))</f>
        <v>0</v>
      </c>
      <c r="R461" s="3" t="n">
        <v>15</v>
      </c>
      <c r="S461" s="1" t="str">
        <f aca="false">IF(R461=1,"-5",IF(OR(R461=2,R461=3),"-4",IF(OR(R461=4,R461=5),"-3",IF(OR(R461=6,R461=7),"-2",IF(OR(R461=8,R461=9),"-1",IF(OR(R461=10,R461=11),"0",IF(OR(R461=12,R461=13),"+1",IF(OR(R461=14,R461=15),"+2",IF(OR(R461=16,R461=17),"+3",IF(OR(R461=18,R461=19),"+4",IF(OR(R461=20,R461=21),"+5",IF(OR(R461=22,R461=23),"+6",IF(OR(R461=24,R461=25),"+7",IF(OR(R461=26,R461=27),"+8",IF(OR(R461=28,R461=29),"+9",IF(R461=30,"+10"," "))))))))))))))))</f>
        <v>+2</v>
      </c>
      <c r="T461" s="3" t="n">
        <v>14</v>
      </c>
      <c r="U461" s="1" t="str">
        <f aca="false">IF(T461=1,"-5",IF(OR(T461=2,T461=3),"-4",IF(OR(T461=4,T461=5),"-3",IF(OR(T461=6,T461=7),"-2",IF(OR(T461=8,T461=9),"-1",IF(OR(T461=10,T461=11),"0",IF(OR(T461=12,T461=13),"+1",IF(OR(T461=14,T461=15),"+2",IF(OR(T461=16,T461=17),"+3",IF(OR(T461=18,T461=19),"+4",IF(OR(T461=20,T461=21),"+5",IF(OR(T461=22,T461=23),"+6",IF(OR(T461=24,T461=25),"+7",IF(OR(T461=26,T461=27),"+8",IF(OR(T461=28,T461=29),"+9",IF(T461=30,"+10"," "))))))))))))))))</f>
        <v>+2</v>
      </c>
      <c r="V461" s="3" t="s">
        <v>33</v>
      </c>
      <c r="W461" s="3" t="s">
        <v>265</v>
      </c>
      <c r="X461" s="11" t="s">
        <v>2253</v>
      </c>
      <c r="Y461" s="11" t="s">
        <v>2254</v>
      </c>
      <c r="Z461" s="11" t="s">
        <v>37</v>
      </c>
      <c r="AA461" s="12" t="s">
        <v>37</v>
      </c>
    </row>
    <row r="462" customFormat="false" ht="16.4" hidden="false" customHeight="false" outlineLevel="0" collapsed="false">
      <c r="A462" s="7" t="s">
        <v>2255</v>
      </c>
      <c r="B462" s="1" t="s">
        <v>105</v>
      </c>
      <c r="C462" s="1" t="s">
        <v>222</v>
      </c>
      <c r="D462" s="8" t="n">
        <v>5</v>
      </c>
      <c r="E462" s="9" t="n">
        <f aca="false">VLOOKUP(D462,'[1]REF Tables'!$A$2:$B$40,2)</f>
        <v>1800</v>
      </c>
      <c r="F462" s="1" t="s">
        <v>30</v>
      </c>
      <c r="G462" s="10" t="n">
        <v>15</v>
      </c>
      <c r="H462" s="1" t="s">
        <v>178</v>
      </c>
      <c r="I462" s="1" t="s">
        <v>534</v>
      </c>
      <c r="J462" s="10" t="n">
        <v>12</v>
      </c>
      <c r="K462" s="1" t="str">
        <f aca="false">IF(J462=1,"-5",IF(OR(J462=2,J462=3),"-4",IF(OR(J462=4,J462=5),"-3",IF(OR(J462=6,J462=7),"-2",IF(OR(J462=8,J462=9),"-1",IF(OR(J462=10,J462=11),"0",IF(OR(J462=12,J462=13),"+1",IF(OR(J462=14,J462=15),"+2",IF(OR(J462=16,J462=17),"+3",IF(OR(J462=18,J462=19),"+4",IF(OR(J462=20,J462=21),"+5",IF(OR(J462=22,J462=23),"+6",IF(OR(J462=24,J462=25),"+7",IF(OR(J462=26,J462=27),"+8",IF(OR(J462=28,J462=29),"+9",IF(J462=30,"+10"," "))))))))))))))))</f>
        <v>+1</v>
      </c>
      <c r="L462" s="10" t="n">
        <v>10</v>
      </c>
      <c r="M462" s="1" t="str">
        <f aca="false">IF(L462=1,"-5",IF(OR(L462=2,L462=3),"-4",IF(OR(L462=4,L462=5),"-3",IF(OR(L462=6,L462=7),"-2",IF(OR(L462=8,L462=9),"-1",IF(OR(L462=10,L462=11),"0",IF(OR(L462=12,L462=13),"+1",IF(OR(L462=14,L462=15),"+2",IF(OR(L462=16,L462=17),"+3",IF(OR(L462=18,L462=19),"+4",IF(OR(L462=20,L462=21),"+5",IF(OR(L462=22,L462=23),"+6",IF(OR(L462=24,L462=25),"+7",IF(OR(L462=26,L462=27),"+8",IF(OR(L462=28,L462=29),"+9",IF(L462=30,"+10"," "))))))))))))))))</f>
        <v>0</v>
      </c>
      <c r="N462" s="10" t="n">
        <v>16</v>
      </c>
      <c r="O462" s="1" t="str">
        <f aca="false">IF(N462=1,"-5",IF(OR(N462=2,N462=3),"-4",IF(OR(N462=4,N462=5),"-3",IF(OR(N462=6,N462=7),"-2",IF(OR(N462=8,N462=9),"-1",IF(OR(N462=10,N462=11),"0",IF(OR(N462=12,N462=13),"+1",IF(OR(N462=14,N462=15),"+2",IF(OR(N462=16,N462=17),"+3",IF(OR(N462=18,N462=19),"+4",IF(OR(N462=20,N462=21),"+5",IF(OR(N462=22,N462=23),"+6",IF(OR(N462=24,N462=25),"+7",IF(OR(N462=26,N462=27),"+8",IF(OR(N462=28,N462=29),"+9",IF(N462=30,"+10"," "))))))))))))))))</f>
        <v>+3</v>
      </c>
      <c r="P462" s="10" t="n">
        <v>10</v>
      </c>
      <c r="Q462" s="1" t="str">
        <f aca="false">IF(P462=1,"-5",IF(OR(P462=2,P462=3),"-4",IF(OR(P462=4,P462=5),"-3",IF(OR(P462=6,P462=7),"-2",IF(OR(P462=8,P462=9),"-1",IF(OR(P462=10,P462=11),"0",IF(OR(P462=12,P462=13),"+1",IF(OR(P462=14,P462=15),"+2",IF(OR(P462=16,P462=17),"+3",IF(OR(P462=18,P462=19),"+4",IF(OR(P462=20,P462=21),"+5",IF(OR(P462=22,P462=23),"+6",IF(OR(P462=24,P462=25),"+7",IF(OR(P462=26,P462=27),"+8",IF(OR(P462=28,P462=29),"+9",IF(P462=30,"+10"," "))))))))))))))))</f>
        <v>0</v>
      </c>
      <c r="R462" s="10" t="n">
        <v>15</v>
      </c>
      <c r="S462" s="1" t="str">
        <f aca="false">IF(R462=1,"-5",IF(OR(R462=2,R462=3),"-4",IF(OR(R462=4,R462=5),"-3",IF(OR(R462=6,R462=7),"-2",IF(OR(R462=8,R462=9),"-1",IF(OR(R462=10,R462=11),"0",IF(OR(R462=12,R462=13),"+1",IF(OR(R462=14,R462=15),"+2",IF(OR(R462=16,R462=17),"+3",IF(OR(R462=18,R462=19),"+4",IF(OR(R462=20,R462=21),"+5",IF(OR(R462=22,R462=23),"+6",IF(OR(R462=24,R462=25),"+7",IF(OR(R462=26,R462=27),"+8",IF(OR(R462=28,R462=29),"+9",IF(R462=30,"+10"," "))))))))))))))))</f>
        <v>+2</v>
      </c>
      <c r="T462" s="10" t="n">
        <v>14</v>
      </c>
      <c r="U462" s="1" t="str">
        <f aca="false">IF(T462=1,"-5",IF(OR(T462=2,T462=3),"-4",IF(OR(T462=4,T462=5),"-3",IF(OR(T462=6,T462=7),"-2",IF(OR(T462=8,T462=9),"-1",IF(OR(T462=10,T462=11),"0",IF(OR(T462=12,T462=13),"+1",IF(OR(T462=14,T462=15),"+2",IF(OR(T462=16,T462=17),"+3",IF(OR(T462=18,T462=19),"+4",IF(OR(T462=20,T462=21),"+5",IF(OR(T462=22,T462=23),"+6",IF(OR(T462=24,T462=25),"+7",IF(OR(T462=26,T462=27),"+8",IF(OR(T462=28,T462=29),"+9",IF(T462=30,"+10"," "))))))))))))))))</f>
        <v>+2</v>
      </c>
      <c r="V462" s="1" t="s">
        <v>33</v>
      </c>
      <c r="W462" s="1" t="s">
        <v>265</v>
      </c>
      <c r="X462" s="11" t="s">
        <v>2256</v>
      </c>
      <c r="Y462" s="11" t="s">
        <v>2257</v>
      </c>
      <c r="Z462" s="11" t="s">
        <v>37</v>
      </c>
      <c r="AA462" s="12" t="s">
        <v>37</v>
      </c>
    </row>
    <row r="463" customFormat="false" ht="16.4" hidden="false" customHeight="false" outlineLevel="0" collapsed="false">
      <c r="A463" s="15" t="s">
        <v>2258</v>
      </c>
      <c r="B463" s="3" t="s">
        <v>938</v>
      </c>
      <c r="C463" s="3" t="s">
        <v>29</v>
      </c>
      <c r="D463" s="16" t="n">
        <v>0.25</v>
      </c>
      <c r="E463" s="3" t="n">
        <f aca="false">VLOOKUP(D463,'[1]REF Tables'!$A$2:$B$40,2)</f>
        <v>50</v>
      </c>
      <c r="F463" s="3" t="s">
        <v>315</v>
      </c>
      <c r="G463" s="3" t="n">
        <v>13</v>
      </c>
      <c r="H463" s="3" t="s">
        <v>2259</v>
      </c>
      <c r="I463" s="3" t="s">
        <v>2260</v>
      </c>
      <c r="J463" s="3" t="n">
        <v>6</v>
      </c>
      <c r="K463" s="1" t="str">
        <f aca="false">IF(J463=1,"-5",IF(OR(J463=2,J463=3),"-4",IF(OR(J463=4,J463=5),"-3",IF(OR(J463=6,J463=7),"-2",IF(OR(J463=8,J463=9),"-1",IF(OR(J463=10,J463=11),"0",IF(OR(J463=12,J463=13),"+1",IF(OR(J463=14,J463=15),"+2",IF(OR(J463=16,J463=17),"+3",IF(OR(J463=18,J463=19),"+4",IF(OR(J463=20,J463=21),"+5",IF(OR(J463=22,J463=23),"+6",IF(OR(J463=24,J463=25),"+7",IF(OR(J463=26,J463=27),"+8",IF(OR(J463=28,J463=29),"+9",IF(J463=30,"+10"," "))))))))))))))))</f>
        <v>-2</v>
      </c>
      <c r="L463" s="3" t="n">
        <v>15</v>
      </c>
      <c r="M463" s="1" t="str">
        <f aca="false">IF(L463=1,"-5",IF(OR(L463=2,L463=3),"-4",IF(OR(L463=4,L463=5),"-3",IF(OR(L463=6,L463=7),"-2",IF(OR(L463=8,L463=9),"-1",IF(OR(L463=10,L463=11),"0",IF(OR(L463=12,L463=13),"+1",IF(OR(L463=14,L463=15),"+2",IF(OR(L463=16,L463=17),"+3",IF(OR(L463=18,L463=19),"+4",IF(OR(L463=20,L463=21),"+5",IF(OR(L463=22,L463=23),"+6",IF(OR(L463=24,L463=25),"+7",IF(OR(L463=26,L463=27),"+8",IF(OR(L463=28,L463=29),"+9",IF(L463=30,"+10"," "))))))))))))))))</f>
        <v>+2</v>
      </c>
      <c r="N463" s="3" t="n">
        <v>13</v>
      </c>
      <c r="O463" s="1" t="str">
        <f aca="false">IF(N463=1,"-5",IF(OR(N463=2,N463=3),"-4",IF(OR(N463=4,N463=5),"-3",IF(OR(N463=6,N463=7),"-2",IF(OR(N463=8,N463=9),"-1",IF(OR(N463=10,N463=11),"0",IF(OR(N463=12,N463=13),"+1",IF(OR(N463=14,N463=15),"+2",IF(OR(N463=16,N463=17),"+3",IF(OR(N463=18,N463=19),"+4",IF(OR(N463=20,N463=21),"+5",IF(OR(N463=22,N463=23),"+6",IF(OR(N463=24,N463=25),"+7",IF(OR(N463=26,N463=27),"+8",IF(OR(N463=28,N463=29),"+9",IF(N463=30,"+10"," "))))))))))))))))</f>
        <v>+1</v>
      </c>
      <c r="P463" s="3" t="n">
        <v>10</v>
      </c>
      <c r="Q463" s="1" t="str">
        <f aca="false">IF(P463=1,"-5",IF(OR(P463=2,P463=3),"-4",IF(OR(P463=4,P463=5),"-3",IF(OR(P463=6,P463=7),"-2",IF(OR(P463=8,P463=9),"-1",IF(OR(P463=10,P463=11),"0",IF(OR(P463=12,P463=13),"+1",IF(OR(P463=14,P463=15),"+2",IF(OR(P463=16,P463=17),"+3",IF(OR(P463=18,P463=19),"+4",IF(OR(P463=20,P463=21),"+5",IF(OR(P463=22,P463=23),"+6",IF(OR(P463=24,P463=25),"+7",IF(OR(P463=26,P463=27),"+8",IF(OR(P463=28,P463=29),"+9",IF(P463=30,"+10"," "))))))))))))))))</f>
        <v>0</v>
      </c>
      <c r="R463" s="3" t="n">
        <v>12</v>
      </c>
      <c r="S463" s="1" t="str">
        <f aca="false">IF(R463=1,"-5",IF(OR(R463=2,R463=3),"-4",IF(OR(R463=4,R463=5),"-3",IF(OR(R463=6,R463=7),"-2",IF(OR(R463=8,R463=9),"-1",IF(OR(R463=10,R463=11),"0",IF(OR(R463=12,R463=13),"+1",IF(OR(R463=14,R463=15),"+2",IF(OR(R463=16,R463=17),"+3",IF(OR(R463=18,R463=19),"+4",IF(OR(R463=20,R463=21),"+5",IF(OR(R463=22,R463=23),"+6",IF(OR(R463=24,R463=25),"+7",IF(OR(R463=26,R463=27),"+8",IF(OR(R463=28,R463=29),"+9",IF(R463=30,"+10"," "))))))))))))))))</f>
        <v>+1</v>
      </c>
      <c r="T463" s="3" t="n">
        <v>10</v>
      </c>
      <c r="U463" s="1" t="str">
        <f aca="false">IF(T463=1,"-5",IF(OR(T463=2,T463=3),"-4",IF(OR(T463=4,T463=5),"-3",IF(OR(T463=6,T463=7),"-2",IF(OR(T463=8,T463=9),"-1",IF(OR(T463=10,T463=11),"0",IF(OR(T463=12,T463=13),"+1",IF(OR(T463=14,T463=15),"+2",IF(OR(T463=16,T463=17),"+3",IF(OR(T463=18,T463=19),"+4",IF(OR(T463=20,T463=21),"+5",IF(OR(T463=22,T463=23),"+6",IF(OR(T463=24,T463=25),"+7",IF(OR(T463=26,T463=27),"+8",IF(OR(T463=28,T463=29),"+9",IF(T463=30,"+10"," "))))))))))))))))</f>
        <v>0</v>
      </c>
      <c r="V463" s="3" t="s">
        <v>440</v>
      </c>
      <c r="W463" s="3" t="s">
        <v>2261</v>
      </c>
      <c r="X463" s="11" t="s">
        <v>2262</v>
      </c>
      <c r="Y463" s="11" t="s">
        <v>2263</v>
      </c>
      <c r="Z463" s="11" t="s">
        <v>37</v>
      </c>
      <c r="AA463" s="12" t="s">
        <v>37</v>
      </c>
    </row>
    <row r="464" customFormat="false" ht="16.4" hidden="false" customHeight="false" outlineLevel="0" collapsed="false">
      <c r="A464" s="15" t="s">
        <v>2264</v>
      </c>
      <c r="B464" s="3" t="s">
        <v>59</v>
      </c>
      <c r="C464" s="3" t="s">
        <v>37</v>
      </c>
      <c r="D464" s="16" t="n">
        <v>0.25</v>
      </c>
      <c r="E464" s="3" t="n">
        <f aca="false">VLOOKUP(D464,'[1]REF Tables'!$A$2:$B$40,2)</f>
        <v>50</v>
      </c>
      <c r="F464" s="3" t="s">
        <v>30</v>
      </c>
      <c r="G464" s="3" t="n">
        <v>13</v>
      </c>
      <c r="H464" s="3" t="s">
        <v>31</v>
      </c>
      <c r="I464" s="3" t="s">
        <v>449</v>
      </c>
      <c r="J464" s="3" t="n">
        <v>12</v>
      </c>
      <c r="K464" s="1" t="str">
        <f aca="false">IF(J464=1,"-5",IF(OR(J464=2,J464=3),"-4",IF(OR(J464=4,J464=5),"-3",IF(OR(J464=6,J464=7),"-2",IF(OR(J464=8,J464=9),"-1",IF(OR(J464=10,J464=11),"0",IF(OR(J464=12,J464=13),"+1",IF(OR(J464=14,J464=15),"+2",IF(OR(J464=16,J464=17),"+3",IF(OR(J464=18,J464=19),"+4",IF(OR(J464=20,J464=21),"+5",IF(OR(J464=22,J464=23),"+6",IF(OR(J464=24,J464=25),"+7",IF(OR(J464=26,J464=27),"+8",IF(OR(J464=28,J464=29),"+9",IF(J464=30,"+10"," "))))))))))))))))</f>
        <v>+1</v>
      </c>
      <c r="L464" s="3" t="n">
        <v>15</v>
      </c>
      <c r="M464" s="1" t="str">
        <f aca="false">IF(L464=1,"-5",IF(OR(L464=2,L464=3),"-4",IF(OR(L464=4,L464=5),"-3",IF(OR(L464=6,L464=7),"-2",IF(OR(L464=8,L464=9),"-1",IF(OR(L464=10,L464=11),"0",IF(OR(L464=12,L464=13),"+1",IF(OR(L464=14,L464=15),"+2",IF(OR(L464=16,L464=17),"+3",IF(OR(L464=18,L464=19),"+4",IF(OR(L464=20,L464=21),"+5",IF(OR(L464=22,L464=23),"+6",IF(OR(L464=24,L464=25),"+7",IF(OR(L464=26,L464=27),"+8",IF(OR(L464=28,L464=29),"+9",IF(L464=30,"+10"," "))))))))))))))))</f>
        <v>+2</v>
      </c>
      <c r="N464" s="3" t="n">
        <v>10</v>
      </c>
      <c r="O464" s="1" t="str">
        <f aca="false">IF(N464=1,"-5",IF(OR(N464=2,N464=3),"-4",IF(OR(N464=4,N464=5),"-3",IF(OR(N464=6,N464=7),"-2",IF(OR(N464=8,N464=9),"-1",IF(OR(N464=10,N464=11),"0",IF(OR(N464=12,N464=13),"+1",IF(OR(N464=14,N464=15),"+2",IF(OR(N464=16,N464=17),"+3",IF(OR(N464=18,N464=19),"+4",IF(OR(N464=20,N464=21),"+5",IF(OR(N464=22,N464=23),"+6",IF(OR(N464=24,N464=25),"+7",IF(OR(N464=26,N464=27),"+8",IF(OR(N464=28,N464=29),"+9",IF(N464=30,"+10"," "))))))))))))))))</f>
        <v>0</v>
      </c>
      <c r="P464" s="3" t="n">
        <v>2</v>
      </c>
      <c r="Q464" s="1" t="str">
        <f aca="false">IF(P464=1,"-5",IF(OR(P464=2,P464=3),"-4",IF(OR(P464=4,P464=5),"-3",IF(OR(P464=6,P464=7),"-2",IF(OR(P464=8,P464=9),"-1",IF(OR(P464=10,P464=11),"0",IF(OR(P464=12,P464=13),"+1",IF(OR(P464=14,P464=15),"+2",IF(OR(P464=16,P464=17),"+3",IF(OR(P464=18,P464=19),"+4",IF(OR(P464=20,P464=21),"+5",IF(OR(P464=22,P464=23),"+6",IF(OR(P464=24,P464=25),"+7",IF(OR(P464=26,P464=27),"+8",IF(OR(P464=28,P464=29),"+9",IF(P464=30,"+10"," "))))))))))))))))</f>
        <v>-4</v>
      </c>
      <c r="R464" s="3" t="n">
        <v>9</v>
      </c>
      <c r="S464" s="1" t="str">
        <f aca="false">IF(R464=1,"-5",IF(OR(R464=2,R464=3),"-4",IF(OR(R464=4,R464=5),"-3",IF(OR(R464=6,R464=7),"-2",IF(OR(R464=8,R464=9),"-1",IF(OR(R464=10,R464=11),"0",IF(OR(R464=12,R464=13),"+1",IF(OR(R464=14,R464=15),"+2",IF(OR(R464=16,R464=17),"+3",IF(OR(R464=18,R464=19),"+4",IF(OR(R464=20,R464=21),"+5",IF(OR(R464=22,R464=23),"+6",IF(OR(R464=24,R464=25),"+7",IF(OR(R464=26,R464=27),"+8",IF(OR(R464=28,R464=29),"+9",IF(R464=30,"+10"," "))))))))))))))))</f>
        <v>-1</v>
      </c>
      <c r="T464" s="3" t="n">
        <v>5</v>
      </c>
      <c r="U464" s="1" t="str">
        <f aca="false">IF(T464=1,"-5",IF(OR(T464=2,T464=3),"-4",IF(OR(T464=4,T464=5),"-3",IF(OR(T464=6,T464=7),"-2",IF(OR(T464=8,T464=9),"-1",IF(OR(T464=10,T464=11),"0",IF(OR(T464=12,T464=13),"+1",IF(OR(T464=14,T464=15),"+2",IF(OR(T464=16,T464=17),"+3",IF(OR(T464=18,T464=19),"+4",IF(OR(T464=20,T464=21),"+5",IF(OR(T464=22,T464=23),"+6",IF(OR(T464=24,T464=25),"+7",IF(OR(T464=26,T464=27),"+8",IF(OR(T464=28,T464=29),"+9",IF(T464=30,"+10"," "))))))))))))))))</f>
        <v>-3</v>
      </c>
      <c r="V464" s="3" t="s">
        <v>1491</v>
      </c>
      <c r="W464" s="3" t="s">
        <v>37</v>
      </c>
      <c r="X464" s="11" t="s">
        <v>2265</v>
      </c>
      <c r="Y464" s="11" t="s">
        <v>2266</v>
      </c>
      <c r="Z464" s="11" t="s">
        <v>37</v>
      </c>
      <c r="AA464" s="12" t="s">
        <v>37</v>
      </c>
    </row>
    <row r="465" customFormat="false" ht="16.4" hidden="false" customHeight="false" outlineLevel="0" collapsed="false">
      <c r="A465" s="15" t="s">
        <v>2267</v>
      </c>
      <c r="B465" s="3" t="s">
        <v>197</v>
      </c>
      <c r="C465" s="3" t="s">
        <v>106</v>
      </c>
      <c r="D465" s="16" t="n">
        <v>1</v>
      </c>
      <c r="E465" s="3" t="n">
        <f aca="false">VLOOKUP(D465,'[1]REF Tables'!$A$2:$B$40,2)</f>
        <v>200</v>
      </c>
      <c r="F465" s="3" t="s">
        <v>30</v>
      </c>
      <c r="G465" s="3" t="n">
        <v>16</v>
      </c>
      <c r="H465" s="3" t="s">
        <v>503</v>
      </c>
      <c r="I465" s="3" t="s">
        <v>665</v>
      </c>
      <c r="J465" s="3" t="n">
        <v>12</v>
      </c>
      <c r="K465" s="1" t="str">
        <f aca="false">IF(J465=1,"-5",IF(OR(J465=2,J465=3),"-4",IF(OR(J465=4,J465=5),"-3",IF(OR(J465=6,J465=7),"-2",IF(OR(J465=8,J465=9),"-1",IF(OR(J465=10,J465=11),"0",IF(OR(J465=12,J465=13),"+1",IF(OR(J465=14,J465=15),"+2",IF(OR(J465=16,J465=17),"+3",IF(OR(J465=18,J465=19),"+4",IF(OR(J465=20,J465=21),"+5",IF(OR(J465=22,J465=23),"+6",IF(OR(J465=24,J465=25),"+7",IF(OR(J465=26,J465=27),"+8",IF(OR(J465=28,J465=29),"+9",IF(J465=30,"+10"," "))))))))))))))))</f>
        <v>+1</v>
      </c>
      <c r="L465" s="3" t="n">
        <v>14</v>
      </c>
      <c r="M465" s="1" t="str">
        <f aca="false">IF(L465=1,"-5",IF(OR(L465=2,L465=3),"-4",IF(OR(L465=4,L465=5),"-3",IF(OR(L465=6,L465=7),"-2",IF(OR(L465=8,L465=9),"-1",IF(OR(L465=10,L465=11),"0",IF(OR(L465=12,L465=13),"+1",IF(OR(L465=14,L465=15),"+2",IF(OR(L465=16,L465=17),"+3",IF(OR(L465=18,L465=19),"+4",IF(OR(L465=20,L465=21),"+5",IF(OR(L465=22,L465=23),"+6",IF(OR(L465=24,L465=25),"+7",IF(OR(L465=26,L465=27),"+8",IF(OR(L465=28,L465=29),"+9",IF(L465=30,"+10"," "))))))))))))))))</f>
        <v>+2</v>
      </c>
      <c r="N465" s="3" t="n">
        <v>12</v>
      </c>
      <c r="O465" s="1" t="str">
        <f aca="false">IF(N465=1,"-5",IF(OR(N465=2,N465=3),"-4",IF(OR(N465=4,N465=5),"-3",IF(OR(N465=6,N465=7),"-2",IF(OR(N465=8,N465=9),"-1",IF(OR(N465=10,N465=11),"0",IF(OR(N465=12,N465=13),"+1",IF(OR(N465=14,N465=15),"+2",IF(OR(N465=16,N465=17),"+3",IF(OR(N465=18,N465=19),"+4",IF(OR(N465=20,N465=21),"+5",IF(OR(N465=22,N465=23),"+6",IF(OR(N465=24,N465=25),"+7",IF(OR(N465=26,N465=27),"+8",IF(OR(N465=28,N465=29),"+9",IF(N465=30,"+10"," "))))))))))))))))</f>
        <v>+1</v>
      </c>
      <c r="P465" s="3" t="n">
        <v>10</v>
      </c>
      <c r="Q465" s="1" t="str">
        <f aca="false">IF(P465=1,"-5",IF(OR(P465=2,P465=3),"-4",IF(OR(P465=4,P465=5),"-3",IF(OR(P465=6,P465=7),"-2",IF(OR(P465=8,P465=9),"-1",IF(OR(P465=10,P465=11),"0",IF(OR(P465=12,P465=13),"+1",IF(OR(P465=14,P465=15),"+2",IF(OR(P465=16,P465=17),"+3",IF(OR(P465=18,P465=19),"+4",IF(OR(P465=20,P465=21),"+5",IF(OR(P465=22,P465=23),"+6",IF(OR(P465=24,P465=25),"+7",IF(OR(P465=26,P465=27),"+8",IF(OR(P465=28,P465=29),"+9",IF(P465=30,"+10"," "))))))))))))))))</f>
        <v>0</v>
      </c>
      <c r="R465" s="3" t="n">
        <v>10</v>
      </c>
      <c r="S465" s="1" t="str">
        <f aca="false">IF(R465=1,"-5",IF(OR(R465=2,R465=3),"-4",IF(OR(R465=4,R465=5),"-3",IF(OR(R465=6,R465=7),"-2",IF(OR(R465=8,R465=9),"-1",IF(OR(R465=10,R465=11),"0",IF(OR(R465=12,R465=13),"+1",IF(OR(R465=14,R465=15),"+2",IF(OR(R465=16,R465=17),"+3",IF(OR(R465=18,R465=19),"+4",IF(OR(R465=20,R465=21),"+5",IF(OR(R465=22,R465=23),"+6",IF(OR(R465=24,R465=25),"+7",IF(OR(R465=26,R465=27),"+8",IF(OR(R465=28,R465=29),"+9",IF(R465=30,"+10"," "))))))))))))))))</f>
        <v>0</v>
      </c>
      <c r="T465" s="3" t="n">
        <v>11</v>
      </c>
      <c r="U465" s="1" t="str">
        <f aca="false">IF(T465=1,"-5",IF(OR(T465=2,T465=3),"-4",IF(OR(T465=4,T465=5),"-3",IF(OR(T465=6,T465=7),"-2",IF(OR(T465=8,T465=9),"-1",IF(OR(T465=10,T465=11),"0",IF(OR(T465=12,T465=13),"+1",IF(OR(T465=14,T465=15),"+2",IF(OR(T465=16,T465=17),"+3",IF(OR(T465=18,T465=19),"+4",IF(OR(T465=20,T465=21),"+5",IF(OR(T465=22,T465=23),"+6",IF(OR(T465=24,T465=25),"+7",IF(OR(T465=26,T465=27),"+8",IF(OR(T465=28,T465=29),"+9",IF(T465=30,"+10"," "))))))))))))))))</f>
        <v>0</v>
      </c>
      <c r="V465" s="3" t="s">
        <v>1039</v>
      </c>
      <c r="W465" s="3" t="s">
        <v>1113</v>
      </c>
      <c r="X465" s="11" t="s">
        <v>2268</v>
      </c>
      <c r="Y465" s="11" t="s">
        <v>2269</v>
      </c>
      <c r="Z465" s="11" t="s">
        <v>37</v>
      </c>
      <c r="AA465" s="12" t="s">
        <v>37</v>
      </c>
    </row>
    <row r="466" customFormat="false" ht="16.4" hidden="false" customHeight="false" outlineLevel="0" collapsed="false">
      <c r="A466" s="15" t="s">
        <v>2270</v>
      </c>
      <c r="B466" s="3" t="s">
        <v>2271</v>
      </c>
      <c r="C466" s="3" t="s">
        <v>590</v>
      </c>
      <c r="D466" s="16" t="n">
        <v>2</v>
      </c>
      <c r="E466" s="3" t="n">
        <f aca="false">VLOOKUP(D466,'[1]REF Tables'!$A$2:$B$40,2)</f>
        <v>450</v>
      </c>
      <c r="F466" s="3" t="s">
        <v>30</v>
      </c>
      <c r="G466" s="3" t="n">
        <v>13</v>
      </c>
      <c r="H466" s="3" t="s">
        <v>866</v>
      </c>
      <c r="I466" s="3" t="s">
        <v>131</v>
      </c>
      <c r="J466" s="3" t="n">
        <v>17</v>
      </c>
      <c r="K466" s="1" t="str">
        <f aca="false">IF(J466=1,"-5",IF(OR(J466=2,J466=3),"-4",IF(OR(J466=4,J466=5),"-3",IF(OR(J466=6,J466=7),"-2",IF(OR(J466=8,J466=9),"-1",IF(OR(J466=10,J466=11),"0",IF(OR(J466=12,J466=13),"+1",IF(OR(J466=14,J466=15),"+2",IF(OR(J466=16,J466=17),"+3",IF(OR(J466=18,J466=19),"+4",IF(OR(J466=20,J466=21),"+5",IF(OR(J466=22,J466=23),"+6",IF(OR(J466=24,J466=25),"+7",IF(OR(J466=26,J466=27),"+8",IF(OR(J466=28,J466=29),"+9",IF(J466=30,"+10"," "))))))))))))))))</f>
        <v>+3</v>
      </c>
      <c r="L466" s="3" t="n">
        <v>12</v>
      </c>
      <c r="M466" s="1" t="str">
        <f aca="false">IF(L466=1,"-5",IF(OR(L466=2,L466=3),"-4",IF(OR(L466=4,L466=5),"-3",IF(OR(L466=6,L466=7),"-2",IF(OR(L466=8,L466=9),"-1",IF(OR(L466=10,L466=11),"0",IF(OR(L466=12,L466=13),"+1",IF(OR(L466=14,L466=15),"+2",IF(OR(L466=16,L466=17),"+3",IF(OR(L466=18,L466=19),"+4",IF(OR(L466=20,L466=21),"+5",IF(OR(L466=22,L466=23),"+6",IF(OR(L466=24,L466=25),"+7",IF(OR(L466=26,L466=27),"+8",IF(OR(L466=28,L466=29),"+9",IF(L466=30,"+10"," "))))))))))))))))</f>
        <v>+1</v>
      </c>
      <c r="N466" s="3" t="n">
        <v>16</v>
      </c>
      <c r="O466" s="1" t="str">
        <f aca="false">IF(N466=1,"-5",IF(OR(N466=2,N466=3),"-4",IF(OR(N466=4,N466=5),"-3",IF(OR(N466=6,N466=7),"-2",IF(OR(N466=8,N466=9),"-1",IF(OR(N466=10,N466=11),"0",IF(OR(N466=12,N466=13),"+1",IF(OR(N466=14,N466=15),"+2",IF(OR(N466=16,N466=17),"+3",IF(OR(N466=18,N466=19),"+4",IF(OR(N466=20,N466=21),"+5",IF(OR(N466=22,N466=23),"+6",IF(OR(N466=24,N466=25),"+7",IF(OR(N466=26,N466=27),"+8",IF(OR(N466=28,N466=29),"+9",IF(N466=30,"+10"," "))))))))))))))))</f>
        <v>+3</v>
      </c>
      <c r="P466" s="3" t="n">
        <v>6</v>
      </c>
      <c r="Q466" s="1" t="str">
        <f aca="false">IF(P466=1,"-5",IF(OR(P466=2,P466=3),"-4",IF(OR(P466=4,P466=5),"-3",IF(OR(P466=6,P466=7),"-2",IF(OR(P466=8,P466=9),"-1",IF(OR(P466=10,P466=11),"0",IF(OR(P466=12,P466=13),"+1",IF(OR(P466=14,P466=15),"+2",IF(OR(P466=16,P466=17),"+3",IF(OR(P466=18,P466=19),"+4",IF(OR(P466=20,P466=21),"+5",IF(OR(P466=22,P466=23),"+6",IF(OR(P466=24,P466=25),"+7",IF(OR(P466=26,P466=27),"+8",IF(OR(P466=28,P466=29),"+9",IF(P466=30,"+10"," "))))))))))))))))</f>
        <v>-2</v>
      </c>
      <c r="R466" s="3" t="n">
        <v>12</v>
      </c>
      <c r="S466" s="1" t="str">
        <f aca="false">IF(R466=1,"-5",IF(OR(R466=2,R466=3),"-4",IF(OR(R466=4,R466=5),"-3",IF(OR(R466=6,R466=7),"-2",IF(OR(R466=8,R466=9),"-1",IF(OR(R466=10,R466=11),"0",IF(OR(R466=12,R466=13),"+1",IF(OR(R466=14,R466=15),"+2",IF(OR(R466=16,R466=17),"+3",IF(OR(R466=18,R466=19),"+4",IF(OR(R466=20,R466=21),"+5",IF(OR(R466=22,R466=23),"+6",IF(OR(R466=24,R466=25),"+7",IF(OR(R466=26,R466=27),"+8",IF(OR(R466=28,R466=29),"+9",IF(R466=30,"+10"," "))))))))))))))))</f>
        <v>+1</v>
      </c>
      <c r="T466" s="3" t="n">
        <v>7</v>
      </c>
      <c r="U466" s="1" t="str">
        <f aca="false">IF(T466=1,"-5",IF(OR(T466=2,T466=3),"-4",IF(OR(T466=4,T466=5),"-3",IF(OR(T466=6,T466=7),"-2",IF(OR(T466=8,T466=9),"-1",IF(OR(T466=10,T466=11),"0",IF(OR(T466=12,T466=13),"+1",IF(OR(T466=14,T466=15),"+2",IF(OR(T466=16,T466=17),"+3",IF(OR(T466=18,T466=19),"+4",IF(OR(T466=20,T466=21),"+5",IF(OR(T466=22,T466=23),"+6",IF(OR(T466=24,T466=25),"+7",IF(OR(T466=26,T466=27),"+8",IF(OR(T466=28,T466=29),"+9",IF(T466=30,"+10"," "))))))))))))))))</f>
        <v>-2</v>
      </c>
      <c r="V466" s="3" t="s">
        <v>2272</v>
      </c>
      <c r="W466" s="3" t="s">
        <v>516</v>
      </c>
      <c r="X466" s="11" t="s">
        <v>2273</v>
      </c>
      <c r="Y466" s="11" t="s">
        <v>2274</v>
      </c>
      <c r="Z466" s="11" t="s">
        <v>37</v>
      </c>
      <c r="AA466" s="12" t="s">
        <v>37</v>
      </c>
    </row>
    <row r="467" customFormat="false" ht="16.4" hidden="false" customHeight="false" outlineLevel="0" collapsed="false">
      <c r="A467" s="15" t="s">
        <v>2275</v>
      </c>
      <c r="B467" s="3" t="s">
        <v>158</v>
      </c>
      <c r="C467" s="3" t="s">
        <v>37</v>
      </c>
      <c r="D467" s="16" t="n">
        <v>1</v>
      </c>
      <c r="E467" s="3" t="n">
        <f aca="false">VLOOKUP(D467,'[1]REF Tables'!$A$2:$B$40,2)</f>
        <v>200</v>
      </c>
      <c r="F467" s="3" t="s">
        <v>30</v>
      </c>
      <c r="G467" s="3" t="n">
        <v>13</v>
      </c>
      <c r="H467" s="3" t="s">
        <v>866</v>
      </c>
      <c r="I467" s="3" t="s">
        <v>563</v>
      </c>
      <c r="J467" s="3" t="n">
        <v>17</v>
      </c>
      <c r="K467" s="1" t="str">
        <f aca="false">IF(J467=1,"-5",IF(OR(J467=2,J467=3),"-4",IF(OR(J467=4,J467=5),"-3",IF(OR(J467=6,J467=7),"-2",IF(OR(J467=8,J467=9),"-1",IF(OR(J467=10,J467=11),"0",IF(OR(J467=12,J467=13),"+1",IF(OR(J467=14,J467=15),"+2",IF(OR(J467=16,J467=17),"+3",IF(OR(J467=18,J467=19),"+4",IF(OR(J467=20,J467=21),"+5",IF(OR(J467=22,J467=23),"+6",IF(OR(J467=24,J467=25),"+7",IF(OR(J467=26,J467=27),"+8",IF(OR(J467=28,J467=29),"+9",IF(J467=30,"+10"," "))))))))))))))))</f>
        <v>+3</v>
      </c>
      <c r="L467" s="3" t="n">
        <v>12</v>
      </c>
      <c r="M467" s="1" t="str">
        <f aca="false">IF(L467=1,"-5",IF(OR(L467=2,L467=3),"-4",IF(OR(L467=4,L467=5),"-3",IF(OR(L467=6,L467=7),"-2",IF(OR(L467=8,L467=9),"-1",IF(OR(L467=10,L467=11),"0",IF(OR(L467=12,L467=13),"+1",IF(OR(L467=14,L467=15),"+2",IF(OR(L467=16,L467=17),"+3",IF(OR(L467=18,L467=19),"+4",IF(OR(L467=20,L467=21),"+5",IF(OR(L467=22,L467=23),"+6",IF(OR(L467=24,L467=25),"+7",IF(OR(L467=26,L467=27),"+8",IF(OR(L467=28,L467=29),"+9",IF(L467=30,"+10"," "))))))))))))))))</f>
        <v>+1</v>
      </c>
      <c r="N467" s="3" t="n">
        <v>16</v>
      </c>
      <c r="O467" s="1" t="str">
        <f aca="false">IF(N467=1,"-5",IF(OR(N467=2,N467=3),"-4",IF(OR(N467=4,N467=5),"-3",IF(OR(N467=6,N467=7),"-2",IF(OR(N467=8,N467=9),"-1",IF(OR(N467=10,N467=11),"0",IF(OR(N467=12,N467=13),"+1",IF(OR(N467=14,N467=15),"+2",IF(OR(N467=16,N467=17),"+3",IF(OR(N467=18,N467=19),"+4",IF(OR(N467=20,N467=21),"+5",IF(OR(N467=22,N467=23),"+6",IF(OR(N467=24,N467=25),"+7",IF(OR(N467=26,N467=27),"+8",IF(OR(N467=28,N467=29),"+9",IF(N467=30,"+10"," "))))))))))))))))</f>
        <v>+3</v>
      </c>
      <c r="P467" s="3" t="n">
        <v>2</v>
      </c>
      <c r="Q467" s="1" t="str">
        <f aca="false">IF(P467=1,"-5",IF(OR(P467=2,P467=3),"-4",IF(OR(P467=4,P467=5),"-3",IF(OR(P467=6,P467=7),"-2",IF(OR(P467=8,P467=9),"-1",IF(OR(P467=10,P467=11),"0",IF(OR(P467=12,P467=13),"+1",IF(OR(P467=14,P467=15),"+2",IF(OR(P467=16,P467=17),"+3",IF(OR(P467=18,P467=19),"+4",IF(OR(P467=20,P467=21),"+5",IF(OR(P467=22,P467=23),"+6",IF(OR(P467=24,P467=25),"+7",IF(OR(P467=26,P467=27),"+8",IF(OR(P467=28,P467=29),"+9",IF(P467=30,"+10"," "))))))))))))))))</f>
        <v>-4</v>
      </c>
      <c r="R467" s="3" t="n">
        <v>6</v>
      </c>
      <c r="S467" s="1" t="str">
        <f aca="false">IF(R467=1,"-5",IF(OR(R467=2,R467=3),"-4",IF(OR(R467=4,R467=5),"-3",IF(OR(R467=6,R467=7),"-2",IF(OR(R467=8,R467=9),"-1",IF(OR(R467=10,R467=11),"0",IF(OR(R467=12,R467=13),"+1",IF(OR(R467=14,R467=15),"+2",IF(OR(R467=16,R467=17),"+3",IF(OR(R467=18,R467=19),"+4",IF(OR(R467=20,R467=21),"+5",IF(OR(R467=22,R467=23),"+6",IF(OR(R467=24,R467=25),"+7",IF(OR(R467=26,R467=27),"+8",IF(OR(R467=28,R467=29),"+9",IF(R467=30,"+10"," "))))))))))))))))</f>
        <v>-2</v>
      </c>
      <c r="T467" s="3" t="n">
        <v>1</v>
      </c>
      <c r="U467" s="1" t="str">
        <f aca="false">IF(T467=1,"-5",IF(OR(T467=2,T467=3),"-4",IF(OR(T467=4,T467=5),"-3",IF(OR(T467=6,T467=7),"-2",IF(OR(T467=8,T467=9),"-1",IF(OR(T467=10,T467=11),"0",IF(OR(T467=12,T467=13),"+1",IF(OR(T467=14,T467=15),"+2",IF(OR(T467=16,T467=17),"+3",IF(OR(T467=18,T467=19),"+4",IF(OR(T467=20,T467=21),"+5",IF(OR(T467=22,T467=23),"+6",IF(OR(T467=24,T467=25),"+7",IF(OR(T467=26,T467=27),"+8",IF(OR(T467=28,T467=29),"+9",IF(T467=30,"+10"," "))))))))))))))))</f>
        <v>-5</v>
      </c>
      <c r="V467" s="3" t="s">
        <v>37</v>
      </c>
      <c r="W467" s="3" t="s">
        <v>37</v>
      </c>
      <c r="X467" s="11" t="s">
        <v>2276</v>
      </c>
      <c r="Y467" s="11" t="s">
        <v>2277</v>
      </c>
      <c r="Z467" s="11" t="s">
        <v>37</v>
      </c>
      <c r="AA467" s="12" t="s">
        <v>37</v>
      </c>
    </row>
    <row r="468" customFormat="false" ht="16.4" hidden="false" customHeight="false" outlineLevel="0" collapsed="false">
      <c r="A468" s="15" t="s">
        <v>2278</v>
      </c>
      <c r="B468" s="3" t="s">
        <v>1502</v>
      </c>
      <c r="C468" s="3" t="s">
        <v>222</v>
      </c>
      <c r="D468" s="16" t="n">
        <v>1</v>
      </c>
      <c r="E468" s="3" t="n">
        <f aca="false">VLOOKUP(D468,'[1]REF Tables'!$A$2:$B$40,2)</f>
        <v>200</v>
      </c>
      <c r="F468" s="3" t="s">
        <v>315</v>
      </c>
      <c r="G468" s="3" t="n">
        <v>13</v>
      </c>
      <c r="H468" s="3" t="s">
        <v>1996</v>
      </c>
      <c r="I468" s="3" t="s">
        <v>224</v>
      </c>
      <c r="J468" s="3" t="n">
        <v>5</v>
      </c>
      <c r="K468" s="1" t="str">
        <f aca="false">IF(J468=1,"-5",IF(OR(J468=2,J468=3),"-4",IF(OR(J468=4,J468=5),"-3",IF(OR(J468=6,J468=7),"-2",IF(OR(J468=8,J468=9),"-1",IF(OR(J468=10,J468=11),"0",IF(OR(J468=12,J468=13),"+1",IF(OR(J468=14,J468=15),"+2",IF(OR(J468=16,J468=17),"+3",IF(OR(J468=18,J468=19),"+4",IF(OR(J468=20,J468=21),"+5",IF(OR(J468=22,J468=23),"+6",IF(OR(J468=24,J468=25),"+7",IF(OR(J468=26,J468=27),"+8",IF(OR(J468=28,J468=29),"+9",IF(J468=30,"+10"," "))))))))))))))))</f>
        <v>-3</v>
      </c>
      <c r="L468" s="3" t="n">
        <v>17</v>
      </c>
      <c r="M468" s="1" t="str">
        <f aca="false">IF(L468=1,"-5",IF(OR(L468=2,L468=3),"-4",IF(OR(L468=4,L468=5),"-3",IF(OR(L468=6,L468=7),"-2",IF(OR(L468=8,L468=9),"-1",IF(OR(L468=10,L468=11),"0",IF(OR(L468=12,L468=13),"+1",IF(OR(L468=14,L468=15),"+2",IF(OR(L468=16,L468=17),"+3",IF(OR(L468=18,L468=19),"+4",IF(OR(L468=20,L468=21),"+5",IF(OR(L468=22,L468=23),"+6",IF(OR(L468=24,L468=25),"+7",IF(OR(L468=26,L468=27),"+8",IF(OR(L468=28,L468=29),"+9",IF(L468=30,"+10"," "))))))))))))))))</f>
        <v>+3</v>
      </c>
      <c r="N468" s="3" t="n">
        <v>10</v>
      </c>
      <c r="O468" s="1" t="str">
        <f aca="false">IF(N468=1,"-5",IF(OR(N468=2,N468=3),"-4",IF(OR(N468=4,N468=5),"-3",IF(OR(N468=6,N468=7),"-2",IF(OR(N468=8,N468=9),"-1",IF(OR(N468=10,N468=11),"0",IF(OR(N468=12,N468=13),"+1",IF(OR(N468=14,N468=15),"+2",IF(OR(N468=16,N468=17),"+3",IF(OR(N468=18,N468=19),"+4",IF(OR(N468=20,N468=21),"+5",IF(OR(N468=22,N468=23),"+6",IF(OR(N468=24,N468=25),"+7",IF(OR(N468=26,N468=27),"+8",IF(OR(N468=28,N468=29),"+9",IF(N468=30,"+10"," "))))))))))))))))</f>
        <v>0</v>
      </c>
      <c r="P468" s="3" t="n">
        <v>7</v>
      </c>
      <c r="Q468" s="1" t="str">
        <f aca="false">IF(P468=1,"-5",IF(OR(P468=2,P468=3),"-4",IF(OR(P468=4,P468=5),"-3",IF(OR(P468=6,P468=7),"-2",IF(OR(P468=8,P468=9),"-1",IF(OR(P468=10,P468=11),"0",IF(OR(P468=12,P468=13),"+1",IF(OR(P468=14,P468=15),"+2",IF(OR(P468=16,P468=17),"+3",IF(OR(P468=18,P468=19),"+4",IF(OR(P468=20,P468=21),"+5",IF(OR(P468=22,P468=23),"+6",IF(OR(P468=24,P468=25),"+7",IF(OR(P468=26,P468=27),"+8",IF(OR(P468=28,P468=29),"+9",IF(P468=30,"+10"," "))))))))))))))))</f>
        <v>-2</v>
      </c>
      <c r="R468" s="3" t="n">
        <v>10</v>
      </c>
      <c r="S468" s="1" t="str">
        <f aca="false">IF(R468=1,"-5",IF(OR(R468=2,R468=3),"-4",IF(OR(R468=4,R468=5),"-3",IF(OR(R468=6,R468=7),"-2",IF(OR(R468=8,R468=9),"-1",IF(OR(R468=10,R468=11),"0",IF(OR(R468=12,R468=13),"+1",IF(OR(R468=14,R468=15),"+2",IF(OR(R468=16,R468=17),"+3",IF(OR(R468=18,R468=19),"+4",IF(OR(R468=20,R468=21),"+5",IF(OR(R468=22,R468=23),"+6",IF(OR(R468=24,R468=25),"+7",IF(OR(R468=26,R468=27),"+8",IF(OR(R468=28,R468=29),"+9",IF(R468=30,"+10"," "))))))))))))))))</f>
        <v>0</v>
      </c>
      <c r="T468" s="3" t="n">
        <v>10</v>
      </c>
      <c r="U468" s="1" t="str">
        <f aca="false">IF(T468=1,"-5",IF(OR(T468=2,T468=3),"-4",IF(OR(T468=4,T468=5),"-3",IF(OR(T468=6,T468=7),"-2",IF(OR(T468=8,T468=9),"-1",IF(OR(T468=10,T468=11),"0",IF(OR(T468=12,T468=13),"+1",IF(OR(T468=14,T468=15),"+2",IF(OR(T468=16,T468=17),"+3",IF(OR(T468=18,T468=19),"+4",IF(OR(T468=20,T468=21),"+5",IF(OR(T468=22,T468=23),"+6",IF(OR(T468=24,T468=25),"+7",IF(OR(T468=26,T468=27),"+8",IF(OR(T468=28,T468=29),"+9",IF(T468=30,"+10"," "))))))))))))))))</f>
        <v>0</v>
      </c>
      <c r="V468" s="3" t="s">
        <v>586</v>
      </c>
      <c r="W468" s="3" t="s">
        <v>467</v>
      </c>
      <c r="X468" s="11" t="s">
        <v>2279</v>
      </c>
      <c r="Y468" s="11" t="s">
        <v>2280</v>
      </c>
      <c r="Z468" s="11" t="s">
        <v>37</v>
      </c>
      <c r="AA468" s="12" t="s">
        <v>37</v>
      </c>
    </row>
    <row r="469" customFormat="false" ht="16.4" hidden="false" customHeight="false" outlineLevel="0" collapsed="false">
      <c r="A469" s="15" t="s">
        <v>2281</v>
      </c>
      <c r="B469" s="3" t="s">
        <v>59</v>
      </c>
      <c r="C469" s="3" t="s">
        <v>37</v>
      </c>
      <c r="D469" s="16" t="n">
        <v>2</v>
      </c>
      <c r="E469" s="3" t="n">
        <f aca="false">VLOOKUP(D469,'[1]REF Tables'!$A$2:$B$40,2)</f>
        <v>450</v>
      </c>
      <c r="F469" s="3" t="s">
        <v>121</v>
      </c>
      <c r="G469" s="3" t="n">
        <v>13</v>
      </c>
      <c r="H469" s="3" t="s">
        <v>2282</v>
      </c>
      <c r="I469" s="3" t="s">
        <v>71</v>
      </c>
      <c r="J469" s="3" t="n">
        <v>15</v>
      </c>
      <c r="K469" s="1" t="str">
        <f aca="false">IF(J469=1,"-5",IF(OR(J469=2,J469=3),"-4",IF(OR(J469=4,J469=5),"-3",IF(OR(J469=6,J469=7),"-2",IF(OR(J469=8,J469=9),"-1",IF(OR(J469=10,J469=11),"0",IF(OR(J469=12,J469=13),"+1",IF(OR(J469=14,J469=15),"+2",IF(OR(J469=16,J469=17),"+3",IF(OR(J469=18,J469=19),"+4",IF(OR(J469=20,J469=21),"+5",IF(OR(J469=22,J469=23),"+6",IF(OR(J469=24,J469=25),"+7",IF(OR(J469=26,J469=27),"+8",IF(OR(J469=28,J469=29),"+9",IF(J469=30,"+10"," "))))))))))))))))</f>
        <v>+2</v>
      </c>
      <c r="L469" s="3" t="n">
        <v>13</v>
      </c>
      <c r="M469" s="1" t="str">
        <f aca="false">IF(L469=1,"-5",IF(OR(L469=2,L469=3),"-4",IF(OR(L469=4,L469=5),"-3",IF(OR(L469=6,L469=7),"-2",IF(OR(L469=8,L469=9),"-1",IF(OR(L469=10,L469=11),"0",IF(OR(L469=12,L469=13),"+1",IF(OR(L469=14,L469=15),"+2",IF(OR(L469=16,L469=17),"+3",IF(OR(L469=18,L469=19),"+4",IF(OR(L469=20,L469=21),"+5",IF(OR(L469=22,L469=23),"+6",IF(OR(L469=24,L469=25),"+7",IF(OR(L469=26,L469=27),"+8",IF(OR(L469=28,L469=29),"+9",IF(L469=30,"+10"," "))))))))))))))))</f>
        <v>+1</v>
      </c>
      <c r="N469" s="3" t="n">
        <v>13</v>
      </c>
      <c r="O469" s="1" t="str">
        <f aca="false">IF(N469=1,"-5",IF(OR(N469=2,N469=3),"-4",IF(OR(N469=4,N469=5),"-3",IF(OR(N469=6,N469=7),"-2",IF(OR(N469=8,N469=9),"-1",IF(OR(N469=10,N469=11),"0",IF(OR(N469=12,N469=13),"+1",IF(OR(N469=14,N469=15),"+2",IF(OR(N469=16,N469=17),"+3",IF(OR(N469=18,N469=19),"+4",IF(OR(N469=20,N469=21),"+5",IF(OR(N469=22,N469=23),"+6",IF(OR(N469=24,N469=25),"+7",IF(OR(N469=26,N469=27),"+8",IF(OR(N469=28,N469=29),"+9",IF(N469=30,"+10"," "))))))))))))))))</f>
        <v>+1</v>
      </c>
      <c r="P469" s="3" t="n">
        <v>2</v>
      </c>
      <c r="Q469" s="1" t="str">
        <f aca="false">IF(P469=1,"-5",IF(OR(P469=2,P469=3),"-4",IF(OR(P469=4,P469=5),"-3",IF(OR(P469=6,P469=7),"-2",IF(OR(P469=8,P469=9),"-1",IF(OR(P469=10,P469=11),"0",IF(OR(P469=12,P469=13),"+1",IF(OR(P469=14,P469=15),"+2",IF(OR(P469=16,P469=17),"+3",IF(OR(P469=18,P469=19),"+4",IF(OR(P469=20,P469=21),"+5",IF(OR(P469=22,P469=23),"+6",IF(OR(P469=24,P469=25),"+7",IF(OR(P469=26,P469=27),"+8",IF(OR(P469=28,P469=29),"+9",IF(P469=30,"+10"," "))))))))))))))))</f>
        <v>-4</v>
      </c>
      <c r="R469" s="3" t="n">
        <v>10</v>
      </c>
      <c r="S469" s="1" t="str">
        <f aca="false">IF(R469=1,"-5",IF(OR(R469=2,R469=3),"-4",IF(OR(R469=4,R469=5),"-3",IF(OR(R469=6,R469=7),"-2",IF(OR(R469=8,R469=9),"-1",IF(OR(R469=10,R469=11),"0",IF(OR(R469=12,R469=13),"+1",IF(OR(R469=14,R469=15),"+2",IF(OR(R469=16,R469=17),"+3",IF(OR(R469=18,R469=19),"+4",IF(OR(R469=20,R469=21),"+5",IF(OR(R469=22,R469=23),"+6",IF(OR(R469=24,R469=25),"+7",IF(OR(R469=26,R469=27),"+8",IF(OR(R469=28,R469=29),"+9",IF(R469=30,"+10"," "))))))))))))))))</f>
        <v>0</v>
      </c>
      <c r="T469" s="3" t="n">
        <v>5</v>
      </c>
      <c r="U469" s="1" t="str">
        <f aca="false">IF(T469=1,"-5",IF(OR(T469=2,T469=3),"-4",IF(OR(T469=4,T469=5),"-3",IF(OR(T469=6,T469=7),"-2",IF(OR(T469=8,T469=9),"-1",IF(OR(T469=10,T469=11),"0",IF(OR(T469=12,T469=13),"+1",IF(OR(T469=14,T469=15),"+2",IF(OR(T469=16,T469=17),"+3",IF(OR(T469=18,T469=19),"+4",IF(OR(T469=20,T469=21),"+5",IF(OR(T469=22,T469=23),"+6",IF(OR(T469=24,T469=25),"+7",IF(OR(T469=26,T469=27),"+8",IF(OR(T469=28,T469=29),"+9",IF(T469=30,"+10"," "))))))))))))))))</f>
        <v>-3</v>
      </c>
      <c r="V469" s="3" t="s">
        <v>1039</v>
      </c>
      <c r="W469" s="3" t="s">
        <v>37</v>
      </c>
      <c r="X469" s="11" t="s">
        <v>2283</v>
      </c>
      <c r="Y469" s="11" t="s">
        <v>2284</v>
      </c>
      <c r="Z469" s="11" t="s">
        <v>37</v>
      </c>
      <c r="AA469" s="12" t="s">
        <v>37</v>
      </c>
    </row>
    <row r="470" customFormat="false" ht="16.4" hidden="false" customHeight="false" outlineLevel="0" collapsed="false">
      <c r="A470" s="15" t="s">
        <v>2285</v>
      </c>
      <c r="B470" s="3" t="s">
        <v>386</v>
      </c>
      <c r="C470" s="3" t="s">
        <v>49</v>
      </c>
      <c r="D470" s="16" t="n">
        <v>13</v>
      </c>
      <c r="E470" s="6" t="n">
        <f aca="false">VLOOKUP(D470,'[1]REF Tables'!$A$2:$B$40,2)</f>
        <v>10000</v>
      </c>
      <c r="F470" s="3" t="s">
        <v>30</v>
      </c>
      <c r="G470" s="3" t="n">
        <v>16</v>
      </c>
      <c r="H470" s="3" t="s">
        <v>707</v>
      </c>
      <c r="I470" s="3" t="s">
        <v>224</v>
      </c>
      <c r="J470" s="3" t="n">
        <v>14</v>
      </c>
      <c r="K470" s="1" t="str">
        <f aca="false">IF(J470=1,"-5",IF(OR(J470=2,J470=3),"-4",IF(OR(J470=4,J470=5),"-3",IF(OR(J470=6,J470=7),"-2",IF(OR(J470=8,J470=9),"-1",IF(OR(J470=10,J470=11),"0",IF(OR(J470=12,J470=13),"+1",IF(OR(J470=14,J470=15),"+2",IF(OR(J470=16,J470=17),"+3",IF(OR(J470=18,J470=19),"+4",IF(OR(J470=20,J470=21),"+5",IF(OR(J470=22,J470=23),"+6",IF(OR(J470=24,J470=25),"+7",IF(OR(J470=26,J470=27),"+8",IF(OR(J470=28,J470=29),"+9",IF(J470=30,"+10"," "))))))))))))))))</f>
        <v>+2</v>
      </c>
      <c r="L470" s="3" t="n">
        <v>17</v>
      </c>
      <c r="M470" s="1" t="str">
        <f aca="false">IF(L470=1,"-5",IF(OR(L470=2,L470=3),"-4",IF(OR(L470=4,L470=5),"-3",IF(OR(L470=6,L470=7),"-2",IF(OR(L470=8,L470=9),"-1",IF(OR(L470=10,L470=11),"0",IF(OR(L470=12,L470=13),"+1",IF(OR(L470=14,L470=15),"+2",IF(OR(L470=16,L470=17),"+3",IF(OR(L470=18,L470=19),"+4",IF(OR(L470=20,L470=21),"+5",IF(OR(L470=22,L470=23),"+6",IF(OR(L470=24,L470=25),"+7",IF(OR(L470=26,L470=27),"+8",IF(OR(L470=28,L470=29),"+9",IF(L470=30,"+10"," "))))))))))))))))</f>
        <v>+3</v>
      </c>
      <c r="N470" s="3" t="n">
        <v>18</v>
      </c>
      <c r="O470" s="1" t="str">
        <f aca="false">IF(N470=1,"-5",IF(OR(N470=2,N470=3),"-4",IF(OR(N470=4,N470=5),"-3",IF(OR(N470=6,N470=7),"-2",IF(OR(N470=8,N470=9),"-1",IF(OR(N470=10,N470=11),"0",IF(OR(N470=12,N470=13),"+1",IF(OR(N470=14,N470=15),"+2",IF(OR(N470=16,N470=17),"+3",IF(OR(N470=18,N470=19),"+4",IF(OR(N470=20,N470=21),"+5",IF(OR(N470=22,N470=23),"+6",IF(OR(N470=24,N470=25),"+7",IF(OR(N470=26,N470=27),"+8",IF(OR(N470=28,N470=29),"+9",IF(N470=30,"+10"," "))))))))))))))))</f>
        <v>+4</v>
      </c>
      <c r="P470" s="3" t="n">
        <v>13</v>
      </c>
      <c r="Q470" s="1" t="str">
        <f aca="false">IF(P470=1,"-5",IF(OR(P470=2,P470=3),"-4",IF(OR(P470=4,P470=5),"-3",IF(OR(P470=6,P470=7),"-2",IF(OR(P470=8,P470=9),"-1",IF(OR(P470=10,P470=11),"0",IF(OR(P470=12,P470=13),"+1",IF(OR(P470=14,P470=15),"+2",IF(OR(P470=16,P470=17),"+3",IF(OR(P470=18,P470=19),"+4",IF(OR(P470=20,P470=21),"+5",IF(OR(P470=22,P470=23),"+6",IF(OR(P470=24,P470=25),"+7",IF(OR(P470=26,P470=27),"+8",IF(OR(P470=28,P470=29),"+9",IF(P470=30,"+10"," "))))))))))))))))</f>
        <v>+1</v>
      </c>
      <c r="R470" s="3" t="n">
        <v>16</v>
      </c>
      <c r="S470" s="1" t="str">
        <f aca="false">IF(R470=1,"-5",IF(OR(R470=2,R470=3),"-4",IF(OR(R470=4,R470=5),"-3",IF(OR(R470=6,R470=7),"-2",IF(OR(R470=8,R470=9),"-1",IF(OR(R470=10,R470=11),"0",IF(OR(R470=12,R470=13),"+1",IF(OR(R470=14,R470=15),"+2",IF(OR(R470=16,R470=17),"+3",IF(OR(R470=18,R470=19),"+4",IF(OR(R470=20,R470=21),"+5",IF(OR(R470=22,R470=23),"+6",IF(OR(R470=24,R470=25),"+7",IF(OR(R470=26,R470=27),"+8",IF(OR(R470=28,R470=29),"+9",IF(R470=30,"+10"," "))))))))))))))))</f>
        <v>+3</v>
      </c>
      <c r="T470" s="3" t="n">
        <v>20</v>
      </c>
      <c r="U470" s="1" t="str">
        <f aca="false">IF(T470=1,"-5",IF(OR(T470=2,T470=3),"-4",IF(OR(T470=4,T470=5),"-3",IF(OR(T470=6,T470=7),"-2",IF(OR(T470=8,T470=9),"-1",IF(OR(T470=10,T470=11),"0",IF(OR(T470=12,T470=13),"+1",IF(OR(T470=14,T470=15),"+2",IF(OR(T470=16,T470=17),"+3",IF(OR(T470=18,T470=19),"+4",IF(OR(T470=20,T470=21),"+5",IF(OR(T470=22,T470=23),"+6",IF(OR(T470=24,T470=25),"+7",IF(OR(T470=26,T470=27),"+8",IF(OR(T470=28,T470=29),"+9",IF(T470=30,"+10"," "))))))))))))))))</f>
        <v>+5</v>
      </c>
      <c r="V470" s="3" t="s">
        <v>2286</v>
      </c>
      <c r="W470" s="3" t="s">
        <v>1942</v>
      </c>
      <c r="X470" s="11" t="s">
        <v>2287</v>
      </c>
      <c r="Y470" s="11" t="s">
        <v>2288</v>
      </c>
      <c r="Z470" s="1" t="s">
        <v>37</v>
      </c>
      <c r="AA470" s="12" t="s">
        <v>37</v>
      </c>
    </row>
    <row r="471" customFormat="false" ht="16.4" hidden="false" customHeight="false" outlineLevel="0" collapsed="false">
      <c r="A471" s="15" t="s">
        <v>2289</v>
      </c>
      <c r="B471" s="3" t="s">
        <v>59</v>
      </c>
      <c r="C471" s="3" t="s">
        <v>37</v>
      </c>
      <c r="D471" s="16" t="n">
        <v>0</v>
      </c>
      <c r="E471" s="3" t="n">
        <f aca="false">VLOOKUP(D471,'[1]REF Tables'!$A$2:$B$40,2)</f>
        <v>10</v>
      </c>
      <c r="F471" s="3" t="s">
        <v>315</v>
      </c>
      <c r="G471" s="3" t="n">
        <v>10</v>
      </c>
      <c r="H471" s="3" t="s">
        <v>316</v>
      </c>
      <c r="I471" s="3" t="s">
        <v>160</v>
      </c>
      <c r="J471" s="3" t="n">
        <v>2</v>
      </c>
      <c r="K471" s="1" t="str">
        <f aca="false">IF(J471=1,"-5",IF(OR(J471=2,J471=3),"-4",IF(OR(J471=4,J471=5),"-3",IF(OR(J471=6,J471=7),"-2",IF(OR(J471=8,J471=9),"-1",IF(OR(J471=10,J471=11),"0",IF(OR(J471=12,J471=13),"+1",IF(OR(J471=14,J471=15),"+2",IF(OR(J471=16,J471=17),"+3",IF(OR(J471=18,J471=19),"+4",IF(OR(J471=20,J471=21),"+5",IF(OR(J471=22,J471=23),"+6",IF(OR(J471=24,J471=25),"+7",IF(OR(J471=26,J471=27),"+8",IF(OR(J471=28,J471=29),"+9",IF(J471=30,"+10"," "))))))))))))))))</f>
        <v>-4</v>
      </c>
      <c r="L471" s="3" t="n">
        <v>11</v>
      </c>
      <c r="M471" s="1" t="str">
        <f aca="false">IF(L471=1,"-5",IF(OR(L471=2,L471=3),"-4",IF(OR(L471=4,L471=5),"-3",IF(OR(L471=6,L471=7),"-2",IF(OR(L471=8,L471=9),"-1",IF(OR(L471=10,L471=11),"0",IF(OR(L471=12,L471=13),"+1",IF(OR(L471=14,L471=15),"+2",IF(OR(L471=16,L471=17),"+3",IF(OR(L471=18,L471=19),"+4",IF(OR(L471=20,L471=21),"+5",IF(OR(L471=22,L471=23),"+6",IF(OR(L471=24,L471=25),"+7",IF(OR(L471=26,L471=27),"+8",IF(OR(L471=28,L471=29),"+9",IF(L471=30,"+10"," "))))))))))))))))</f>
        <v>0</v>
      </c>
      <c r="N471" s="3" t="n">
        <v>9</v>
      </c>
      <c r="O471" s="1" t="str">
        <f aca="false">IF(N471=1,"-5",IF(OR(N471=2,N471=3),"-4",IF(OR(N471=4,N471=5),"-3",IF(OR(N471=6,N471=7),"-2",IF(OR(N471=8,N471=9),"-1",IF(OR(N471=10,N471=11),"0",IF(OR(N471=12,N471=13),"+1",IF(OR(N471=14,N471=15),"+2",IF(OR(N471=16,N471=17),"+3",IF(OR(N471=18,N471=19),"+4",IF(OR(N471=20,N471=21),"+5",IF(OR(N471=22,N471=23),"+6",IF(OR(N471=24,N471=25),"+7",IF(OR(N471=26,N471=27),"+8",IF(OR(N471=28,N471=29),"+9",IF(N471=30,"+10"," "))))))))))))))))</f>
        <v>-1</v>
      </c>
      <c r="P471" s="3" t="n">
        <v>2</v>
      </c>
      <c r="Q471" s="1" t="str">
        <f aca="false">IF(P471=1,"-5",IF(OR(P471=2,P471=3),"-4",IF(OR(P471=4,P471=5),"-3",IF(OR(P471=6,P471=7),"-2",IF(OR(P471=8,P471=9),"-1",IF(OR(P471=10,P471=11),"0",IF(OR(P471=12,P471=13),"+1",IF(OR(P471=14,P471=15),"+2",IF(OR(P471=16,P471=17),"+3",IF(OR(P471=18,P471=19),"+4",IF(OR(P471=20,P471=21),"+5",IF(OR(P471=22,P471=23),"+6",IF(OR(P471=24,P471=25),"+7",IF(OR(P471=26,P471=27),"+8",IF(OR(P471=28,P471=29),"+9",IF(P471=30,"+10"," "))))))))))))))))</f>
        <v>-4</v>
      </c>
      <c r="R471" s="3" t="n">
        <v>10</v>
      </c>
      <c r="S471" s="1" t="str">
        <f aca="false">IF(R471=1,"-5",IF(OR(R471=2,R471=3),"-4",IF(OR(R471=4,R471=5),"-3",IF(OR(R471=6,R471=7),"-2",IF(OR(R471=8,R471=9),"-1",IF(OR(R471=10,R471=11),"0",IF(OR(R471=12,R471=13),"+1",IF(OR(R471=14,R471=15),"+2",IF(OR(R471=16,R471=17),"+3",IF(OR(R471=18,R471=19),"+4",IF(OR(R471=20,R471=21),"+5",IF(OR(R471=22,R471=23),"+6",IF(OR(R471=24,R471=25),"+7",IF(OR(R471=26,R471=27),"+8",IF(OR(R471=28,R471=29),"+9",IF(R471=30,"+10"," "))))))))))))))))</f>
        <v>0</v>
      </c>
      <c r="T471" s="3" t="n">
        <v>4</v>
      </c>
      <c r="U471" s="1" t="str">
        <f aca="false">IF(T471=1,"-5",IF(OR(T471=2,T471=3),"-4",IF(OR(T471=4,T471=5),"-3",IF(OR(T471=6,T471=7),"-2",IF(OR(T471=8,T471=9),"-1",IF(OR(T471=10,T471=11),"0",IF(OR(T471=12,T471=13),"+1",IF(OR(T471=14,T471=15),"+2",IF(OR(T471=16,T471=17),"+3",IF(OR(T471=18,T471=19),"+4",IF(OR(T471=20,T471=21),"+5",IF(OR(T471=22,T471=23),"+6",IF(OR(T471=24,T471=25),"+7",IF(OR(T471=26,T471=27),"+8",IF(OR(T471=28,T471=29),"+9",IF(T471=30,"+10"," "))))))))))))))))</f>
        <v>-3</v>
      </c>
      <c r="V471" s="3" t="s">
        <v>37</v>
      </c>
      <c r="W471" s="3" t="s">
        <v>37</v>
      </c>
      <c r="X471" s="11" t="s">
        <v>2290</v>
      </c>
      <c r="Y471" s="11" t="s">
        <v>2291</v>
      </c>
      <c r="Z471" s="11" t="s">
        <v>37</v>
      </c>
      <c r="AA471" s="12" t="s">
        <v>37</v>
      </c>
    </row>
    <row r="472" customFormat="false" ht="16.4" hidden="false" customHeight="false" outlineLevel="0" collapsed="false">
      <c r="A472" s="15" t="s">
        <v>2292</v>
      </c>
      <c r="B472" s="3" t="s">
        <v>59</v>
      </c>
      <c r="C472" s="3" t="s">
        <v>37</v>
      </c>
      <c r="D472" s="16" t="n">
        <v>0.125</v>
      </c>
      <c r="E472" s="3" t="n">
        <f aca="false">VLOOKUP(D472,'[1]REF Tables'!$A$2:$B$40,2)</f>
        <v>25</v>
      </c>
      <c r="F472" s="3" t="s">
        <v>165</v>
      </c>
      <c r="G472" s="3" t="n">
        <v>12</v>
      </c>
      <c r="H472" s="3" t="s">
        <v>1252</v>
      </c>
      <c r="I472" s="3" t="s">
        <v>42</v>
      </c>
      <c r="J472" s="3" t="n">
        <v>7</v>
      </c>
      <c r="K472" s="1" t="str">
        <f aca="false">IF(J472=1,"-5",IF(OR(J472=2,J472=3),"-4",IF(OR(J472=4,J472=5),"-3",IF(OR(J472=6,J472=7),"-2",IF(OR(J472=8,J472=9),"-1",IF(OR(J472=10,J472=11),"0",IF(OR(J472=12,J472=13),"+1",IF(OR(J472=14,J472=15),"+2",IF(OR(J472=16,J472=17),"+3",IF(OR(J472=18,J472=19),"+4",IF(OR(J472=20,J472=21),"+5",IF(OR(J472=22,J472=23),"+6",IF(OR(J472=24,J472=25),"+7",IF(OR(J472=26,J472=27),"+8",IF(OR(J472=28,J472=29),"+9",IF(J472=30,"+10"," "))))))))))))))))</f>
        <v>-2</v>
      </c>
      <c r="L472" s="3" t="n">
        <v>15</v>
      </c>
      <c r="M472" s="1" t="str">
        <f aca="false">IF(L472=1,"-5",IF(OR(L472=2,L472=3),"-4",IF(OR(L472=4,L472=5),"-3",IF(OR(L472=6,L472=7),"-2",IF(OR(L472=8,L472=9),"-1",IF(OR(L472=10,L472=11),"0",IF(OR(L472=12,L472=13),"+1",IF(OR(L472=14,L472=15),"+2",IF(OR(L472=16,L472=17),"+3",IF(OR(L472=18,L472=19),"+4",IF(OR(L472=20,L472=21),"+5",IF(OR(L472=22,L472=23),"+6",IF(OR(L472=24,L472=25),"+7",IF(OR(L472=26,L472=27),"+8",IF(OR(L472=28,L472=29),"+9",IF(L472=30,"+10"," "))))))))))))))))</f>
        <v>+2</v>
      </c>
      <c r="N472" s="3" t="n">
        <v>11</v>
      </c>
      <c r="O472" s="1" t="str">
        <f aca="false">IF(N472=1,"-5",IF(OR(N472=2,N472=3),"-4",IF(OR(N472=4,N472=5),"-3",IF(OR(N472=6,N472=7),"-2",IF(OR(N472=8,N472=9),"-1",IF(OR(N472=10,N472=11),"0",IF(OR(N472=12,N472=13),"+1",IF(OR(N472=14,N472=15),"+2",IF(OR(N472=16,N472=17),"+3",IF(OR(N472=18,N472=19),"+4",IF(OR(N472=20,N472=21),"+5",IF(OR(N472=22,N472=23),"+6",IF(OR(N472=24,N472=25),"+7",IF(OR(N472=26,N472=27),"+8",IF(OR(N472=28,N472=29),"+9",IF(N472=30,"+10"," "))))))))))))))))</f>
        <v>0</v>
      </c>
      <c r="P472" s="3" t="n">
        <v>2</v>
      </c>
      <c r="Q472" s="1" t="str">
        <f aca="false">IF(P472=1,"-5",IF(OR(P472=2,P472=3),"-4",IF(OR(P472=4,P472=5),"-3",IF(OR(P472=6,P472=7),"-2",IF(OR(P472=8,P472=9),"-1",IF(OR(P472=10,P472=11),"0",IF(OR(P472=12,P472=13),"+1",IF(OR(P472=14,P472=15),"+2",IF(OR(P472=16,P472=17),"+3",IF(OR(P472=18,P472=19),"+4",IF(OR(P472=20,P472=21),"+5",IF(OR(P472=22,P472=23),"+6",IF(OR(P472=24,P472=25),"+7",IF(OR(P472=26,P472=27),"+8",IF(OR(P472=28,P472=29),"+9",IF(P472=30,"+10"," "))))))))))))))))</f>
        <v>-4</v>
      </c>
      <c r="R472" s="3" t="n">
        <v>10</v>
      </c>
      <c r="S472" s="1" t="str">
        <f aca="false">IF(R472=1,"-5",IF(OR(R472=2,R472=3),"-4",IF(OR(R472=4,R472=5),"-3",IF(OR(R472=6,R472=7),"-2",IF(OR(R472=8,R472=9),"-1",IF(OR(R472=10,R472=11),"0",IF(OR(R472=12,R472=13),"+1",IF(OR(R472=14,R472=15),"+2",IF(OR(R472=16,R472=17),"+3",IF(OR(R472=18,R472=19),"+4",IF(OR(R472=20,R472=21),"+5",IF(OR(R472=22,R472=23),"+6",IF(OR(R472=24,R472=25),"+7",IF(OR(R472=26,R472=27),"+8",IF(OR(R472=28,R472=29),"+9",IF(R472=30,"+10"," "))))))))))))))))</f>
        <v>0</v>
      </c>
      <c r="T472" s="3" t="n">
        <v>4</v>
      </c>
      <c r="U472" s="1" t="str">
        <f aca="false">IF(T472=1,"-5",IF(OR(T472=2,T472=3),"-4",IF(OR(T472=4,T472=5),"-3",IF(OR(T472=6,T472=7),"-2",IF(OR(T472=8,T472=9),"-1",IF(OR(T472=10,T472=11),"0",IF(OR(T472=12,T472=13),"+1",IF(OR(T472=14,T472=15),"+2",IF(OR(T472=16,T472=17),"+3",IF(OR(T472=18,T472=19),"+4",IF(OR(T472=20,T472=21),"+5",IF(OR(T472=22,T472=23),"+6",IF(OR(T472=24,T472=25),"+7",IF(OR(T472=26,T472=27),"+8",IF(OR(T472=28,T472=29),"+9",IF(T472=30,"+10"," "))))))))))))))))</f>
        <v>-3</v>
      </c>
      <c r="V472" s="3" t="s">
        <v>37</v>
      </c>
      <c r="W472" s="3" t="s">
        <v>37</v>
      </c>
      <c r="X472" s="11" t="s">
        <v>2293</v>
      </c>
      <c r="Y472" s="11" t="s">
        <v>2294</v>
      </c>
      <c r="Z472" s="11" t="s">
        <v>37</v>
      </c>
      <c r="AA472" s="12" t="s">
        <v>37</v>
      </c>
    </row>
    <row r="473" customFormat="false" ht="16.4" hidden="false" customHeight="false" outlineLevel="0" collapsed="false">
      <c r="A473" s="15" t="s">
        <v>2295</v>
      </c>
      <c r="B473" s="3" t="s">
        <v>59</v>
      </c>
      <c r="C473" s="3" t="s">
        <v>49</v>
      </c>
      <c r="D473" s="16" t="n">
        <v>0</v>
      </c>
      <c r="E473" s="3" t="n">
        <f aca="false">VLOOKUP(D473,'[1]REF Tables'!$A$2:$B$40,2)</f>
        <v>10</v>
      </c>
      <c r="F473" s="3" t="s">
        <v>315</v>
      </c>
      <c r="G473" s="3" t="n">
        <v>12</v>
      </c>
      <c r="H473" s="3" t="s">
        <v>438</v>
      </c>
      <c r="I473" s="3" t="s">
        <v>42</v>
      </c>
      <c r="J473" s="3" t="n">
        <v>2</v>
      </c>
      <c r="K473" s="1" t="str">
        <f aca="false">IF(J473=1,"-5",IF(OR(J473=2,J473=3),"-4",IF(OR(J473=4,J473=5),"-3",IF(OR(J473=6,J473=7),"-2",IF(OR(J473=8,J473=9),"-1",IF(OR(J473=10,J473=11),"0",IF(OR(J473=12,J473=13),"+1",IF(OR(J473=14,J473=15),"+2",IF(OR(J473=16,J473=17),"+3",IF(OR(J473=18,J473=19),"+4",IF(OR(J473=20,J473=21),"+5",IF(OR(J473=22,J473=23),"+6",IF(OR(J473=24,J473=25),"+7",IF(OR(J473=26,J473=27),"+8",IF(OR(J473=28,J473=29),"+9",IF(J473=30,"+10"," "))))))))))))))))</f>
        <v>-4</v>
      </c>
      <c r="L473" s="3" t="n">
        <v>14</v>
      </c>
      <c r="M473" s="1" t="str">
        <f aca="false">IF(L473=1,"-5",IF(OR(L473=2,L473=3),"-4",IF(OR(L473=4,L473=5),"-3",IF(OR(L473=6,L473=7),"-2",IF(OR(L473=8,L473=9),"-1",IF(OR(L473=10,L473=11),"0",IF(OR(L473=12,L473=13),"+1",IF(OR(L473=14,L473=15),"+2",IF(OR(L473=16,L473=17),"+3",IF(OR(L473=18,L473=19),"+4",IF(OR(L473=20,L473=21),"+5",IF(OR(L473=22,L473=23),"+6",IF(OR(L473=24,L473=25),"+7",IF(OR(L473=26,L473=27),"+8",IF(OR(L473=28,L473=29),"+9",IF(L473=30,"+10"," "))))))))))))))))</f>
        <v>+2</v>
      </c>
      <c r="N473" s="3" t="n">
        <v>10</v>
      </c>
      <c r="O473" s="1" t="str">
        <f aca="false">IF(N473=1,"-5",IF(OR(N473=2,N473=3),"-4",IF(OR(N473=4,N473=5),"-3",IF(OR(N473=6,N473=7),"-2",IF(OR(N473=8,N473=9),"-1",IF(OR(N473=10,N473=11),"0",IF(OR(N473=12,N473=13),"+1",IF(OR(N473=14,N473=15),"+2",IF(OR(N473=16,N473=17),"+3",IF(OR(N473=18,N473=19),"+4",IF(OR(N473=20,N473=21),"+5",IF(OR(N473=22,N473=23),"+6",IF(OR(N473=24,N473=25),"+7",IF(OR(N473=26,N473=27),"+8",IF(OR(N473=28,N473=29),"+9",IF(N473=30,"+10"," "))))))))))))))))</f>
        <v>0</v>
      </c>
      <c r="P473" s="3" t="n">
        <v>4</v>
      </c>
      <c r="Q473" s="1" t="str">
        <f aca="false">IF(P473=1,"-5",IF(OR(P473=2,P473=3),"-4",IF(OR(P473=4,P473=5),"-3",IF(OR(P473=6,P473=7),"-2",IF(OR(P473=8,P473=9),"-1",IF(OR(P473=10,P473=11),"0",IF(OR(P473=12,P473=13),"+1",IF(OR(P473=14,P473=15),"+2",IF(OR(P473=16,P473=17),"+3",IF(OR(P473=18,P473=19),"+4",IF(OR(P473=20,P473=21),"+5",IF(OR(P473=22,P473=23),"+6",IF(OR(P473=24,P473=25),"+7",IF(OR(P473=26,P473=27),"+8",IF(OR(P473=28,P473=29),"+9",IF(P473=30,"+10"," "))))))))))))))))</f>
        <v>-3</v>
      </c>
      <c r="R473" s="3" t="n">
        <v>11</v>
      </c>
      <c r="S473" s="1" t="str">
        <f aca="false">IF(R473=1,"-5",IF(OR(R473=2,R473=3),"-4",IF(OR(R473=4,R473=5),"-3",IF(OR(R473=6,R473=7),"-2",IF(OR(R473=8,R473=9),"-1",IF(OR(R473=10,R473=11),"0",IF(OR(R473=12,R473=13),"+1",IF(OR(R473=14,R473=15),"+2",IF(OR(R473=16,R473=17),"+3",IF(OR(R473=18,R473=19),"+4",IF(OR(R473=20,R473=21),"+5",IF(OR(R473=22,R473=23),"+6",IF(OR(R473=24,R473=25),"+7",IF(OR(R473=26,R473=27),"+8",IF(OR(R473=28,R473=29),"+9",IF(R473=30,"+10"," "))))))))))))))))</f>
        <v>0</v>
      </c>
      <c r="T473" s="3" t="n">
        <v>8</v>
      </c>
      <c r="U473" s="1" t="str">
        <f aca="false">IF(T473=1,"-5",IF(OR(T473=2,T473=3),"-4",IF(OR(T473=4,T473=5),"-3",IF(OR(T473=6,T473=7),"-2",IF(OR(T473=8,T473=9),"-1",IF(OR(T473=10,T473=11),"0",IF(OR(T473=12,T473=13),"+1",IF(OR(T473=14,T473=15),"+2",IF(OR(T473=16,T473=17),"+3",IF(OR(T473=18,T473=19),"+4",IF(OR(T473=20,T473=21),"+5",IF(OR(T473=22,T473=23),"+6",IF(OR(T473=24,T473=25),"+7",IF(OR(T473=26,T473=27),"+8",IF(OR(T473=28,T473=29),"+9",IF(T473=30,"+10"," "))))))))))))))))</f>
        <v>-1</v>
      </c>
      <c r="V473" s="3" t="s">
        <v>37</v>
      </c>
      <c r="W473" s="3" t="s">
        <v>2048</v>
      </c>
      <c r="X473" s="11" t="s">
        <v>2296</v>
      </c>
      <c r="Y473" s="11" t="s">
        <v>2297</v>
      </c>
      <c r="Z473" s="11" t="s">
        <v>37</v>
      </c>
      <c r="AA473" s="12" t="s">
        <v>37</v>
      </c>
    </row>
    <row r="474" customFormat="false" ht="16.4" hidden="false" customHeight="false" outlineLevel="0" collapsed="false">
      <c r="A474" s="15" t="s">
        <v>2298</v>
      </c>
      <c r="B474" s="3" t="s">
        <v>1791</v>
      </c>
      <c r="C474" s="3" t="s">
        <v>49</v>
      </c>
      <c r="D474" s="16" t="n">
        <v>2</v>
      </c>
      <c r="E474" s="3" t="n">
        <f aca="false">VLOOKUP(D474,'[1]REF Tables'!$A$2:$B$40,2)</f>
        <v>450</v>
      </c>
      <c r="F474" s="3" t="s">
        <v>30</v>
      </c>
      <c r="G474" s="3" t="n">
        <v>12</v>
      </c>
      <c r="H474" s="3" t="s">
        <v>198</v>
      </c>
      <c r="I474" s="3" t="s">
        <v>42</v>
      </c>
      <c r="J474" s="3" t="n">
        <v>10</v>
      </c>
      <c r="K474" s="1" t="str">
        <f aca="false">IF(J474=1,"-5",IF(OR(J474=2,J474=3),"-4",IF(OR(J474=4,J474=5),"-3",IF(OR(J474=6,J474=7),"-2",IF(OR(J474=8,J474=9),"-1",IF(OR(J474=10,J474=11),"0",IF(OR(J474=12,J474=13),"+1",IF(OR(J474=14,J474=15),"+2",IF(OR(J474=16,J474=17),"+3",IF(OR(J474=18,J474=19),"+4",IF(OR(J474=20,J474=21),"+5",IF(OR(J474=22,J474=23),"+6",IF(OR(J474=24,J474=25),"+7",IF(OR(J474=26,J474=27),"+8",IF(OR(J474=28,J474=29),"+9",IF(J474=30,"+10"," "))))))))))))))))</f>
        <v>0</v>
      </c>
      <c r="L474" s="3" t="n">
        <v>15</v>
      </c>
      <c r="M474" s="1" t="str">
        <f aca="false">IF(L474=1,"-5",IF(OR(L474=2,L474=3),"-4",IF(OR(L474=4,L474=5),"-3",IF(OR(L474=6,L474=7),"-2",IF(OR(L474=8,L474=9),"-1",IF(OR(L474=10,L474=11),"0",IF(OR(L474=12,L474=13),"+1",IF(OR(L474=14,L474=15),"+2",IF(OR(L474=16,L474=17),"+3",IF(OR(L474=18,L474=19),"+4",IF(OR(L474=20,L474=21),"+5",IF(OR(L474=22,L474=23),"+6",IF(OR(L474=24,L474=25),"+7",IF(OR(L474=26,L474=27),"+8",IF(OR(L474=28,L474=29),"+9",IF(L474=30,"+10"," "))))))))))))))))</f>
        <v>+2</v>
      </c>
      <c r="N474" s="3" t="n">
        <v>12</v>
      </c>
      <c r="O474" s="1" t="str">
        <f aca="false">IF(N474=1,"-5",IF(OR(N474=2,N474=3),"-4",IF(OR(N474=4,N474=5),"-3",IF(OR(N474=6,N474=7),"-2",IF(OR(N474=8,N474=9),"-1",IF(OR(N474=10,N474=11),"0",IF(OR(N474=12,N474=13),"+1",IF(OR(N474=14,N474=15),"+2",IF(OR(N474=16,N474=17),"+3",IF(OR(N474=18,N474=19),"+4",IF(OR(N474=20,N474=21),"+5",IF(OR(N474=22,N474=23),"+6",IF(OR(N474=24,N474=25),"+7",IF(OR(N474=26,N474=27),"+8",IF(OR(N474=28,N474=29),"+9",IF(N474=30,"+10"," "))))))))))))))))</f>
        <v>+1</v>
      </c>
      <c r="P474" s="3" t="n">
        <v>11</v>
      </c>
      <c r="Q474" s="1" t="str">
        <f aca="false">IF(P474=1,"-5",IF(OR(P474=2,P474=3),"-4",IF(OR(P474=4,P474=5),"-3",IF(OR(P474=6,P474=7),"-2",IF(OR(P474=8,P474=9),"-1",IF(OR(P474=10,P474=11),"0",IF(OR(P474=12,P474=13),"+1",IF(OR(P474=14,P474=15),"+2",IF(OR(P474=16,P474=17),"+3",IF(OR(P474=18,P474=19),"+4",IF(OR(P474=20,P474=21),"+5",IF(OR(P474=22,P474=23),"+6",IF(OR(P474=24,P474=25),"+7",IF(OR(P474=26,P474=27),"+8",IF(OR(P474=28,P474=29),"+9",IF(P474=30,"+10"," "))))))))))))))))</f>
        <v>0</v>
      </c>
      <c r="R474" s="3" t="n">
        <v>10</v>
      </c>
      <c r="S474" s="1" t="str">
        <f aca="false">IF(R474=1,"-5",IF(OR(R474=2,R474=3),"-4",IF(OR(R474=4,R474=5),"-3",IF(OR(R474=6,R474=7),"-2",IF(OR(R474=8,R474=9),"-1",IF(OR(R474=10,R474=11),"0",IF(OR(R474=12,R474=13),"+1",IF(OR(R474=14,R474=15),"+2",IF(OR(R474=16,R474=17),"+3",IF(OR(R474=18,R474=19),"+4",IF(OR(R474=20,R474=21),"+5",IF(OR(R474=22,R474=23),"+6",IF(OR(R474=24,R474=25),"+7",IF(OR(R474=26,R474=27),"+8",IF(OR(R474=28,R474=29),"+9",IF(R474=30,"+10"," "))))))))))))))))</f>
        <v>0</v>
      </c>
      <c r="T474" s="3" t="n">
        <v>8</v>
      </c>
      <c r="U474" s="1" t="str">
        <f aca="false">IF(T474=1,"-5",IF(OR(T474=2,T474=3),"-4",IF(OR(T474=4,T474=5),"-3",IF(OR(T474=6,T474=7),"-2",IF(OR(T474=8,T474=9),"-1",IF(OR(T474=10,T474=11),"0",IF(OR(T474=12,T474=13),"+1",IF(OR(T474=14,T474=15),"+2",IF(OR(T474=16,T474=17),"+3",IF(OR(T474=18,T474=19),"+4",IF(OR(T474=20,T474=21),"+5",IF(OR(T474=22,T474=23),"+6",IF(OR(T474=24,T474=25),"+7",IF(OR(T474=26,T474=27),"+8",IF(OR(T474=28,T474=29),"+9",IF(T474=30,"+10"," "))))))))))))))))</f>
        <v>-1</v>
      </c>
      <c r="V474" s="3" t="s">
        <v>694</v>
      </c>
      <c r="W474" s="3" t="s">
        <v>2299</v>
      </c>
      <c r="X474" s="11" t="s">
        <v>2300</v>
      </c>
      <c r="Y474" s="11" t="s">
        <v>2301</v>
      </c>
      <c r="Z474" s="11" t="s">
        <v>37</v>
      </c>
      <c r="AA474" s="12" t="s">
        <v>37</v>
      </c>
    </row>
    <row r="475" customFormat="false" ht="16.4" hidden="false" customHeight="false" outlineLevel="0" collapsed="false">
      <c r="A475" s="15" t="s">
        <v>2302</v>
      </c>
      <c r="B475" s="3" t="s">
        <v>77</v>
      </c>
      <c r="C475" s="3" t="s">
        <v>222</v>
      </c>
      <c r="D475" s="16" t="n">
        <v>5</v>
      </c>
      <c r="E475" s="6" t="n">
        <f aca="false">VLOOKUP(D475,'[1]REF Tables'!$A$2:$B$40,2)</f>
        <v>1800</v>
      </c>
      <c r="F475" s="3" t="s">
        <v>30</v>
      </c>
      <c r="G475" s="3" t="n">
        <v>10</v>
      </c>
      <c r="H475" s="3" t="s">
        <v>2303</v>
      </c>
      <c r="I475" s="3" t="s">
        <v>42</v>
      </c>
      <c r="J475" s="3" t="n">
        <v>16</v>
      </c>
      <c r="K475" s="1" t="str">
        <f aca="false">IF(J475=1,"-5",IF(OR(J475=2,J475=3),"-4",IF(OR(J475=4,J475=5),"-3",IF(OR(J475=6,J475=7),"-2",IF(OR(J475=8,J475=9),"-1",IF(OR(J475=10,J475=11),"0",IF(OR(J475=12,J475=13),"+1",IF(OR(J475=14,J475=15),"+2",IF(OR(J475=16,J475=17),"+3",IF(OR(J475=18,J475=19),"+4",IF(OR(J475=20,J475=21),"+5",IF(OR(J475=22,J475=23),"+6",IF(OR(J475=24,J475=25),"+7",IF(OR(J475=26,J475=27),"+8",IF(OR(J475=28,J475=29),"+9",IF(J475=30,"+10"," "))))))))))))))))</f>
        <v>+3</v>
      </c>
      <c r="L475" s="3" t="n">
        <v>11</v>
      </c>
      <c r="M475" s="1" t="str">
        <f aca="false">IF(L475=1,"-5",IF(OR(L475=2,L475=3),"-4",IF(OR(L475=4,L475=5),"-3",IF(OR(L475=6,L475=7),"-2",IF(OR(L475=8,L475=9),"-1",IF(OR(L475=10,L475=11),"0",IF(OR(L475=12,L475=13),"+1",IF(OR(L475=14,L475=15),"+2",IF(OR(L475=16,L475=17),"+3",IF(OR(L475=18,L475=19),"+4",IF(OR(L475=20,L475=21),"+5",IF(OR(L475=22,L475=23),"+6",IF(OR(L475=24,L475=25),"+7",IF(OR(L475=26,L475=27),"+8",IF(OR(L475=28,L475=29),"+9",IF(L475=30,"+10"," "))))))))))))))))</f>
        <v>0</v>
      </c>
      <c r="N475" s="3" t="n">
        <v>18</v>
      </c>
      <c r="O475" s="1" t="str">
        <f aca="false">IF(N475=1,"-5",IF(OR(N475=2,N475=3),"-4",IF(OR(N475=4,N475=5),"-3",IF(OR(N475=6,N475=7),"-2",IF(OR(N475=8,N475=9),"-1",IF(OR(N475=10,N475=11),"0",IF(OR(N475=12,N475=13),"+1",IF(OR(N475=14,N475=15),"+2",IF(OR(N475=16,N475=17),"+3",IF(OR(N475=18,N475=19),"+4",IF(OR(N475=20,N475=21),"+5",IF(OR(N475=22,N475=23),"+6",IF(OR(N475=24,N475=25),"+7",IF(OR(N475=26,N475=27),"+8",IF(OR(N475=28,N475=29),"+9",IF(N475=30,"+10"," "))))))))))))))))</f>
        <v>+4</v>
      </c>
      <c r="P475" s="3" t="n">
        <v>5</v>
      </c>
      <c r="Q475" s="1" t="str">
        <f aca="false">IF(P475=1,"-5",IF(OR(P475=2,P475=3),"-4",IF(OR(P475=4,P475=5),"-3",IF(OR(P475=6,P475=7),"-2",IF(OR(P475=8,P475=9),"-1",IF(OR(P475=10,P475=11),"0",IF(OR(P475=12,P475=13),"+1",IF(OR(P475=14,P475=15),"+2",IF(OR(P475=16,P475=17),"+3",IF(OR(P475=18,P475=19),"+4",IF(OR(P475=20,P475=21),"+5",IF(OR(P475=22,P475=23),"+6",IF(OR(P475=24,P475=25),"+7",IF(OR(P475=26,P475=27),"+8",IF(OR(P475=28,P475=29),"+9",IF(P475=30,"+10"," "))))))))))))))))</f>
        <v>-3</v>
      </c>
      <c r="R475" s="3" t="n">
        <v>7</v>
      </c>
      <c r="S475" s="1" t="str">
        <f aca="false">IF(R475=1,"-5",IF(OR(R475=2,R475=3),"-4",IF(OR(R475=4,R475=5),"-3",IF(OR(R475=6,R475=7),"-2",IF(OR(R475=8,R475=9),"-1",IF(OR(R475=10,R475=11),"0",IF(OR(R475=12,R475=13),"+1",IF(OR(R475=14,R475=15),"+2",IF(OR(R475=16,R475=17),"+3",IF(OR(R475=18,R475=19),"+4",IF(OR(R475=20,R475=21),"+5",IF(OR(R475=22,R475=23),"+6",IF(OR(R475=24,R475=25),"+7",IF(OR(R475=26,R475=27),"+8",IF(OR(R475=28,R475=29),"+9",IF(R475=30,"+10"," "))))))))))))))))</f>
        <v>-2</v>
      </c>
      <c r="T475" s="3" t="n">
        <v>3</v>
      </c>
      <c r="U475" s="1" t="str">
        <f aca="false">IF(T475=1,"-5",IF(OR(T475=2,T475=3),"-4",IF(OR(T475=4,T475=5),"-3",IF(OR(T475=6,T475=7),"-2",IF(OR(T475=8,T475=9),"-1",IF(OR(T475=10,T475=11),"0",IF(OR(T475=12,T475=13),"+1",IF(OR(T475=14,T475=15),"+2",IF(OR(T475=16,T475=17),"+3",IF(OR(T475=18,T475=19),"+4",IF(OR(T475=20,T475=21),"+5",IF(OR(T475=22,T475=23),"+6",IF(OR(T475=24,T475=25),"+7",IF(OR(T475=26,T475=27),"+8",IF(OR(T475=28,T475=29),"+9",IF(T475=30,"+10"," "))))))))))))))))</f>
        <v>-4</v>
      </c>
      <c r="V475" s="3" t="s">
        <v>2304</v>
      </c>
      <c r="W475" s="3" t="s">
        <v>2305</v>
      </c>
      <c r="X475" s="11" t="s">
        <v>2306</v>
      </c>
      <c r="Y475" s="11" t="s">
        <v>2307</v>
      </c>
      <c r="Z475" s="11" t="s">
        <v>37</v>
      </c>
      <c r="AA475" s="12" t="s">
        <v>37</v>
      </c>
    </row>
    <row r="476" customFormat="false" ht="16.4" hidden="false" customHeight="false" outlineLevel="0" collapsed="false">
      <c r="A476" s="15" t="s">
        <v>2308</v>
      </c>
      <c r="B476" s="3" t="s">
        <v>39</v>
      </c>
      <c r="C476" s="3" t="s">
        <v>85</v>
      </c>
      <c r="D476" s="16" t="n">
        <v>1</v>
      </c>
      <c r="E476" s="3" t="n">
        <f aca="false">VLOOKUP(D476,'[1]REF Tables'!$A$2:$B$40,2)</f>
        <v>200</v>
      </c>
      <c r="F476" s="3" t="s">
        <v>30</v>
      </c>
      <c r="G476" s="3" t="n">
        <v>11</v>
      </c>
      <c r="H476" s="3" t="s">
        <v>790</v>
      </c>
      <c r="I476" s="3" t="s">
        <v>2309</v>
      </c>
      <c r="J476" s="3" t="n">
        <v>15</v>
      </c>
      <c r="K476" s="1" t="str">
        <f aca="false">IF(J476=1,"-5",IF(OR(J476=2,J476=3),"-4",IF(OR(J476=4,J476=5),"-3",IF(OR(J476=6,J476=7),"-2",IF(OR(J476=8,J476=9),"-1",IF(OR(J476=10,J476=11),"0",IF(OR(J476=12,J476=13),"+1",IF(OR(J476=14,J476=15),"+2",IF(OR(J476=16,J476=17),"+3",IF(OR(J476=18,J476=19),"+4",IF(OR(J476=20,J476=21),"+5",IF(OR(J476=22,J476=23),"+6",IF(OR(J476=24,J476=25),"+7",IF(OR(J476=26,J476=27),"+8",IF(OR(J476=28,J476=29),"+9",IF(J476=30,"+10"," "))))))))))))))))</f>
        <v>+2</v>
      </c>
      <c r="L476" s="3" t="n">
        <v>8</v>
      </c>
      <c r="M476" s="1" t="str">
        <f aca="false">IF(L476=1,"-5",IF(OR(L476=2,L476=3),"-4",IF(OR(L476=4,L476=5),"-3",IF(OR(L476=6,L476=7),"-2",IF(OR(L476=8,L476=9),"-1",IF(OR(L476=10,L476=11),"0",IF(OR(L476=12,L476=13),"+1",IF(OR(L476=14,L476=15),"+2",IF(OR(L476=16,L476=17),"+3",IF(OR(L476=18,L476=19),"+4",IF(OR(L476=20,L476=21),"+5",IF(OR(L476=22,L476=23),"+6",IF(OR(L476=24,L476=25),"+7",IF(OR(L476=26,L476=27),"+8",IF(OR(L476=28,L476=29),"+9",IF(L476=30,"+10"," "))))))))))))))))</f>
        <v>-1</v>
      </c>
      <c r="N476" s="3" t="n">
        <v>15</v>
      </c>
      <c r="O476" s="1" t="str">
        <f aca="false">IF(N476=1,"-5",IF(OR(N476=2,N476=3),"-4",IF(OR(N476=4,N476=5),"-3",IF(OR(N476=6,N476=7),"-2",IF(OR(N476=8,N476=9),"-1",IF(OR(N476=10,N476=11),"0",IF(OR(N476=12,N476=13),"+1",IF(OR(N476=14,N476=15),"+2",IF(OR(N476=16,N476=17),"+3",IF(OR(N476=18,N476=19),"+4",IF(OR(N476=20,N476=21),"+5",IF(OR(N476=22,N476=23),"+6",IF(OR(N476=24,N476=25),"+7",IF(OR(N476=26,N476=27),"+8",IF(OR(N476=28,N476=29),"+9",IF(N476=30,"+10"," "))))))))))))))))</f>
        <v>+2</v>
      </c>
      <c r="P476" s="3" t="n">
        <v>6</v>
      </c>
      <c r="Q476" s="1" t="str">
        <f aca="false">IF(P476=1,"-5",IF(OR(P476=2,P476=3),"-4",IF(OR(P476=4,P476=5),"-3",IF(OR(P476=6,P476=7),"-2",IF(OR(P476=8,P476=9),"-1",IF(OR(P476=10,P476=11),"0",IF(OR(P476=12,P476=13),"+1",IF(OR(P476=14,P476=15),"+2",IF(OR(P476=16,P476=17),"+3",IF(OR(P476=18,P476=19),"+4",IF(OR(P476=20,P476=21),"+5",IF(OR(P476=22,P476=23),"+6",IF(OR(P476=24,P476=25),"+7",IF(OR(P476=26,P476=27),"+8",IF(OR(P476=28,P476=29),"+9",IF(P476=30,"+10"," "))))))))))))))))</f>
        <v>-2</v>
      </c>
      <c r="R476" s="3" t="n">
        <v>10</v>
      </c>
      <c r="S476" s="1" t="str">
        <f aca="false">IF(R476=1,"-5",IF(OR(R476=2,R476=3),"-4",IF(OR(R476=4,R476=5),"-3",IF(OR(R476=6,R476=7),"-2",IF(OR(R476=8,R476=9),"-1",IF(OR(R476=10,R476=11),"0",IF(OR(R476=12,R476=13),"+1",IF(OR(R476=14,R476=15),"+2",IF(OR(R476=16,R476=17),"+3",IF(OR(R476=18,R476=19),"+4",IF(OR(R476=20,R476=21),"+5",IF(OR(R476=22,R476=23),"+6",IF(OR(R476=24,R476=25),"+7",IF(OR(R476=26,R476=27),"+8",IF(OR(R476=28,R476=29),"+9",IF(R476=30,"+10"," "))))))))))))))))</f>
        <v>0</v>
      </c>
      <c r="T476" s="3" t="n">
        <v>8</v>
      </c>
      <c r="U476" s="1" t="str">
        <f aca="false">IF(T476=1,"-5",IF(OR(T476=2,T476=3),"-4",IF(OR(T476=4,T476=5),"-3",IF(OR(T476=6,T476=7),"-2",IF(OR(T476=8,T476=9),"-1",IF(OR(T476=10,T476=11),"0",IF(OR(T476=12,T476=13),"+1",IF(OR(T476=14,T476=15),"+2",IF(OR(T476=16,T476=17),"+3",IF(OR(T476=18,T476=19),"+4",IF(OR(T476=20,T476=21),"+5",IF(OR(T476=22,T476=23),"+6",IF(OR(T476=24,T476=25),"+7",IF(OR(T476=26,T476=27),"+8",IF(OR(T476=28,T476=29),"+9",IF(T476=30,"+10"," "))))))))))))))))</f>
        <v>-1</v>
      </c>
      <c r="V476" s="3" t="s">
        <v>37</v>
      </c>
      <c r="W476" s="3" t="s">
        <v>2310</v>
      </c>
      <c r="X476" s="11" t="s">
        <v>2311</v>
      </c>
      <c r="Y476" s="11" t="s">
        <v>2312</v>
      </c>
      <c r="Z476" s="11" t="s">
        <v>37</v>
      </c>
      <c r="AA476" s="12" t="s">
        <v>37</v>
      </c>
    </row>
    <row r="477" customFormat="false" ht="16.4" hidden="false" customHeight="false" outlineLevel="0" collapsed="false">
      <c r="A477" s="15" t="s">
        <v>2313</v>
      </c>
      <c r="B477" s="3" t="s">
        <v>1307</v>
      </c>
      <c r="C477" s="3" t="s">
        <v>85</v>
      </c>
      <c r="D477" s="16" t="n">
        <v>3</v>
      </c>
      <c r="E477" s="3" t="n">
        <f aca="false">VLOOKUP(D477,'[1]REF Tables'!$A$2:$B$40,2)</f>
        <v>700</v>
      </c>
      <c r="F477" s="3" t="s">
        <v>30</v>
      </c>
      <c r="G477" s="3" t="n">
        <v>11</v>
      </c>
      <c r="H477" s="3" t="s">
        <v>98</v>
      </c>
      <c r="I477" s="3" t="s">
        <v>2314</v>
      </c>
      <c r="J477" s="3" t="n">
        <v>18</v>
      </c>
      <c r="K477" s="1" t="str">
        <f aca="false">IF(J477=1,"-5",IF(OR(J477=2,J477=3),"-4",IF(OR(J477=4,J477=5),"-3",IF(OR(J477=6,J477=7),"-2",IF(OR(J477=8,J477=9),"-1",IF(OR(J477=10,J477=11),"0",IF(OR(J477=12,J477=13),"+1",IF(OR(J477=14,J477=15),"+2",IF(OR(J477=16,J477=17),"+3",IF(OR(J477=18,J477=19),"+4",IF(OR(J477=20,J477=21),"+5",IF(OR(J477=22,J477=23),"+6",IF(OR(J477=24,J477=25),"+7",IF(OR(J477=26,J477=27),"+8",IF(OR(J477=28,J477=29),"+9",IF(J477=30,"+10"," "))))))))))))))))</f>
        <v>+4</v>
      </c>
      <c r="L477" s="3" t="n">
        <v>13</v>
      </c>
      <c r="M477" s="1" t="str">
        <f aca="false">IF(L477=1,"-5",IF(OR(L477=2,L477=3),"-4",IF(OR(L477=4,L477=5),"-3",IF(OR(L477=6,L477=7),"-2",IF(OR(L477=8,L477=9),"-1",IF(OR(L477=10,L477=11),"0",IF(OR(L477=12,L477=13),"+1",IF(OR(L477=14,L477=15),"+2",IF(OR(L477=16,L477=17),"+3",IF(OR(L477=18,L477=19),"+4",IF(OR(L477=20,L477=21),"+5",IF(OR(L477=22,L477=23),"+6",IF(OR(L477=24,L477=25),"+7",IF(OR(L477=26,L477=27),"+8",IF(OR(L477=28,L477=29),"+9",IF(L477=30,"+10"," "))))))))))))))))</f>
        <v>+1</v>
      </c>
      <c r="N477" s="3" t="n">
        <v>16</v>
      </c>
      <c r="O477" s="1" t="str">
        <f aca="false">IF(N477=1,"-5",IF(OR(N477=2,N477=3),"-4",IF(OR(N477=4,N477=5),"-3",IF(OR(N477=6,N477=7),"-2",IF(OR(N477=8,N477=9),"-1",IF(OR(N477=10,N477=11),"0",IF(OR(N477=12,N477=13),"+1",IF(OR(N477=14,N477=15),"+2",IF(OR(N477=16,N477=17),"+3",IF(OR(N477=18,N477=19),"+4",IF(OR(N477=20,N477=21),"+5",IF(OR(N477=22,N477=23),"+6",IF(OR(N477=24,N477=25),"+7",IF(OR(N477=26,N477=27),"+8",IF(OR(N477=28,N477=29),"+9",IF(N477=30,"+10"," "))))))))))))))))</f>
        <v>+3</v>
      </c>
      <c r="P477" s="3" t="n">
        <v>10</v>
      </c>
      <c r="Q477" s="1" t="str">
        <f aca="false">IF(P477=1,"-5",IF(OR(P477=2,P477=3),"-4",IF(OR(P477=4,P477=5),"-3",IF(OR(P477=6,P477=7),"-2",IF(OR(P477=8,P477=9),"-1",IF(OR(P477=10,P477=11),"0",IF(OR(P477=12,P477=13),"+1",IF(OR(P477=14,P477=15),"+2",IF(OR(P477=16,P477=17),"+3",IF(OR(P477=18,P477=19),"+4",IF(OR(P477=20,P477=21),"+5",IF(OR(P477=22,P477=23),"+6",IF(OR(P477=24,P477=25),"+7",IF(OR(P477=26,P477=27),"+8",IF(OR(P477=28,P477=29),"+9",IF(P477=30,"+10"," "))))))))))))))))</f>
        <v>0</v>
      </c>
      <c r="R477" s="3" t="n">
        <v>12</v>
      </c>
      <c r="S477" s="1" t="str">
        <f aca="false">IF(R477=1,"-5",IF(OR(R477=2,R477=3),"-4",IF(OR(R477=4,R477=5),"-3",IF(OR(R477=6,R477=7),"-2",IF(OR(R477=8,R477=9),"-1",IF(OR(R477=10,R477=11),"0",IF(OR(R477=12,R477=13),"+1",IF(OR(R477=14,R477=15),"+2",IF(OR(R477=16,R477=17),"+3",IF(OR(R477=18,R477=19),"+4",IF(OR(R477=20,R477=21),"+5",IF(OR(R477=22,R477=23),"+6",IF(OR(R477=24,R477=25),"+7",IF(OR(R477=26,R477=27),"+8",IF(OR(R477=28,R477=29),"+9",IF(R477=30,"+10"," "))))))))))))))))</f>
        <v>+1</v>
      </c>
      <c r="T477" s="3" t="n">
        <v>14</v>
      </c>
      <c r="U477" s="1" t="str">
        <f aca="false">IF(T477=1,"-5",IF(OR(T477=2,T477=3),"-4",IF(OR(T477=4,T477=5),"-3",IF(OR(T477=6,T477=7),"-2",IF(OR(T477=8,T477=9),"-1",IF(OR(T477=10,T477=11),"0",IF(OR(T477=12,T477=13),"+1",IF(OR(T477=14,T477=15),"+2",IF(OR(T477=16,T477=17),"+3",IF(OR(T477=18,T477=19),"+4",IF(OR(T477=20,T477=21),"+5",IF(OR(T477=22,T477=23),"+6",IF(OR(T477=24,T477=25),"+7",IF(OR(T477=26,T477=27),"+8",IF(OR(T477=28,T477=29),"+9",IF(T477=30,"+10"," "))))))))))))))))</f>
        <v>+2</v>
      </c>
      <c r="V477" s="3" t="s">
        <v>2315</v>
      </c>
      <c r="W477" s="3" t="s">
        <v>2316</v>
      </c>
      <c r="X477" s="11" t="s">
        <v>2317</v>
      </c>
      <c r="Y477" s="11" t="s">
        <v>2318</v>
      </c>
      <c r="Z477" s="11" t="s">
        <v>37</v>
      </c>
      <c r="AA477" s="12" t="s">
        <v>37</v>
      </c>
    </row>
    <row r="478" customFormat="false" ht="16.4" hidden="false" customHeight="false" outlineLevel="0" collapsed="false">
      <c r="A478" s="15" t="s">
        <v>2319</v>
      </c>
      <c r="B478" s="3" t="s">
        <v>105</v>
      </c>
      <c r="C478" s="3" t="s">
        <v>37</v>
      </c>
      <c r="D478" s="16" t="n">
        <v>11</v>
      </c>
      <c r="E478" s="6" t="n">
        <f aca="false">VLOOKUP(D478,'[1]REF Tables'!$A$2:$B$40,2)</f>
        <v>7200</v>
      </c>
      <c r="F478" s="3" t="s">
        <v>121</v>
      </c>
      <c r="G478" s="3" t="n">
        <v>17</v>
      </c>
      <c r="H478" s="3" t="s">
        <v>970</v>
      </c>
      <c r="I478" s="3" t="s">
        <v>1850</v>
      </c>
      <c r="J478" s="3" t="n">
        <v>24</v>
      </c>
      <c r="K478" s="1" t="str">
        <f aca="false">IF(J478=1,"-5",IF(OR(J478=2,J478=3),"-4",IF(OR(J478=4,J478=5),"-3",IF(OR(J478=6,J478=7),"-2",IF(OR(J478=8,J478=9),"-1",IF(OR(J478=10,J478=11),"0",IF(OR(J478=12,J478=13),"+1",IF(OR(J478=14,J478=15),"+2",IF(OR(J478=16,J478=17),"+3",IF(OR(J478=18,J478=19),"+4",IF(OR(J478=20,J478=21),"+5",IF(OR(J478=22,J478=23),"+6",IF(OR(J478=24,J478=25),"+7",IF(OR(J478=26,J478=27),"+8",IF(OR(J478=28,J478=29),"+9",IF(J478=30,"+10"," "))))))))))))))))</f>
        <v>+7</v>
      </c>
      <c r="L478" s="3" t="n">
        <v>13</v>
      </c>
      <c r="M478" s="1" t="str">
        <f aca="false">IF(L478=1,"-5",IF(OR(L478=2,L478=3),"-4",IF(OR(L478=4,L478=5),"-3",IF(OR(L478=6,L478=7),"-2",IF(OR(L478=8,L478=9),"-1",IF(OR(L478=10,L478=11),"0",IF(OR(L478=12,L478=13),"+1",IF(OR(L478=14,L478=15),"+2",IF(OR(L478=16,L478=17),"+3",IF(OR(L478=18,L478=19),"+4",IF(OR(L478=20,L478=21),"+5",IF(OR(L478=22,L478=23),"+6",IF(OR(L478=24,L478=25),"+7",IF(OR(L478=26,L478=27),"+8",IF(OR(L478=28,L478=29),"+9",IF(L478=30,"+10"," "))))))))))))))))</f>
        <v>+1</v>
      </c>
      <c r="N478" s="3" t="n">
        <v>21</v>
      </c>
      <c r="O478" s="1" t="str">
        <f aca="false">IF(N478=1,"-5",IF(OR(N478=2,N478=3),"-4",IF(OR(N478=4,N478=5),"-3",IF(OR(N478=6,N478=7),"-2",IF(OR(N478=8,N478=9),"-1",IF(OR(N478=10,N478=11),"0",IF(OR(N478=12,N478=13),"+1",IF(OR(N478=14,N478=15),"+2",IF(OR(N478=16,N478=17),"+3",IF(OR(N478=18,N478=19),"+4",IF(OR(N478=20,N478=21),"+5",IF(OR(N478=22,N478=23),"+6",IF(OR(N478=24,N478=25),"+7",IF(OR(N478=26,N478=27),"+8",IF(OR(N478=28,N478=29),"+9",IF(N478=30,"+10"," "))))))))))))))))</f>
        <v>+5</v>
      </c>
      <c r="P478" s="3" t="n">
        <v>4</v>
      </c>
      <c r="Q478" s="1" t="str">
        <f aca="false">IF(P478=1,"-5",IF(OR(P478=2,P478=3),"-4",IF(OR(P478=4,P478=5),"-3",IF(OR(P478=6,P478=7),"-2",IF(OR(P478=8,P478=9),"-1",IF(OR(P478=10,P478=11),"0",IF(OR(P478=12,P478=13),"+1",IF(OR(P478=14,P478=15),"+2",IF(OR(P478=16,P478=17),"+3",IF(OR(P478=18,P478=19),"+4",IF(OR(P478=20,P478=21),"+5",IF(OR(P478=22,P478=23),"+6",IF(OR(P478=24,P478=25),"+7",IF(OR(P478=26,P478=27),"+8",IF(OR(P478=28,P478=29),"+9",IF(P478=30,"+10"," "))))))))))))))))</f>
        <v>-3</v>
      </c>
      <c r="R478" s="3" t="n">
        <v>10</v>
      </c>
      <c r="S478" s="1" t="str">
        <f aca="false">IF(R478=1,"-5",IF(OR(R478=2,R478=3),"-4",IF(OR(R478=4,R478=5),"-3",IF(OR(R478=6,R478=7),"-2",IF(OR(R478=8,R478=9),"-1",IF(OR(R478=10,R478=11),"0",IF(OR(R478=12,R478=13),"+1",IF(OR(R478=14,R478=15),"+2",IF(OR(R478=16,R478=17),"+3",IF(OR(R478=18,R478=19),"+4",IF(OR(R478=20,R478=21),"+5",IF(OR(R478=22,R478=23),"+6",IF(OR(R478=24,R478=25),"+7",IF(OR(R478=26,R478=27),"+8",IF(OR(R478=28,R478=29),"+9",IF(R478=30,"+10"," "))))))))))))))))</f>
        <v>0</v>
      </c>
      <c r="T478" s="3" t="n">
        <v>5</v>
      </c>
      <c r="U478" s="1" t="str">
        <f aca="false">IF(T478=1,"-5",IF(OR(T478=2,T478=3),"-4",IF(OR(T478=4,T478=5),"-3",IF(OR(T478=6,T478=7),"-2",IF(OR(T478=8,T478=9),"-1",IF(OR(T478=10,T478=11),"0",IF(OR(T478=12,T478=13),"+1",IF(OR(T478=14,T478=15),"+2",IF(OR(T478=16,T478=17),"+3",IF(OR(T478=18,T478=19),"+4",IF(OR(T478=20,T478=21),"+5",IF(OR(T478=22,T478=23),"+6",IF(OR(T478=24,T478=25),"+7",IF(OR(T478=26,T478=27),"+8",IF(OR(T478=28,T478=29),"+9",IF(T478=30,"+10"," "))))))))))))))))</f>
        <v>-3</v>
      </c>
      <c r="V478" s="3" t="s">
        <v>37</v>
      </c>
      <c r="W478" s="3" t="s">
        <v>37</v>
      </c>
      <c r="X478" s="3" t="s">
        <v>2320</v>
      </c>
      <c r="Y478" s="11" t="s">
        <v>2321</v>
      </c>
      <c r="Z478" s="11" t="s">
        <v>37</v>
      </c>
      <c r="AA478" s="12" t="s">
        <v>37</v>
      </c>
    </row>
    <row r="479" customFormat="false" ht="16.4" hidden="false" customHeight="false" outlineLevel="0" collapsed="false">
      <c r="A479" s="15" t="s">
        <v>2322</v>
      </c>
      <c r="B479" s="3" t="s">
        <v>105</v>
      </c>
      <c r="C479" s="3" t="s">
        <v>37</v>
      </c>
      <c r="D479" s="16" t="n">
        <v>5</v>
      </c>
      <c r="E479" s="6" t="n">
        <f aca="false">VLOOKUP(D479,'[1]REF Tables'!$A$2:$B$40,2)</f>
        <v>1800</v>
      </c>
      <c r="F479" s="3" t="s">
        <v>50</v>
      </c>
      <c r="G479" s="3" t="n">
        <v>14</v>
      </c>
      <c r="H479" s="3" t="s">
        <v>533</v>
      </c>
      <c r="I479" s="3" t="s">
        <v>2323</v>
      </c>
      <c r="J479" s="3" t="n">
        <v>18</v>
      </c>
      <c r="K479" s="1" t="str">
        <f aca="false">IF(J479=1,"-5",IF(OR(J479=2,J479=3),"-4",IF(OR(J479=4,J479=5),"-3",IF(OR(J479=6,J479=7),"-2",IF(OR(J479=8,J479=9),"-1",IF(OR(J479=10,J479=11),"0",IF(OR(J479=12,J479=13),"+1",IF(OR(J479=14,J479=15),"+2",IF(OR(J479=16,J479=17),"+3",IF(OR(J479=18,J479=19),"+4",IF(OR(J479=20,J479=21),"+5",IF(OR(J479=22,J479=23),"+6",IF(OR(J479=24,J479=25),"+7",IF(OR(J479=26,J479=27),"+8",IF(OR(J479=28,J479=29),"+9",IF(J479=30,"+10"," "))))))))))))))))</f>
        <v>+4</v>
      </c>
      <c r="L479" s="3" t="n">
        <v>13</v>
      </c>
      <c r="M479" s="1" t="str">
        <f aca="false">IF(L479=1,"-5",IF(OR(L479=2,L479=3),"-4",IF(OR(L479=4,L479=5),"-3",IF(OR(L479=6,L479=7),"-2",IF(OR(L479=8,L479=9),"-1",IF(OR(L479=10,L479=11),"0",IF(OR(L479=12,L479=13),"+1",IF(OR(L479=14,L479=15),"+2",IF(OR(L479=16,L479=17),"+3",IF(OR(L479=18,L479=19),"+4",IF(OR(L479=20,L479=21),"+5",IF(OR(L479=22,L479=23),"+6",IF(OR(L479=24,L479=25),"+7",IF(OR(L479=26,L479=27),"+8",IF(OR(L479=28,L479=29),"+9",IF(L479=30,"+10"," "))))))))))))))))</f>
        <v>+1</v>
      </c>
      <c r="N479" s="3" t="n">
        <v>17</v>
      </c>
      <c r="O479" s="1" t="str">
        <f aca="false">IF(N479=1,"-5",IF(OR(N479=2,N479=3),"-4",IF(OR(N479=4,N479=5),"-3",IF(OR(N479=6,N479=7),"-2",IF(OR(N479=8,N479=9),"-1",IF(OR(N479=10,N479=11),"0",IF(OR(N479=12,N479=13),"+1",IF(OR(N479=14,N479=15),"+2",IF(OR(N479=16,N479=17),"+3",IF(OR(N479=18,N479=19),"+4",IF(OR(N479=20,N479=21),"+5",IF(OR(N479=22,N479=23),"+6",IF(OR(N479=24,N479=25),"+7",IF(OR(N479=26,N479=27),"+8",IF(OR(N479=28,N479=29),"+9",IF(N479=30,"+10"," "))))))))))))))))</f>
        <v>+3</v>
      </c>
      <c r="P479" s="3" t="n">
        <v>3</v>
      </c>
      <c r="Q479" s="1" t="str">
        <f aca="false">IF(P479=1,"-5",IF(OR(P479=2,P479=3),"-4",IF(OR(P479=4,P479=5),"-3",IF(OR(P479=6,P479=7),"-2",IF(OR(P479=8,P479=9),"-1",IF(OR(P479=10,P479=11),"0",IF(OR(P479=12,P479=13),"+1",IF(OR(P479=14,P479=15),"+2",IF(OR(P479=16,P479=17),"+3",IF(OR(P479=18,P479=19),"+4",IF(OR(P479=20,P479=21),"+5",IF(OR(P479=22,P479=23),"+6",IF(OR(P479=24,P479=25),"+7",IF(OR(P479=26,P479=27),"+8",IF(OR(P479=28,P479=29),"+9",IF(P479=30,"+10"," "))))))))))))))))</f>
        <v>-4</v>
      </c>
      <c r="R479" s="3" t="n">
        <v>10</v>
      </c>
      <c r="S479" s="1" t="str">
        <f aca="false">IF(R479=1,"-5",IF(OR(R479=2,R479=3),"-4",IF(OR(R479=4,R479=5),"-3",IF(OR(R479=6,R479=7),"-2",IF(OR(R479=8,R479=9),"-1",IF(OR(R479=10,R479=11),"0",IF(OR(R479=12,R479=13),"+1",IF(OR(R479=14,R479=15),"+2",IF(OR(R479=16,R479=17),"+3",IF(OR(R479=18,R479=19),"+4",IF(OR(R479=20,R479=21),"+5",IF(OR(R479=22,R479=23),"+6",IF(OR(R479=24,R479=25),"+7",IF(OR(R479=26,R479=27),"+8",IF(OR(R479=28,R479=29),"+9",IF(R479=30,"+10"," "))))))))))))))))</f>
        <v>0</v>
      </c>
      <c r="T479" s="3" t="n">
        <v>4</v>
      </c>
      <c r="U479" s="1" t="str">
        <f aca="false">IF(T479=1,"-5",IF(OR(T479=2,T479=3),"-4",IF(OR(T479=4,T479=5),"-3",IF(OR(T479=6,T479=7),"-2",IF(OR(T479=8,T479=9),"-1",IF(OR(T479=10,T479=11),"0",IF(OR(T479=12,T479=13),"+1",IF(OR(T479=14,T479=15),"+2",IF(OR(T479=16,T479=17),"+3",IF(OR(T479=18,T479=19),"+4",IF(OR(T479=20,T479=21),"+5",IF(OR(T479=22,T479=23),"+6",IF(OR(T479=24,T479=25),"+7",IF(OR(T479=26,T479=27),"+8",IF(OR(T479=28,T479=29),"+9",IF(T479=30,"+10"," "))))))))))))))))</f>
        <v>-3</v>
      </c>
      <c r="V479" s="3" t="s">
        <v>37</v>
      </c>
      <c r="W479" s="3" t="s">
        <v>37</v>
      </c>
      <c r="X479" s="11" t="s">
        <v>2324</v>
      </c>
      <c r="Y479" s="11" t="s">
        <v>2325</v>
      </c>
      <c r="Z479" s="11" t="s">
        <v>37</v>
      </c>
      <c r="AA479" s="12" t="s">
        <v>37</v>
      </c>
    </row>
    <row r="480" customFormat="false" ht="16.4" hidden="false" customHeight="false" outlineLevel="0" collapsed="false">
      <c r="A480" s="15" t="s">
        <v>2326</v>
      </c>
      <c r="B480" s="3" t="s">
        <v>59</v>
      </c>
      <c r="C480" s="3" t="s">
        <v>37</v>
      </c>
      <c r="D480" s="16" t="n">
        <v>0.5</v>
      </c>
      <c r="E480" s="3" t="n">
        <f aca="false">VLOOKUP(D480,'[1]REF Tables'!$A$2:$B$40,2)</f>
        <v>100</v>
      </c>
      <c r="F480" s="3" t="s">
        <v>30</v>
      </c>
      <c r="G480" s="3" t="n">
        <v>12</v>
      </c>
      <c r="H480" s="3" t="s">
        <v>503</v>
      </c>
      <c r="I480" s="3" t="s">
        <v>1603</v>
      </c>
      <c r="J480" s="3" t="n">
        <v>14</v>
      </c>
      <c r="K480" s="1" t="str">
        <f aca="false">IF(J480=1,"-5",IF(OR(J480=2,J480=3),"-4",IF(OR(J480=4,J480=5),"-3",IF(OR(J480=6,J480=7),"-2",IF(OR(J480=8,J480=9),"-1",IF(OR(J480=10,J480=11),"0",IF(OR(J480=12,J480=13),"+1",IF(OR(J480=14,J480=15),"+2",IF(OR(J480=16,J480=17),"+3",IF(OR(J480=18,J480=19),"+4",IF(OR(J480=20,J480=21),"+5",IF(OR(J480=22,J480=23),"+6",IF(OR(J480=24,J480=25),"+7",IF(OR(J480=26,J480=27),"+8",IF(OR(J480=28,J480=29),"+9",IF(J480=30,"+10"," "))))))))))))))))</f>
        <v>+2</v>
      </c>
      <c r="L480" s="3" t="n">
        <v>13</v>
      </c>
      <c r="M480" s="1" t="str">
        <f aca="false">IF(L480=1,"-5",IF(OR(L480=2,L480=3),"-4",IF(OR(L480=4,L480=5),"-3",IF(OR(L480=6,L480=7),"-2",IF(OR(L480=8,L480=9),"-1",IF(OR(L480=10,L480=11),"0",IF(OR(L480=12,L480=13),"+1",IF(OR(L480=14,L480=15),"+2",IF(OR(L480=16,L480=17),"+3",IF(OR(L480=18,L480=19),"+4",IF(OR(L480=20,L480=21),"+5",IF(OR(L480=22,L480=23),"+6",IF(OR(L480=24,L480=25),"+7",IF(OR(L480=26,L480=27),"+8",IF(OR(L480=28,L480=29),"+9",IF(L480=30,"+10"," "))))))))))))))))</f>
        <v>+1</v>
      </c>
      <c r="N480" s="3" t="n">
        <v>13</v>
      </c>
      <c r="O480" s="1" t="str">
        <f aca="false">IF(N480=1,"-5",IF(OR(N480=2,N480=3),"-4",IF(OR(N480=4,N480=5),"-3",IF(OR(N480=6,N480=7),"-2",IF(OR(N480=8,N480=9),"-1",IF(OR(N480=10,N480=11),"0",IF(OR(N480=12,N480=13),"+1",IF(OR(N480=14,N480=15),"+2",IF(OR(N480=16,N480=17),"+3",IF(OR(N480=18,N480=19),"+4",IF(OR(N480=20,N480=21),"+5",IF(OR(N480=22,N480=23),"+6",IF(OR(N480=24,N480=25),"+7",IF(OR(N480=26,N480=27),"+8",IF(OR(N480=28,N480=29),"+9",IF(N480=30,"+10"," "))))))))))))))))</f>
        <v>+1</v>
      </c>
      <c r="P480" s="3" t="n">
        <v>1</v>
      </c>
      <c r="Q480" s="1" t="str">
        <f aca="false">IF(P480=1,"-5",IF(OR(P480=2,P480=3),"-4",IF(OR(P480=4,P480=5),"-3",IF(OR(P480=6,P480=7),"-2",IF(OR(P480=8,P480=9),"-1",IF(OR(P480=10,P480=11),"0",IF(OR(P480=12,P480=13),"+1",IF(OR(P480=14,P480=15),"+2",IF(OR(P480=16,P480=17),"+3",IF(OR(P480=18,P480=19),"+4",IF(OR(P480=20,P480=21),"+5",IF(OR(P480=22,P480=23),"+6",IF(OR(P480=24,P480=25),"+7",IF(OR(P480=26,P480=27),"+8",IF(OR(P480=28,P480=29),"+9",IF(P480=30,"+10"," "))))))))))))))))</f>
        <v>-5</v>
      </c>
      <c r="R480" s="3" t="n">
        <v>10</v>
      </c>
      <c r="S480" s="1" t="str">
        <f aca="false">IF(R480=1,"-5",IF(OR(R480=2,R480=3),"-4",IF(OR(R480=4,R480=5),"-3",IF(OR(R480=6,R480=7),"-2",IF(OR(R480=8,R480=9),"-1",IF(OR(R480=10,R480=11),"0",IF(OR(R480=12,R480=13),"+1",IF(OR(R480=14,R480=15),"+2",IF(OR(R480=16,R480=17),"+3",IF(OR(R480=18,R480=19),"+4",IF(OR(R480=20,R480=21),"+5",IF(OR(R480=22,R480=23),"+6",IF(OR(R480=24,R480=25),"+7",IF(OR(R480=26,R480=27),"+8",IF(OR(R480=28,R480=29),"+9",IF(R480=30,"+10"," "))))))))))))))))</f>
        <v>0</v>
      </c>
      <c r="T480" s="3" t="n">
        <v>4</v>
      </c>
      <c r="U480" s="1" t="str">
        <f aca="false">IF(T480=1,"-5",IF(OR(T480=2,T480=3),"-4",IF(OR(T480=4,T480=5),"-3",IF(OR(T480=6,T480=7),"-2",IF(OR(T480=8,T480=9),"-1",IF(OR(T480=10,T480=11),"0",IF(OR(T480=12,T480=13),"+1",IF(OR(T480=14,T480=15),"+2",IF(OR(T480=16,T480=17),"+3",IF(OR(T480=18,T480=19),"+4",IF(OR(T480=20,T480=21),"+5",IF(OR(T480=22,T480=23),"+6",IF(OR(T480=24,T480=25),"+7",IF(OR(T480=26,T480=27),"+8",IF(OR(T480=28,T480=29),"+9",IF(T480=30,"+10"," "))))))))))))))))</f>
        <v>-3</v>
      </c>
      <c r="V480" s="3" t="s">
        <v>1039</v>
      </c>
      <c r="W480" s="3" t="s">
        <v>37</v>
      </c>
      <c r="X480" s="11" t="s">
        <v>2327</v>
      </c>
      <c r="Y480" s="11" t="s">
        <v>1756</v>
      </c>
      <c r="Z480" s="11" t="s">
        <v>37</v>
      </c>
      <c r="AA480" s="12" t="s">
        <v>37</v>
      </c>
    </row>
    <row r="481" customFormat="false" ht="16.4" hidden="false" customHeight="false" outlineLevel="0" collapsed="false">
      <c r="A481" s="15" t="s">
        <v>2328</v>
      </c>
      <c r="B481" s="3" t="s">
        <v>59</v>
      </c>
      <c r="C481" s="3" t="s">
        <v>37</v>
      </c>
      <c r="D481" s="16" t="n">
        <v>5</v>
      </c>
      <c r="E481" s="6" t="n">
        <f aca="false">VLOOKUP(D481,'[1]REF Tables'!$A$2:$B$40,2)</f>
        <v>1800</v>
      </c>
      <c r="F481" s="3" t="s">
        <v>121</v>
      </c>
      <c r="G481" s="3" t="n">
        <v>13</v>
      </c>
      <c r="H481" s="3" t="s">
        <v>1337</v>
      </c>
      <c r="I481" s="3" t="s">
        <v>2329</v>
      </c>
      <c r="J481" s="3" t="n">
        <v>23</v>
      </c>
      <c r="K481" s="1" t="str">
        <f aca="false">IF(J481=1,"-5",IF(OR(J481=2,J481=3),"-4",IF(OR(J481=4,J481=5),"-3",IF(OR(J481=6,J481=7),"-2",IF(OR(J481=8,J481=9),"-1",IF(OR(J481=10,J481=11),"0",IF(OR(J481=12,J481=13),"+1",IF(OR(J481=14,J481=15),"+2",IF(OR(J481=16,J481=17),"+3",IF(OR(J481=18,J481=19),"+4",IF(OR(J481=20,J481=21),"+5",IF(OR(J481=22,J481=23),"+6",IF(OR(J481=24,J481=25),"+7",IF(OR(J481=26,J481=27),"+8",IF(OR(J481=28,J481=29),"+9",IF(J481=30,"+10"," "))))))))))))))))</f>
        <v>+6</v>
      </c>
      <c r="L481" s="3" t="n">
        <v>11</v>
      </c>
      <c r="M481" s="1" t="str">
        <f aca="false">IF(L481=1,"-5",IF(OR(L481=2,L481=3),"-4",IF(OR(L481=4,L481=5),"-3",IF(OR(L481=6,L481=7),"-2",IF(OR(L481=8,L481=9),"-1",IF(OR(L481=10,L481=11),"0",IF(OR(L481=12,L481=13),"+1",IF(OR(L481=14,L481=15),"+2",IF(OR(L481=16,L481=17),"+3",IF(OR(L481=18,L481=19),"+4",IF(OR(L481=20,L481=21),"+5",IF(OR(L481=22,L481=23),"+6",IF(OR(L481=24,L481=25),"+7",IF(OR(L481=26,L481=27),"+8",IF(OR(L481=28,L481=29),"+9",IF(L481=30,"+10"," "))))))))))))))))</f>
        <v>0</v>
      </c>
      <c r="N481" s="3" t="n">
        <v>21</v>
      </c>
      <c r="O481" s="1" t="str">
        <f aca="false">IF(N481=1,"-5",IF(OR(N481=2,N481=3),"-4",IF(OR(N481=4,N481=5),"-3",IF(OR(N481=6,N481=7),"-2",IF(OR(N481=8,N481=9),"-1",IF(OR(N481=10,N481=11),"0",IF(OR(N481=12,N481=13),"+1",IF(OR(N481=14,N481=15),"+2",IF(OR(N481=16,N481=17),"+3",IF(OR(N481=18,N481=19),"+4",IF(OR(N481=20,N481=21),"+5",IF(OR(N481=22,N481=23),"+6",IF(OR(N481=24,N481=25),"+7",IF(OR(N481=26,N481=27),"+8",IF(OR(N481=28,N481=29),"+9",IF(N481=30,"+10"," "))))))))))))))))</f>
        <v>+5</v>
      </c>
      <c r="P481" s="3" t="n">
        <v>1</v>
      </c>
      <c r="Q481" s="1" t="str">
        <f aca="false">IF(P481=1,"-5",IF(OR(P481=2,P481=3),"-4",IF(OR(P481=4,P481=5),"-3",IF(OR(P481=6,P481=7),"-2",IF(OR(P481=8,P481=9),"-1",IF(OR(P481=10,P481=11),"0",IF(OR(P481=12,P481=13),"+1",IF(OR(P481=14,P481=15),"+2",IF(OR(P481=16,P481=17),"+3",IF(OR(P481=18,P481=19),"+4",IF(OR(P481=20,P481=21),"+5",IF(OR(P481=22,P481=23),"+6",IF(OR(P481=24,P481=25),"+7",IF(OR(P481=26,P481=27),"+8",IF(OR(P481=28,P481=29),"+9",IF(P481=30,"+10"," "))))))))))))))))</f>
        <v>-5</v>
      </c>
      <c r="R481" s="3" t="n">
        <v>10</v>
      </c>
      <c r="S481" s="1" t="str">
        <f aca="false">IF(R481=1,"-5",IF(OR(R481=2,R481=3),"-4",IF(OR(R481=4,R481=5),"-3",IF(OR(R481=6,R481=7),"-2",IF(OR(R481=8,R481=9),"-1",IF(OR(R481=10,R481=11),"0",IF(OR(R481=12,R481=13),"+1",IF(OR(R481=14,R481=15),"+2",IF(OR(R481=16,R481=17),"+3",IF(OR(R481=18,R481=19),"+4",IF(OR(R481=20,R481=21),"+5",IF(OR(R481=22,R481=23),"+6",IF(OR(R481=24,R481=25),"+7",IF(OR(R481=26,R481=27),"+8",IF(OR(R481=28,R481=29),"+9",IF(R481=30,"+10"," "))))))))))))))))</f>
        <v>0</v>
      </c>
      <c r="T481" s="3" t="n">
        <v>5</v>
      </c>
      <c r="U481" s="1" t="str">
        <f aca="false">IF(T481=1,"-5",IF(OR(T481=2,T481=3),"-4",IF(OR(T481=4,T481=5),"-3",IF(OR(T481=6,T481=7),"-2",IF(OR(T481=8,T481=9),"-1",IF(OR(T481=10,T481=11),"0",IF(OR(T481=12,T481=13),"+1",IF(OR(T481=14,T481=15),"+2",IF(OR(T481=16,T481=17),"+3",IF(OR(T481=18,T481=19),"+4",IF(OR(T481=20,T481=21),"+5",IF(OR(T481=22,T481=23),"+6",IF(OR(T481=24,T481=25),"+7",IF(OR(T481=26,T481=27),"+8",IF(OR(T481=28,T481=29),"+9",IF(T481=30,"+10"," "))))))))))))))))</f>
        <v>-3</v>
      </c>
      <c r="V481" s="3" t="s">
        <v>416</v>
      </c>
      <c r="W481" s="1" t="s">
        <v>37</v>
      </c>
      <c r="X481" s="3" t="s">
        <v>2330</v>
      </c>
      <c r="Y481" s="11" t="s">
        <v>2331</v>
      </c>
      <c r="Z481" s="11" t="s">
        <v>37</v>
      </c>
      <c r="AA481" s="12" t="s">
        <v>37</v>
      </c>
    </row>
    <row r="482" customFormat="false" ht="16.4" hidden="false" customHeight="false" outlineLevel="0" collapsed="false">
      <c r="A482" s="15" t="s">
        <v>2332</v>
      </c>
      <c r="B482" s="3" t="s">
        <v>59</v>
      </c>
      <c r="C482" s="3" t="s">
        <v>37</v>
      </c>
      <c r="D482" s="16" t="n">
        <v>2</v>
      </c>
      <c r="E482" s="3" t="n">
        <f aca="false">VLOOKUP(D482,'[1]REF Tables'!$A$2:$B$40,2)</f>
        <v>450</v>
      </c>
      <c r="F482" s="3" t="s">
        <v>50</v>
      </c>
      <c r="G482" s="3" t="n">
        <v>12</v>
      </c>
      <c r="H482" s="3" t="s">
        <v>398</v>
      </c>
      <c r="I482" s="3" t="s">
        <v>1603</v>
      </c>
      <c r="J482" s="3" t="n">
        <v>18</v>
      </c>
      <c r="K482" s="1" t="str">
        <f aca="false">IF(J482=1,"-5",IF(OR(J482=2,J482=3),"-4",IF(OR(J482=4,J482=5),"-3",IF(OR(J482=6,J482=7),"-2",IF(OR(J482=8,J482=9),"-1",IF(OR(J482=10,J482=11),"0",IF(OR(J482=12,J482=13),"+1",IF(OR(J482=14,J482=15),"+2",IF(OR(J482=16,J482=17),"+3",IF(OR(J482=18,J482=19),"+4",IF(OR(J482=20,J482=21),"+5",IF(OR(J482=22,J482=23),"+6",IF(OR(J482=24,J482=25),"+7",IF(OR(J482=26,J482=27),"+8",IF(OR(J482=28,J482=29),"+9",IF(J482=30,"+10"," "))))))))))))))))</f>
        <v>+4</v>
      </c>
      <c r="L482" s="3" t="n">
        <v>13</v>
      </c>
      <c r="M482" s="1" t="str">
        <f aca="false">IF(L482=1,"-5",IF(OR(L482=2,L482=3),"-4",IF(OR(L482=4,L482=5),"-3",IF(OR(L482=6,L482=7),"-2",IF(OR(L482=8,L482=9),"-1",IF(OR(L482=10,L482=11),"0",IF(OR(L482=12,L482=13),"+1",IF(OR(L482=14,L482=15),"+2",IF(OR(L482=16,L482=17),"+3",IF(OR(L482=18,L482=19),"+4",IF(OR(L482=20,L482=21),"+5",IF(OR(L482=22,L482=23),"+6",IF(OR(L482=24,L482=25),"+7",IF(OR(L482=26,L482=27),"+8",IF(OR(L482=28,L482=29),"+9",IF(L482=30,"+10"," "))))))))))))))))</f>
        <v>+1</v>
      </c>
      <c r="N482" s="3" t="n">
        <v>15</v>
      </c>
      <c r="O482" s="1" t="str">
        <f aca="false">IF(N482=1,"-5",IF(OR(N482=2,N482=3),"-4",IF(OR(N482=4,N482=5),"-3",IF(OR(N482=6,N482=7),"-2",IF(OR(N482=8,N482=9),"-1",IF(OR(N482=10,N482=11),"0",IF(OR(N482=12,N482=13),"+1",IF(OR(N482=14,N482=15),"+2",IF(OR(N482=16,N482=17),"+3",IF(OR(N482=18,N482=19),"+4",IF(OR(N482=20,N482=21),"+5",IF(OR(N482=22,N482=23),"+6",IF(OR(N482=24,N482=25),"+7",IF(OR(N482=26,N482=27),"+8",IF(OR(N482=28,N482=29),"+9",IF(N482=30,"+10"," "))))))))))))))))</f>
        <v>+2</v>
      </c>
      <c r="P482" s="3" t="n">
        <v>1</v>
      </c>
      <c r="Q482" s="1" t="str">
        <f aca="false">IF(P482=1,"-5",IF(OR(P482=2,P482=3),"-4",IF(OR(P482=4,P482=5),"-3",IF(OR(P482=6,P482=7),"-2",IF(OR(P482=8,P482=9),"-1",IF(OR(P482=10,P482=11),"0",IF(OR(P482=12,P482=13),"+1",IF(OR(P482=14,P482=15),"+2",IF(OR(P482=16,P482=17),"+3",IF(OR(P482=18,P482=19),"+4",IF(OR(P482=20,P482=21),"+5",IF(OR(P482=22,P482=23),"+6",IF(OR(P482=24,P482=25),"+7",IF(OR(P482=26,P482=27),"+8",IF(OR(P482=28,P482=29),"+9",IF(P482=30,"+10"," "))))))))))))))))</f>
        <v>-5</v>
      </c>
      <c r="R482" s="3" t="n">
        <v>10</v>
      </c>
      <c r="S482" s="1" t="str">
        <f aca="false">IF(R482=1,"-5",IF(OR(R482=2,R482=3),"-4",IF(OR(R482=4,R482=5),"-3",IF(OR(R482=6,R482=7),"-2",IF(OR(R482=8,R482=9),"-1",IF(OR(R482=10,R482=11),"0",IF(OR(R482=12,R482=13),"+1",IF(OR(R482=14,R482=15),"+2",IF(OR(R482=16,R482=17),"+3",IF(OR(R482=18,R482=19),"+4",IF(OR(R482=20,R482=21),"+5",IF(OR(R482=22,R482=23),"+6",IF(OR(R482=24,R482=25),"+7",IF(OR(R482=26,R482=27),"+8",IF(OR(R482=28,R482=29),"+9",IF(R482=30,"+10"," "))))))))))))))))</f>
        <v>0</v>
      </c>
      <c r="T482" s="3" t="n">
        <v>4</v>
      </c>
      <c r="U482" s="1" t="str">
        <f aca="false">IF(T482=1,"-5",IF(OR(T482=2,T482=3),"-4",IF(OR(T482=4,T482=5),"-3",IF(OR(T482=6,T482=7),"-2",IF(OR(T482=8,T482=9),"-1",IF(OR(T482=10,T482=11),"0",IF(OR(T482=12,T482=13),"+1",IF(OR(T482=14,T482=15),"+2",IF(OR(T482=16,T482=17),"+3",IF(OR(T482=18,T482=19),"+4",IF(OR(T482=20,T482=21),"+5",IF(OR(T482=22,T482=23),"+6",IF(OR(T482=24,T482=25),"+7",IF(OR(T482=26,T482=27),"+8",IF(OR(T482=28,T482=29),"+9",IF(T482=30,"+10"," "))))))))))))))))</f>
        <v>-3</v>
      </c>
      <c r="V482" s="3" t="s">
        <v>1039</v>
      </c>
      <c r="W482" s="3" t="s">
        <v>37</v>
      </c>
      <c r="X482" s="11" t="s">
        <v>2333</v>
      </c>
      <c r="Y482" s="11" t="s">
        <v>2334</v>
      </c>
      <c r="Z482" s="11" t="s">
        <v>37</v>
      </c>
      <c r="AA482" s="12" t="s">
        <v>37</v>
      </c>
    </row>
    <row r="483" customFormat="false" ht="16.4" hidden="false" customHeight="false" outlineLevel="0" collapsed="false">
      <c r="A483" s="15" t="s">
        <v>2335</v>
      </c>
      <c r="B483" s="3" t="s">
        <v>158</v>
      </c>
      <c r="C483" s="3" t="s">
        <v>85</v>
      </c>
      <c r="D483" s="16" t="n">
        <v>0.125</v>
      </c>
      <c r="E483" s="3" t="n">
        <f aca="false">VLOOKUP(D483,'[1]REF Tables'!$A$2:$B$40,2)</f>
        <v>25</v>
      </c>
      <c r="F483" s="3" t="s">
        <v>30</v>
      </c>
      <c r="G483" s="3" t="n">
        <v>12</v>
      </c>
      <c r="H483" s="3" t="s">
        <v>152</v>
      </c>
      <c r="I483" s="3" t="s">
        <v>42</v>
      </c>
      <c r="J483" s="3" t="n">
        <v>12</v>
      </c>
      <c r="K483" s="1" t="str">
        <f aca="false">IF(J483=1,"-5",IF(OR(J483=2,J483=3),"-4",IF(OR(J483=4,J483=5),"-3",IF(OR(J483=6,J483=7),"-2",IF(OR(J483=8,J483=9),"-1",IF(OR(J483=10,J483=11),"0",IF(OR(J483=12,J483=13),"+1",IF(OR(J483=14,J483=15),"+2",IF(OR(J483=16,J483=17),"+3",IF(OR(J483=18,J483=19),"+4",IF(OR(J483=20,J483=21),"+5",IF(OR(J483=22,J483=23),"+6",IF(OR(J483=24,J483=25),"+7",IF(OR(J483=26,J483=27),"+8",IF(OR(J483=28,J483=29),"+9",IF(J483=30,"+10"," "))))))))))))))))</f>
        <v>+1</v>
      </c>
      <c r="L483" s="3" t="n">
        <v>12</v>
      </c>
      <c r="M483" s="1" t="str">
        <f aca="false">IF(L483=1,"-5",IF(OR(L483=2,L483=3),"-4",IF(OR(L483=4,L483=5),"-3",IF(OR(L483=6,L483=7),"-2",IF(OR(L483=8,L483=9),"-1",IF(OR(L483=10,L483=11),"0",IF(OR(L483=12,L483=13),"+1",IF(OR(L483=14,L483=15),"+2",IF(OR(L483=16,L483=17),"+3",IF(OR(L483=18,L483=19),"+4",IF(OR(L483=20,L483=21),"+5",IF(OR(L483=22,L483=23),"+6",IF(OR(L483=24,L483=25),"+7",IF(OR(L483=26,L483=27),"+8",IF(OR(L483=28,L483=29),"+9",IF(L483=30,"+10"," "))))))))))))))))</f>
        <v>+1</v>
      </c>
      <c r="N483" s="3" t="n">
        <v>13</v>
      </c>
      <c r="O483" s="1" t="str">
        <f aca="false">IF(N483=1,"-5",IF(OR(N483=2,N483=3),"-4",IF(OR(N483=4,N483=5),"-3",IF(OR(N483=6,N483=7),"-2",IF(OR(N483=8,N483=9),"-1",IF(OR(N483=10,N483=11),"0",IF(OR(N483=12,N483=13),"+1",IF(OR(N483=14,N483=15),"+2",IF(OR(N483=16,N483=17),"+3",IF(OR(N483=18,N483=19),"+4",IF(OR(N483=20,N483=21),"+5",IF(OR(N483=22,N483=23),"+6",IF(OR(N483=24,N483=25),"+7",IF(OR(N483=26,N483=27),"+8",IF(OR(N483=28,N483=29),"+9",IF(N483=30,"+10"," "))))))))))))))))</f>
        <v>+1</v>
      </c>
      <c r="P483" s="3" t="n">
        <v>4</v>
      </c>
      <c r="Q483" s="1" t="str">
        <f aca="false">IF(P483=1,"-5",IF(OR(P483=2,P483=3),"-4",IF(OR(P483=4,P483=5),"-3",IF(OR(P483=6,P483=7),"-2",IF(OR(P483=8,P483=9),"-1",IF(OR(P483=10,P483=11),"0",IF(OR(P483=12,P483=13),"+1",IF(OR(P483=14,P483=15),"+2",IF(OR(P483=16,P483=17),"+3",IF(OR(P483=18,P483=19),"+4",IF(OR(P483=20,P483=21),"+5",IF(OR(P483=22,P483=23),"+6",IF(OR(P483=24,P483=25),"+7",IF(OR(P483=26,P483=27),"+8",IF(OR(P483=28,P483=29),"+9",IF(P483=30,"+10"," "))))))))))))))))</f>
        <v>-3</v>
      </c>
      <c r="R483" s="3" t="n">
        <v>8</v>
      </c>
      <c r="S483" s="1" t="str">
        <f aca="false">IF(R483=1,"-5",IF(OR(R483=2,R483=3),"-4",IF(OR(R483=4,R483=5),"-3",IF(OR(R483=6,R483=7),"-2",IF(OR(R483=8,R483=9),"-1",IF(OR(R483=10,R483=11),"0",IF(OR(R483=12,R483=13),"+1",IF(OR(R483=14,R483=15),"+2",IF(OR(R483=16,R483=17),"+3",IF(OR(R483=18,R483=19),"+4",IF(OR(R483=20,R483=21),"+5",IF(OR(R483=22,R483=23),"+6",IF(OR(R483=24,R483=25),"+7",IF(OR(R483=26,R483=27),"+8",IF(OR(R483=28,R483=29),"+9",IF(R483=30,"+10"," "))))))))))))))))</f>
        <v>-1</v>
      </c>
      <c r="T483" s="3" t="n">
        <v>3</v>
      </c>
      <c r="U483" s="1" t="str">
        <f aca="false">IF(T483=1,"-5",IF(OR(T483=2,T483=3),"-4",IF(OR(T483=4,T483=5),"-3",IF(OR(T483=6,T483=7),"-2",IF(OR(T483=8,T483=9),"-1",IF(OR(T483=10,T483=11),"0",IF(OR(T483=12,T483=13),"+1",IF(OR(T483=14,T483=15),"+2",IF(OR(T483=16,T483=17),"+3",IF(OR(T483=18,T483=19),"+4",IF(OR(T483=20,T483=21),"+5",IF(OR(T483=22,T483=23),"+6",IF(OR(T483=24,T483=25),"+7",IF(OR(T483=26,T483=27),"+8",IF(OR(T483=28,T483=29),"+9",IF(T483=30,"+10"," "))))))))))))))))</f>
        <v>-4</v>
      </c>
      <c r="V483" s="3" t="s">
        <v>37</v>
      </c>
      <c r="W483" s="3" t="s">
        <v>1531</v>
      </c>
      <c r="X483" s="11" t="s">
        <v>2336</v>
      </c>
      <c r="Y483" s="11" t="s">
        <v>2337</v>
      </c>
      <c r="Z483" s="11" t="s">
        <v>37</v>
      </c>
      <c r="AA483" s="12" t="s">
        <v>37</v>
      </c>
    </row>
    <row r="484" customFormat="false" ht="16.4" hidden="false" customHeight="false" outlineLevel="0" collapsed="false">
      <c r="A484" s="15" t="s">
        <v>2338</v>
      </c>
      <c r="B484" s="3" t="s">
        <v>77</v>
      </c>
      <c r="C484" s="3" t="s">
        <v>230</v>
      </c>
      <c r="D484" s="16" t="n">
        <v>5</v>
      </c>
      <c r="E484" s="6" t="n">
        <f aca="false">VLOOKUP(D484,'[1]REF Tables'!$A$2:$B$40,2)</f>
        <v>1800</v>
      </c>
      <c r="F484" s="3" t="s">
        <v>30</v>
      </c>
      <c r="G484" s="3" t="n">
        <v>13</v>
      </c>
      <c r="H484" s="3" t="s">
        <v>2339</v>
      </c>
      <c r="I484" s="3" t="s">
        <v>42</v>
      </c>
      <c r="J484" s="3" t="n">
        <v>18</v>
      </c>
      <c r="K484" s="1" t="str">
        <f aca="false">IF(J484=1,"-5",IF(OR(J484=2,J484=3),"-4",IF(OR(J484=4,J484=5),"-3",IF(OR(J484=6,J484=7),"-2",IF(OR(J484=8,J484=9),"-1",IF(OR(J484=10,J484=11),"0",IF(OR(J484=12,J484=13),"+1",IF(OR(J484=14,J484=15),"+2",IF(OR(J484=16,J484=17),"+3",IF(OR(J484=18,J484=19),"+4",IF(OR(J484=20,J484=21),"+5",IF(OR(J484=22,J484=23),"+6",IF(OR(J484=24,J484=25),"+7",IF(OR(J484=26,J484=27),"+8",IF(OR(J484=28,J484=29),"+9",IF(J484=30,"+10"," "))))))))))))))))</f>
        <v>+4</v>
      </c>
      <c r="L484" s="3" t="n">
        <v>14</v>
      </c>
      <c r="M484" s="1" t="str">
        <f aca="false">IF(L484=1,"-5",IF(OR(L484=2,L484=3),"-4",IF(OR(L484=4,L484=5),"-3",IF(OR(L484=6,L484=7),"-2",IF(OR(L484=8,L484=9),"-1",IF(OR(L484=10,L484=11),"0",IF(OR(L484=12,L484=13),"+1",IF(OR(L484=14,L484=15),"+2",IF(OR(L484=16,L484=17),"+3",IF(OR(L484=18,L484=19),"+4",IF(OR(L484=20,L484=21),"+5",IF(OR(L484=22,L484=23),"+6",IF(OR(L484=24,L484=25),"+7",IF(OR(L484=26,L484=27),"+8",IF(OR(L484=28,L484=29),"+9",IF(L484=30,"+10"," "))))))))))))))))</f>
        <v>+2</v>
      </c>
      <c r="N484" s="3" t="n">
        <v>18</v>
      </c>
      <c r="O484" s="1" t="str">
        <f aca="false">IF(N484=1,"-5",IF(OR(N484=2,N484=3),"-4",IF(OR(N484=4,N484=5),"-3",IF(OR(N484=6,N484=7),"-2",IF(OR(N484=8,N484=9),"-1",IF(OR(N484=10,N484=11),"0",IF(OR(N484=12,N484=13),"+1",IF(OR(N484=14,N484=15),"+2",IF(OR(N484=16,N484=17),"+3",IF(OR(N484=18,N484=19),"+4",IF(OR(N484=20,N484=21),"+5",IF(OR(N484=22,N484=23),"+6",IF(OR(N484=24,N484=25),"+7",IF(OR(N484=26,N484=27),"+8",IF(OR(N484=28,N484=29),"+9",IF(N484=30,"+10"," "))))))))))))))))</f>
        <v>+4</v>
      </c>
      <c r="P484" s="3" t="n">
        <v>13</v>
      </c>
      <c r="Q484" s="1" t="str">
        <f aca="false">IF(P484=1,"-5",IF(OR(P484=2,P484=3),"-4",IF(OR(P484=4,P484=5),"-3",IF(OR(P484=6,P484=7),"-2",IF(OR(P484=8,P484=9),"-1",IF(OR(P484=10,P484=11),"0",IF(OR(P484=12,P484=13),"+1",IF(OR(P484=14,P484=15),"+2",IF(OR(P484=16,P484=17),"+3",IF(OR(P484=18,P484=19),"+4",IF(OR(P484=20,P484=21),"+5",IF(OR(P484=22,P484=23),"+6",IF(OR(P484=24,P484=25),"+7",IF(OR(P484=26,P484=27),"+8",IF(OR(P484=28,P484=29),"+9",IF(P484=30,"+10"," "))))))))))))))))</f>
        <v>+1</v>
      </c>
      <c r="R484" s="3" t="n">
        <v>16</v>
      </c>
      <c r="S484" s="1" t="str">
        <f aca="false">IF(R484=1,"-5",IF(OR(R484=2,R484=3),"-4",IF(OR(R484=4,R484=5),"-3",IF(OR(R484=6,R484=7),"-2",IF(OR(R484=8,R484=9),"-1",IF(OR(R484=10,R484=11),"0",IF(OR(R484=12,R484=13),"+1",IF(OR(R484=14,R484=15),"+2",IF(OR(R484=16,R484=17),"+3",IF(OR(R484=18,R484=19),"+4",IF(OR(R484=20,R484=21),"+5",IF(OR(R484=22,R484=23),"+6",IF(OR(R484=24,R484=25),"+7",IF(OR(R484=26,R484=27),"+8",IF(OR(R484=28,R484=29),"+9",IF(R484=30,"+10"," "))))))))))))))))</f>
        <v>+3</v>
      </c>
      <c r="T484" s="3" t="n">
        <v>18</v>
      </c>
      <c r="U484" s="1" t="str">
        <f aca="false">IF(T484=1,"-5",IF(OR(T484=2,T484=3),"-4",IF(OR(T484=4,T484=5),"-3",IF(OR(T484=6,T484=7),"-2",IF(OR(T484=8,T484=9),"-1",IF(OR(T484=10,T484=11),"0",IF(OR(T484=12,T484=13),"+1",IF(OR(T484=14,T484=15),"+2",IF(OR(T484=16,T484=17),"+3",IF(OR(T484=18,T484=19),"+4",IF(OR(T484=20,T484=21),"+5",IF(OR(T484=22,T484=23),"+6",IF(OR(T484=24,T484=25),"+7",IF(OR(T484=26,T484=27),"+8",IF(OR(T484=28,T484=29),"+9",IF(T484=30,"+10"," "))))))))))))))))</f>
        <v>+4</v>
      </c>
      <c r="V484" s="3" t="s">
        <v>2340</v>
      </c>
      <c r="W484" s="3" t="s">
        <v>89</v>
      </c>
      <c r="X484" s="11" t="s">
        <v>2341</v>
      </c>
      <c r="Y484" s="11" t="s">
        <v>2342</v>
      </c>
      <c r="Z484" s="11" t="s">
        <v>37</v>
      </c>
      <c r="AA484" s="12" t="s">
        <v>37</v>
      </c>
    </row>
    <row r="485" customFormat="false" ht="16.4" hidden="false" customHeight="false" outlineLevel="0" collapsed="false">
      <c r="A485" s="15" t="s">
        <v>2343</v>
      </c>
      <c r="B485" s="3" t="s">
        <v>59</v>
      </c>
      <c r="C485" s="3" t="s">
        <v>37</v>
      </c>
      <c r="D485" s="16" t="n">
        <v>2</v>
      </c>
      <c r="E485" s="3" t="n">
        <f aca="false">VLOOKUP(D485,'[1]REF Tables'!$A$2:$B$40,2)</f>
        <v>450</v>
      </c>
      <c r="F485" s="3" t="s">
        <v>50</v>
      </c>
      <c r="G485" s="3" t="n">
        <v>11</v>
      </c>
      <c r="H485" s="3" t="s">
        <v>398</v>
      </c>
      <c r="I485" s="3" t="s">
        <v>224</v>
      </c>
      <c r="J485" s="3" t="n">
        <v>21</v>
      </c>
      <c r="K485" s="1" t="str">
        <f aca="false">IF(J485=1,"-5",IF(OR(J485=2,J485=3),"-4",IF(OR(J485=4,J485=5),"-3",IF(OR(J485=6,J485=7),"-2",IF(OR(J485=8,J485=9),"-1",IF(OR(J485=10,J485=11),"0",IF(OR(J485=12,J485=13),"+1",IF(OR(J485=14,J485=15),"+2",IF(OR(J485=16,J485=17),"+3",IF(OR(J485=18,J485=19),"+4",IF(OR(J485=20,J485=21),"+5",IF(OR(J485=22,J485=23),"+6",IF(OR(J485=24,J485=25),"+7",IF(OR(J485=26,J485=27),"+8",IF(OR(J485=28,J485=29),"+9",IF(J485=30,"+10"," "))))))))))))))))</f>
        <v>+5</v>
      </c>
      <c r="L485" s="3" t="n">
        <v>8</v>
      </c>
      <c r="M485" s="1" t="str">
        <f aca="false">IF(L485=1,"-5",IF(OR(L485=2,L485=3),"-4",IF(OR(L485=4,L485=5),"-3",IF(OR(L485=6,L485=7),"-2",IF(OR(L485=8,L485=9),"-1",IF(OR(L485=10,L485=11),"0",IF(OR(L485=12,L485=13),"+1",IF(OR(L485=14,L485=15),"+2",IF(OR(L485=16,L485=17),"+3",IF(OR(L485=18,L485=19),"+4",IF(OR(L485=20,L485=21),"+5",IF(OR(L485=22,L485=23),"+6",IF(OR(L485=24,L485=25),"+7",IF(OR(L485=26,L485=27),"+8",IF(OR(L485=28,L485=29),"+9",IF(L485=30,"+10"," "))))))))))))))))</f>
        <v>-1</v>
      </c>
      <c r="N485" s="3" t="n">
        <v>15</v>
      </c>
      <c r="O485" s="1" t="str">
        <f aca="false">IF(N485=1,"-5",IF(OR(N485=2,N485=3),"-4",IF(OR(N485=4,N485=5),"-3",IF(OR(N485=6,N485=7),"-2",IF(OR(N485=8,N485=9),"-1",IF(OR(N485=10,N485=11),"0",IF(OR(N485=12,N485=13),"+1",IF(OR(N485=14,N485=15),"+2",IF(OR(N485=16,N485=17),"+3",IF(OR(N485=18,N485=19),"+4",IF(OR(N485=20,N485=21),"+5",IF(OR(N485=22,N485=23),"+6",IF(OR(N485=24,N485=25),"+7",IF(OR(N485=26,N485=27),"+8",IF(OR(N485=28,N485=29),"+9",IF(N485=30,"+10"," "))))))))))))))))</f>
        <v>+2</v>
      </c>
      <c r="P485" s="3" t="n">
        <v>2</v>
      </c>
      <c r="Q485" s="1" t="str">
        <f aca="false">IF(P485=1,"-5",IF(OR(P485=2,P485=3),"-4",IF(OR(P485=4,P485=5),"-3",IF(OR(P485=6,P485=7),"-2",IF(OR(P485=8,P485=9),"-1",IF(OR(P485=10,P485=11),"0",IF(OR(P485=12,P485=13),"+1",IF(OR(P485=14,P485=15),"+2",IF(OR(P485=16,P485=17),"+3",IF(OR(P485=18,P485=19),"+4",IF(OR(P485=20,P485=21),"+5",IF(OR(P485=22,P485=23),"+6",IF(OR(P485=24,P485=25),"+7",IF(OR(P485=26,P485=27),"+8",IF(OR(P485=28,P485=29),"+9",IF(P485=30,"+10"," "))))))))))))))))</f>
        <v>-4</v>
      </c>
      <c r="R485" s="3" t="n">
        <v>12</v>
      </c>
      <c r="S485" s="1" t="str">
        <f aca="false">IF(R485=1,"-5",IF(OR(R485=2,R485=3),"-4",IF(OR(R485=4,R485=5),"-3",IF(OR(R485=6,R485=7),"-2",IF(OR(R485=8,R485=9),"-1",IF(OR(R485=10,R485=11),"0",IF(OR(R485=12,R485=13),"+1",IF(OR(R485=14,R485=15),"+2",IF(OR(R485=16,R485=17),"+3",IF(OR(R485=18,R485=19),"+4",IF(OR(R485=20,R485=21),"+5",IF(OR(R485=22,R485=23),"+6",IF(OR(R485=24,R485=25),"+7",IF(OR(R485=26,R485=27),"+8",IF(OR(R485=28,R485=29),"+9",IF(R485=30,"+10"," "))))))))))))))))</f>
        <v>+1</v>
      </c>
      <c r="T485" s="3" t="n">
        <v>6</v>
      </c>
      <c r="U485" s="1" t="str">
        <f aca="false">IF(T485=1,"-5",IF(OR(T485=2,T485=3),"-4",IF(OR(T485=4,T485=5),"-3",IF(OR(T485=6,T485=7),"-2",IF(OR(T485=8,T485=9),"-1",IF(OR(T485=10,T485=11),"0",IF(OR(T485=12,T485=13),"+1",IF(OR(T485=14,T485=15),"+2",IF(OR(T485=16,T485=17),"+3",IF(OR(T485=18,T485=19),"+4",IF(OR(T485=20,T485=21),"+5",IF(OR(T485=22,T485=23),"+6",IF(OR(T485=24,T485=25),"+7",IF(OR(T485=26,T485=27),"+8",IF(OR(T485=28,T485=29),"+9",IF(T485=30,"+10"," "))))))))))))))))</f>
        <v>-2</v>
      </c>
      <c r="V485" s="3" t="s">
        <v>37</v>
      </c>
      <c r="W485" s="3" t="s">
        <v>37</v>
      </c>
      <c r="X485" s="11" t="s">
        <v>2344</v>
      </c>
      <c r="Y485" s="11" t="s">
        <v>2345</v>
      </c>
      <c r="Z485" s="11" t="s">
        <v>37</v>
      </c>
      <c r="AA485" s="12" t="s">
        <v>37</v>
      </c>
    </row>
    <row r="486" customFormat="false" ht="16.4" hidden="false" customHeight="false" outlineLevel="0" collapsed="false">
      <c r="A486" s="15" t="s">
        <v>2346</v>
      </c>
      <c r="B486" s="3" t="s">
        <v>105</v>
      </c>
      <c r="C486" s="3" t="s">
        <v>37</v>
      </c>
      <c r="D486" s="16" t="n">
        <v>11</v>
      </c>
      <c r="E486" s="6" t="n">
        <f aca="false">VLOOKUP(D486,'[1]REF Tables'!$A$2:$B$40,2)</f>
        <v>7200</v>
      </c>
      <c r="F486" s="3" t="s">
        <v>601</v>
      </c>
      <c r="G486" s="3" t="n">
        <v>15</v>
      </c>
      <c r="H486" s="3" t="s">
        <v>2347</v>
      </c>
      <c r="I486" s="3" t="s">
        <v>2348</v>
      </c>
      <c r="J486" s="3" t="n">
        <v>28</v>
      </c>
      <c r="K486" s="1" t="str">
        <f aca="false">IF(J486=1,"-5",IF(OR(J486=2,J486=3),"-4",IF(OR(J486=4,J486=5),"-3",IF(OR(J486=6,J486=7),"-2",IF(OR(J486=8,J486=9),"-1",IF(OR(J486=10,J486=11),"0",IF(OR(J486=12,J486=13),"+1",IF(OR(J486=14,J486=15),"+2",IF(OR(J486=16,J486=17),"+3",IF(OR(J486=18,J486=19),"+4",IF(OR(J486=20,J486=21),"+5",IF(OR(J486=22,J486=23),"+6",IF(OR(J486=24,J486=25),"+7",IF(OR(J486=26,J486=27),"+8",IF(OR(J486=28,J486=29),"+9",IF(J486=30,"+10"," "))))))))))))))))</f>
        <v>+9</v>
      </c>
      <c r="L486" s="3" t="n">
        <v>10</v>
      </c>
      <c r="M486" s="1" t="str">
        <f aca="false">IF(L486=1,"-5",IF(OR(L486=2,L486=3),"-4",IF(OR(L486=4,L486=5),"-3",IF(OR(L486=6,L486=7),"-2",IF(OR(L486=8,L486=9),"-1",IF(OR(L486=10,L486=11),"0",IF(OR(L486=12,L486=13),"+1",IF(OR(L486=14,L486=15),"+2",IF(OR(L486=16,L486=17),"+3",IF(OR(L486=18,L486=19),"+4",IF(OR(L486=20,L486=21),"+5",IF(OR(L486=22,L486=23),"+6",IF(OR(L486=24,L486=25),"+7",IF(OR(L486=26,L486=27),"+8",IF(OR(L486=28,L486=29),"+9",IF(L486=30,"+10"," "))))))))))))))))</f>
        <v>0</v>
      </c>
      <c r="N486" s="3" t="n">
        <v>20</v>
      </c>
      <c r="O486" s="1" t="str">
        <f aca="false">IF(N486=1,"-5",IF(OR(N486=2,N486=3),"-4",IF(OR(N486=4,N486=5),"-3",IF(OR(N486=6,N486=7),"-2",IF(OR(N486=8,N486=9),"-1",IF(OR(N486=10,N486=11),"0",IF(OR(N486=12,N486=13),"+1",IF(OR(N486=14,N486=15),"+2",IF(OR(N486=16,N486=17),"+3",IF(OR(N486=18,N486=19),"+4",IF(OR(N486=20,N486=21),"+5",IF(OR(N486=22,N486=23),"+6",IF(OR(N486=24,N486=25),"+7",IF(OR(N486=26,N486=27),"+8",IF(OR(N486=28,N486=29),"+9",IF(N486=30,"+10"," "))))))))))))))))</f>
        <v>+5</v>
      </c>
      <c r="P486" s="3" t="n">
        <v>3</v>
      </c>
      <c r="Q486" s="1" t="str">
        <f aca="false">IF(P486=1,"-5",IF(OR(P486=2,P486=3),"-4",IF(OR(P486=4,P486=5),"-3",IF(OR(P486=6,P486=7),"-2",IF(OR(P486=8,P486=9),"-1",IF(OR(P486=10,P486=11),"0",IF(OR(P486=12,P486=13),"+1",IF(OR(P486=14,P486=15),"+2",IF(OR(P486=16,P486=17),"+3",IF(OR(P486=18,P486=19),"+4",IF(OR(P486=20,P486=21),"+5",IF(OR(P486=22,P486=23),"+6",IF(OR(P486=24,P486=25),"+7",IF(OR(P486=26,P486=27),"+8",IF(OR(P486=28,P486=29),"+9",IF(P486=30,"+10"," "))))))))))))))))</f>
        <v>-4</v>
      </c>
      <c r="R486" s="3" t="n">
        <v>10</v>
      </c>
      <c r="S486" s="1" t="str">
        <f aca="false">IF(R486=1,"-5",IF(OR(R486=2,R486=3),"-4",IF(OR(R486=4,R486=5),"-3",IF(OR(R486=6,R486=7),"-2",IF(OR(R486=8,R486=9),"-1",IF(OR(R486=10,R486=11),"0",IF(OR(R486=12,R486=13),"+1",IF(OR(R486=14,R486=15),"+2",IF(OR(R486=16,R486=17),"+3",IF(OR(R486=18,R486=19),"+4",IF(OR(R486=20,R486=21),"+5",IF(OR(R486=22,R486=23),"+6",IF(OR(R486=24,R486=25),"+7",IF(OR(R486=26,R486=27),"+8",IF(OR(R486=28,R486=29),"+9",IF(R486=30,"+10"," "))))))))))))))))</f>
        <v>0</v>
      </c>
      <c r="T486" s="3" t="n">
        <v>9</v>
      </c>
      <c r="U486" s="1" t="str">
        <f aca="false">IF(T486=1,"-5",IF(OR(T486=2,T486=3),"-4",IF(OR(T486=4,T486=5),"-3",IF(OR(T486=6,T486=7),"-2",IF(OR(T486=8,T486=9),"-1",IF(OR(T486=10,T486=11),"0",IF(OR(T486=12,T486=13),"+1",IF(OR(T486=14,T486=15),"+2",IF(OR(T486=16,T486=17),"+3",IF(OR(T486=18,T486=19),"+4",IF(OR(T486=20,T486=21),"+5",IF(OR(T486=22,T486=23),"+6",IF(OR(T486=24,T486=25),"+7",IF(OR(T486=26,T486=27),"+8",IF(OR(T486=28,T486=29),"+9",IF(T486=30,"+10"," "))))))))))))))))</f>
        <v>-1</v>
      </c>
      <c r="V486" s="3" t="s">
        <v>2349</v>
      </c>
      <c r="W486" s="3" t="s">
        <v>37</v>
      </c>
      <c r="X486" s="11" t="s">
        <v>2350</v>
      </c>
      <c r="Y486" s="11" t="s">
        <v>2351</v>
      </c>
      <c r="Z486" s="11" t="s">
        <v>37</v>
      </c>
      <c r="AA486" s="12" t="s">
        <v>37</v>
      </c>
    </row>
    <row r="487" customFormat="false" ht="16.4" hidden="false" customHeight="false" outlineLevel="0" collapsed="false">
      <c r="A487" s="15" t="s">
        <v>2352</v>
      </c>
      <c r="B487" s="3" t="s">
        <v>1630</v>
      </c>
      <c r="C487" s="3" t="s">
        <v>222</v>
      </c>
      <c r="D487" s="16" t="n">
        <v>4</v>
      </c>
      <c r="E487" s="6" t="n">
        <f aca="false">VLOOKUP(D487,'[1]REF Tables'!$A$2:$B$40,2)</f>
        <v>1100</v>
      </c>
      <c r="F487" s="3" t="s">
        <v>30</v>
      </c>
      <c r="G487" s="3" t="n">
        <v>15</v>
      </c>
      <c r="H487" s="3" t="s">
        <v>204</v>
      </c>
      <c r="I487" s="3" t="s">
        <v>534</v>
      </c>
      <c r="J487" s="3" t="n">
        <v>17</v>
      </c>
      <c r="K487" s="1" t="str">
        <f aca="false">IF(J487=1,"-5",IF(OR(J487=2,J487=3),"-4",IF(OR(J487=4,J487=5),"-3",IF(OR(J487=6,J487=7),"-2",IF(OR(J487=8,J487=9),"-1",IF(OR(J487=10,J487=11),"0",IF(OR(J487=12,J487=13),"+1",IF(OR(J487=14,J487=15),"+2",IF(OR(J487=16,J487=17),"+3",IF(OR(J487=18,J487=19),"+4",IF(OR(J487=20,J487=21),"+5",IF(OR(J487=22,J487=23),"+6",IF(OR(J487=24,J487=25),"+7",IF(OR(J487=26,J487=27),"+8",IF(OR(J487=28,J487=29),"+9",IF(J487=30,"+10"," "))))))))))))))))</f>
        <v>+3</v>
      </c>
      <c r="L487" s="3" t="n">
        <v>12</v>
      </c>
      <c r="M487" s="1" t="str">
        <f aca="false">IF(L487=1,"-5",IF(OR(L487=2,L487=3),"-4",IF(OR(L487=4,L487=5),"-3",IF(OR(L487=6,L487=7),"-2",IF(OR(L487=8,L487=9),"-1",IF(OR(L487=10,L487=11),"0",IF(OR(L487=12,L487=13),"+1",IF(OR(L487=14,L487=15),"+2",IF(OR(L487=16,L487=17),"+3",IF(OR(L487=18,L487=19),"+4",IF(OR(L487=20,L487=21),"+5",IF(OR(L487=22,L487=23),"+6",IF(OR(L487=24,L487=25),"+7",IF(OR(L487=26,L487=27),"+8",IF(OR(L487=28,L487=29),"+9",IF(L487=30,"+10"," "))))))))))))))))</f>
        <v>+1</v>
      </c>
      <c r="N487" s="3" t="n">
        <v>15</v>
      </c>
      <c r="O487" s="1" t="str">
        <f aca="false">IF(N487=1,"-5",IF(OR(N487=2,N487=3),"-4",IF(OR(N487=4,N487=5),"-3",IF(OR(N487=6,N487=7),"-2",IF(OR(N487=8,N487=9),"-1",IF(OR(N487=10,N487=11),"0",IF(OR(N487=12,N487=13),"+1",IF(OR(N487=14,N487=15),"+2",IF(OR(N487=16,N487=17),"+3",IF(OR(N487=18,N487=19),"+4",IF(OR(N487=20,N487=21),"+5",IF(OR(N487=22,N487=23),"+6",IF(OR(N487=24,N487=25),"+7",IF(OR(N487=26,N487=27),"+8",IF(OR(N487=28,N487=29),"+9",IF(N487=30,"+10"," "))))))))))))))))</f>
        <v>+2</v>
      </c>
      <c r="P487" s="3" t="n">
        <v>11</v>
      </c>
      <c r="Q487" s="1" t="str">
        <f aca="false">IF(P487=1,"-5",IF(OR(P487=2,P487=3),"-4",IF(OR(P487=4,P487=5),"-3",IF(OR(P487=6,P487=7),"-2",IF(OR(P487=8,P487=9),"-1",IF(OR(P487=10,P487=11),"0",IF(OR(P487=12,P487=13),"+1",IF(OR(P487=14,P487=15),"+2",IF(OR(P487=16,P487=17),"+3",IF(OR(P487=18,P487=19),"+4",IF(OR(P487=20,P487=21),"+5",IF(OR(P487=22,P487=23),"+6",IF(OR(P487=24,P487=25),"+7",IF(OR(P487=26,P487=27),"+8",IF(OR(P487=28,P487=29),"+9",IF(P487=30,"+10"," "))))))))))))))))</f>
        <v>0</v>
      </c>
      <c r="R487" s="3" t="n">
        <v>11</v>
      </c>
      <c r="S487" s="1" t="str">
        <f aca="false">IF(R487=1,"-5",IF(OR(R487=2,R487=3),"-4",IF(OR(R487=4,R487=5),"-3",IF(OR(R487=6,R487=7),"-2",IF(OR(R487=8,R487=9),"-1",IF(OR(R487=10,R487=11),"0",IF(OR(R487=12,R487=13),"+1",IF(OR(R487=14,R487=15),"+2",IF(OR(R487=16,R487=17),"+3",IF(OR(R487=18,R487=19),"+4",IF(OR(R487=20,R487=21),"+5",IF(OR(R487=22,R487=23),"+6",IF(OR(R487=24,R487=25),"+7",IF(OR(R487=26,R487=27),"+8",IF(OR(R487=28,R487=29),"+9",IF(R487=30,"+10"," "))))))))))))))))</f>
        <v>0</v>
      </c>
      <c r="T487" s="3" t="n">
        <v>15</v>
      </c>
      <c r="U487" s="1" t="str">
        <f aca="false">IF(T487=1,"-5",IF(OR(T487=2,T487=3),"-4",IF(OR(T487=4,T487=5),"-3",IF(OR(T487=6,T487=7),"-2",IF(OR(T487=8,T487=9),"-1",IF(OR(T487=10,T487=11),"0",IF(OR(T487=12,T487=13),"+1",IF(OR(T487=14,T487=15),"+2",IF(OR(T487=16,T487=17),"+3",IF(OR(T487=18,T487=19),"+4",IF(OR(T487=20,T487=21),"+5",IF(OR(T487=22,T487=23),"+6",IF(OR(T487=24,T487=25),"+7",IF(OR(T487=26,T487=27),"+8",IF(OR(T487=28,T487=29),"+9",IF(T487=30,"+10"," "))))))))))))))))</f>
        <v>+2</v>
      </c>
      <c r="V487" s="3" t="s">
        <v>2353</v>
      </c>
      <c r="W487" s="3" t="s">
        <v>2354</v>
      </c>
      <c r="X487" s="11" t="s">
        <v>2355</v>
      </c>
      <c r="Y487" s="11" t="s">
        <v>2356</v>
      </c>
      <c r="Z487" s="11" t="s">
        <v>37</v>
      </c>
      <c r="AA487" s="12" t="s">
        <v>37</v>
      </c>
    </row>
    <row r="488" customFormat="false" ht="16.4" hidden="false" customHeight="false" outlineLevel="0" collapsed="false">
      <c r="A488" s="15" t="s">
        <v>2357</v>
      </c>
      <c r="B488" s="3" t="s">
        <v>59</v>
      </c>
      <c r="C488" s="3" t="s">
        <v>37</v>
      </c>
      <c r="D488" s="16" t="n">
        <v>0.25</v>
      </c>
      <c r="E488" s="3" t="n">
        <f aca="false">VLOOKUP(D488,'[1]REF Tables'!$A$2:$B$40,2)</f>
        <v>50</v>
      </c>
      <c r="F488" s="3" t="s">
        <v>50</v>
      </c>
      <c r="G488" s="3" t="n">
        <v>10</v>
      </c>
      <c r="H488" s="3" t="s">
        <v>60</v>
      </c>
      <c r="I488" s="3" t="s">
        <v>42</v>
      </c>
      <c r="J488" s="3" t="n">
        <v>18</v>
      </c>
      <c r="K488" s="1" t="str">
        <f aca="false">IF(J488=1,"-5",IF(OR(J488=2,J488=3),"-4",IF(OR(J488=4,J488=5),"-3",IF(OR(J488=6,J488=7),"-2",IF(OR(J488=8,J488=9),"-1",IF(OR(J488=10,J488=11),"0",IF(OR(J488=12,J488=13),"+1",IF(OR(J488=14,J488=15),"+2",IF(OR(J488=16,J488=17),"+3",IF(OR(J488=18,J488=19),"+4",IF(OR(J488=20,J488=21),"+5",IF(OR(J488=22,J488=23),"+6",IF(OR(J488=24,J488=25),"+7",IF(OR(J488=26,J488=27),"+8",IF(OR(J488=28,J488=29),"+9",IF(J488=30,"+10"," "))))))))))))))))</f>
        <v>+4</v>
      </c>
      <c r="L488" s="3" t="n">
        <v>10</v>
      </c>
      <c r="M488" s="1" t="str">
        <f aca="false">IF(L488=1,"-5",IF(OR(L488=2,L488=3),"-4",IF(OR(L488=4,L488=5),"-3",IF(OR(L488=6,L488=7),"-2",IF(OR(L488=8,L488=9),"-1",IF(OR(L488=10,L488=11),"0",IF(OR(L488=12,L488=13),"+1",IF(OR(L488=14,L488=15),"+2",IF(OR(L488=16,L488=17),"+3",IF(OR(L488=18,L488=19),"+4",IF(OR(L488=20,L488=21),"+5",IF(OR(L488=22,L488=23),"+6",IF(OR(L488=24,L488=25),"+7",IF(OR(L488=26,L488=27),"+8",IF(OR(L488=28,L488=29),"+9",IF(L488=30,"+10"," "))))))))))))))))</f>
        <v>0</v>
      </c>
      <c r="N488" s="3" t="n">
        <v>14</v>
      </c>
      <c r="O488" s="1" t="str">
        <f aca="false">IF(N488=1,"-5",IF(OR(N488=2,N488=3),"-4",IF(OR(N488=4,N488=5),"-3",IF(OR(N488=6,N488=7),"-2",IF(OR(N488=8,N488=9),"-1",IF(OR(N488=10,N488=11),"0",IF(OR(N488=12,N488=13),"+1",IF(OR(N488=14,N488=15),"+2",IF(OR(N488=16,N488=17),"+3",IF(OR(N488=18,N488=19),"+4",IF(OR(N488=20,N488=21),"+5",IF(OR(N488=22,N488=23),"+6",IF(OR(N488=24,N488=25),"+7",IF(OR(N488=26,N488=27),"+8",IF(OR(N488=28,N488=29),"+9",IF(N488=30,"+10"," "))))))))))))))))</f>
        <v>+2</v>
      </c>
      <c r="P488" s="3" t="n">
        <v>2</v>
      </c>
      <c r="Q488" s="1" t="str">
        <f aca="false">IF(P488=1,"-5",IF(OR(P488=2,P488=3),"-4",IF(OR(P488=4,P488=5),"-3",IF(OR(P488=6,P488=7),"-2",IF(OR(P488=8,P488=9),"-1",IF(OR(P488=10,P488=11),"0",IF(OR(P488=12,P488=13),"+1",IF(OR(P488=14,P488=15),"+2",IF(OR(P488=16,P488=17),"+3",IF(OR(P488=18,P488=19),"+4",IF(OR(P488=20,P488=21),"+5",IF(OR(P488=22,P488=23),"+6",IF(OR(P488=24,P488=25),"+7",IF(OR(P488=26,P488=27),"+8",IF(OR(P488=28,P488=29),"+9",IF(P488=30,"+10"," "))))))))))))))))</f>
        <v>-4</v>
      </c>
      <c r="R488" s="3" t="n">
        <v>10</v>
      </c>
      <c r="S488" s="1" t="str">
        <f aca="false">IF(R488=1,"-5",IF(OR(R488=2,R488=3),"-4",IF(OR(R488=4,R488=5),"-3",IF(OR(R488=6,R488=7),"-2",IF(OR(R488=8,R488=9),"-1",IF(OR(R488=10,R488=11),"0",IF(OR(R488=12,R488=13),"+1",IF(OR(R488=14,R488=15),"+2",IF(OR(R488=16,R488=17),"+3",IF(OR(R488=18,R488=19),"+4",IF(OR(R488=20,R488=21),"+5",IF(OR(R488=22,R488=23),"+6",IF(OR(R488=24,R488=25),"+7",IF(OR(R488=26,R488=27),"+8",IF(OR(R488=28,R488=29),"+9",IF(R488=30,"+10"," "))))))))))))))))</f>
        <v>0</v>
      </c>
      <c r="T488" s="3" t="n">
        <v>4</v>
      </c>
      <c r="U488" s="1" t="str">
        <f aca="false">IF(T488=1,"-5",IF(OR(T488=2,T488=3),"-4",IF(OR(T488=4,T488=5),"-3",IF(OR(T488=6,T488=7),"-2",IF(OR(T488=8,T488=9),"-1",IF(OR(T488=10,T488=11),"0",IF(OR(T488=12,T488=13),"+1",IF(OR(T488=14,T488=15),"+2",IF(OR(T488=16,T488=17),"+3",IF(OR(T488=18,T488=19),"+4",IF(OR(T488=20,T488=21),"+5",IF(OR(T488=22,T488=23),"+6",IF(OR(T488=24,T488=25),"+7",IF(OR(T488=26,T488=27),"+8",IF(OR(T488=28,T488=29),"+9",IF(T488=30,"+10"," "))))))))))))))))</f>
        <v>-3</v>
      </c>
      <c r="V488" s="3" t="s">
        <v>37</v>
      </c>
      <c r="W488" s="3" t="s">
        <v>37</v>
      </c>
      <c r="X488" s="11" t="s">
        <v>2358</v>
      </c>
      <c r="Y488" s="11" t="s">
        <v>62</v>
      </c>
      <c r="Z488" s="11" t="s">
        <v>37</v>
      </c>
      <c r="AA488" s="12" t="s">
        <v>37</v>
      </c>
    </row>
    <row r="489" customFormat="false" ht="16.4" hidden="false" customHeight="false" outlineLevel="0" collapsed="false">
      <c r="A489" s="15" t="s">
        <v>2359</v>
      </c>
      <c r="B489" s="3" t="s">
        <v>59</v>
      </c>
      <c r="C489" s="3" t="s">
        <v>37</v>
      </c>
      <c r="D489" s="16" t="n">
        <v>0.25</v>
      </c>
      <c r="E489" s="3" t="n">
        <f aca="false">VLOOKUP(D489,'[1]REF Tables'!$A$2:$B$40,2)</f>
        <v>50</v>
      </c>
      <c r="F489" s="3" t="s">
        <v>30</v>
      </c>
      <c r="G489" s="3" t="n">
        <v>10</v>
      </c>
      <c r="H489" s="3" t="s">
        <v>136</v>
      </c>
      <c r="I489" s="3" t="s">
        <v>42</v>
      </c>
      <c r="J489" s="3" t="n">
        <v>18</v>
      </c>
      <c r="K489" s="1" t="str">
        <f aca="false">IF(J489=1,"-5",IF(OR(J489=2,J489=3),"-4",IF(OR(J489=4,J489=5),"-3",IF(OR(J489=6,J489=7),"-2",IF(OR(J489=8,J489=9),"-1",IF(OR(J489=10,J489=11),"0",IF(OR(J489=12,J489=13),"+1",IF(OR(J489=14,J489=15),"+2",IF(OR(J489=16,J489=17),"+3",IF(OR(J489=18,J489=19),"+4",IF(OR(J489=20,J489=21),"+5",IF(OR(J489=22,J489=23),"+6",IF(OR(J489=24,J489=25),"+7",IF(OR(J489=26,J489=27),"+8",IF(OR(J489=28,J489=29),"+9",IF(J489=30,"+10"," "))))))))))))))))</f>
        <v>+4</v>
      </c>
      <c r="L489" s="3" t="n">
        <v>10</v>
      </c>
      <c r="M489" s="1" t="str">
        <f aca="false">IF(L489=1,"-5",IF(OR(L489=2,L489=3),"-4",IF(OR(L489=4,L489=5),"-3",IF(OR(L489=6,L489=7),"-2",IF(OR(L489=8,L489=9),"-1",IF(OR(L489=10,L489=11),"0",IF(OR(L489=12,L489=13),"+1",IF(OR(L489=14,L489=15),"+2",IF(OR(L489=16,L489=17),"+3",IF(OR(L489=18,L489=19),"+4",IF(OR(L489=20,L489=21),"+5",IF(OR(L489=22,L489=23),"+6",IF(OR(L489=24,L489=25),"+7",IF(OR(L489=26,L489=27),"+8",IF(OR(L489=28,L489=29),"+9",IF(L489=30,"+10"," "))))))))))))))))</f>
        <v>0</v>
      </c>
      <c r="N489" s="3" t="n">
        <v>14</v>
      </c>
      <c r="O489" s="1" t="str">
        <f aca="false">IF(N489=1,"-5",IF(OR(N489=2,N489=3),"-4",IF(OR(N489=4,N489=5),"-3",IF(OR(N489=6,N489=7),"-2",IF(OR(N489=8,N489=9),"-1",IF(OR(N489=10,N489=11),"0",IF(OR(N489=12,N489=13),"+1",IF(OR(N489=14,N489=15),"+2",IF(OR(N489=16,N489=17),"+3",IF(OR(N489=18,N489=19),"+4",IF(OR(N489=20,N489=21),"+5",IF(OR(N489=22,N489=23),"+6",IF(OR(N489=24,N489=25),"+7",IF(OR(N489=26,N489=27),"+8",IF(OR(N489=28,N489=29),"+9",IF(N489=30,"+10"," "))))))))))))))))</f>
        <v>+2</v>
      </c>
      <c r="P489" s="3" t="n">
        <v>2</v>
      </c>
      <c r="Q489" s="1" t="str">
        <f aca="false">IF(P489=1,"-5",IF(OR(P489=2,P489=3),"-4",IF(OR(P489=4,P489=5),"-3",IF(OR(P489=6,P489=7),"-2",IF(OR(P489=8,P489=9),"-1",IF(OR(P489=10,P489=11),"0",IF(OR(P489=12,P489=13),"+1",IF(OR(P489=14,P489=15),"+2",IF(OR(P489=16,P489=17),"+3",IF(OR(P489=18,P489=19),"+4",IF(OR(P489=20,P489=21),"+5",IF(OR(P489=22,P489=23),"+6",IF(OR(P489=24,P489=25),"+7",IF(OR(P489=26,P489=27),"+8",IF(OR(P489=28,P489=29),"+9",IF(P489=30,"+10"," "))))))))))))))))</f>
        <v>-4</v>
      </c>
      <c r="R489" s="3" t="n">
        <v>10</v>
      </c>
      <c r="S489" s="1" t="str">
        <f aca="false">IF(R489=1,"-5",IF(OR(R489=2,R489=3),"-4",IF(OR(R489=4,R489=5),"-3",IF(OR(R489=6,R489=7),"-2",IF(OR(R489=8,R489=9),"-1",IF(OR(R489=10,R489=11),"0",IF(OR(R489=12,R489=13),"+1",IF(OR(R489=14,R489=15),"+2",IF(OR(R489=16,R489=17),"+3",IF(OR(R489=18,R489=19),"+4",IF(OR(R489=20,R489=21),"+5",IF(OR(R489=22,R489=23),"+6",IF(OR(R489=24,R489=25),"+7",IF(OR(R489=26,R489=27),"+8",IF(OR(R489=28,R489=29),"+9",IF(R489=30,"+10"," "))))))))))))))))</f>
        <v>0</v>
      </c>
      <c r="T489" s="3" t="n">
        <v>4</v>
      </c>
      <c r="U489" s="1" t="str">
        <f aca="false">IF(T489=1,"-5",IF(OR(T489=2,T489=3),"-4",IF(OR(T489=4,T489=5),"-3",IF(OR(T489=6,T489=7),"-2",IF(OR(T489=8,T489=9),"-1",IF(OR(T489=10,T489=11),"0",IF(OR(T489=12,T489=13),"+1",IF(OR(T489=14,T489=15),"+2",IF(OR(T489=16,T489=17),"+3",IF(OR(T489=18,T489=19),"+4",IF(OR(T489=20,T489=21),"+5",IF(OR(T489=22,T489=23),"+6",IF(OR(T489=24,T489=25),"+7",IF(OR(T489=26,T489=27),"+8",IF(OR(T489=28,T489=29),"+9",IF(T489=30,"+10"," "))))))))))))))))</f>
        <v>-3</v>
      </c>
      <c r="V489" s="3" t="s">
        <v>37</v>
      </c>
      <c r="W489" s="3" t="s">
        <v>37</v>
      </c>
      <c r="X489" s="11" t="s">
        <v>2360</v>
      </c>
      <c r="Y489" s="11" t="s">
        <v>62</v>
      </c>
      <c r="Z489" s="11" t="s">
        <v>37</v>
      </c>
      <c r="AA489" s="12" t="s">
        <v>37</v>
      </c>
    </row>
    <row r="490" customFormat="false" ht="16.4" hidden="false" customHeight="false" outlineLevel="0" collapsed="false">
      <c r="A490" s="14" t="s">
        <v>2361</v>
      </c>
      <c r="B490" s="1" t="s">
        <v>39</v>
      </c>
      <c r="C490" s="1" t="s">
        <v>40</v>
      </c>
      <c r="D490" s="5" t="n">
        <v>0</v>
      </c>
      <c r="E490" s="3" t="n">
        <f aca="false">VLOOKUP(D490,'[1]REF Tables'!$A$2:$B$40,2)</f>
        <v>10</v>
      </c>
      <c r="F490" s="1" t="s">
        <v>30</v>
      </c>
      <c r="G490" s="1" t="n">
        <v>10</v>
      </c>
      <c r="H490" s="1" t="s">
        <v>404</v>
      </c>
      <c r="I490" s="3" t="s">
        <v>42</v>
      </c>
      <c r="J490" s="1" t="n">
        <v>10</v>
      </c>
      <c r="K490" s="1" t="str">
        <f aca="false">IF(J490=1,"-5",IF(OR(J490=2,J490=3),"-4",IF(OR(J490=4,J490=5),"-3",IF(OR(J490=6,J490=7),"-2",IF(OR(J490=8,J490=9),"-1",IF(OR(J490=10,J490=11),"0",IF(OR(J490=12,J490=13),"+1",IF(OR(J490=14,J490=15),"+2",IF(OR(J490=16,J490=17),"+3",IF(OR(J490=18,J490=19),"+4",IF(OR(J490=20,J490=21),"+5",IF(OR(J490=22,J490=23),"+6",IF(OR(J490=24,J490=25),"+7",IF(OR(J490=26,J490=27),"+8",IF(OR(J490=28,J490=29),"+9",IF(J490=30,"+10"," "))))))))))))))))</f>
        <v>0</v>
      </c>
      <c r="L490" s="1" t="n">
        <v>10</v>
      </c>
      <c r="M490" s="1" t="str">
        <f aca="false">IF(L490=1,"-5",IF(OR(L490=2,L490=3),"-4",IF(OR(L490=4,L490=5),"-3",IF(OR(L490=6,L490=7),"-2",IF(OR(L490=8,L490=9),"-1",IF(OR(L490=10,L490=11),"0",IF(OR(L490=12,L490=13),"+1",IF(OR(L490=14,L490=15),"+2",IF(OR(L490=16,L490=17),"+3",IF(OR(L490=18,L490=19),"+4",IF(OR(L490=20,L490=21),"+5",IF(OR(L490=22,L490=23),"+6",IF(OR(L490=24,L490=25),"+7",IF(OR(L490=26,L490=27),"+8",IF(OR(L490=28,L490=29),"+9",IF(L490=30,"+10"," "))))))))))))))))</f>
        <v>0</v>
      </c>
      <c r="N490" s="1" t="n">
        <v>10</v>
      </c>
      <c r="O490" s="1" t="str">
        <f aca="false">IF(N490=1,"-5",IF(OR(N490=2,N490=3),"-4",IF(OR(N490=4,N490=5),"-3",IF(OR(N490=6,N490=7),"-2",IF(OR(N490=8,N490=9),"-1",IF(OR(N490=10,N490=11),"0",IF(OR(N490=12,N490=13),"+1",IF(OR(N490=14,N490=15),"+2",IF(OR(N490=16,N490=17),"+3",IF(OR(N490=18,N490=19),"+4",IF(OR(N490=20,N490=21),"+5",IF(OR(N490=22,N490=23),"+6",IF(OR(N490=24,N490=25),"+7",IF(OR(N490=26,N490=27),"+8",IF(OR(N490=28,N490=29),"+9",IF(N490=30,"+10"," "))))))))))))))))</f>
        <v>0</v>
      </c>
      <c r="P490" s="1" t="n">
        <v>10</v>
      </c>
      <c r="Q490" s="1" t="str">
        <f aca="false">IF(P490=1,"-5",IF(OR(P490=2,P490=3),"-4",IF(OR(P490=4,P490=5),"-3",IF(OR(P490=6,P490=7),"-2",IF(OR(P490=8,P490=9),"-1",IF(OR(P490=10,P490=11),"0",IF(OR(P490=12,P490=13),"+1",IF(OR(P490=14,P490=15),"+2",IF(OR(P490=16,P490=17),"+3",IF(OR(P490=18,P490=19),"+4",IF(OR(P490=20,P490=21),"+5",IF(OR(P490=22,P490=23),"+6",IF(OR(P490=24,P490=25),"+7",IF(OR(P490=26,P490=27),"+8",IF(OR(P490=28,P490=29),"+9",IF(P490=30,"+10"," "))))))))))))))))</f>
        <v>0</v>
      </c>
      <c r="R490" s="1" t="n">
        <v>10</v>
      </c>
      <c r="S490" s="1" t="str">
        <f aca="false">IF(R490=1,"-5",IF(OR(R490=2,R490=3),"-4",IF(OR(R490=4,R490=5),"-3",IF(OR(R490=6,R490=7),"-2",IF(OR(R490=8,R490=9),"-1",IF(OR(R490=10,R490=11),"0",IF(OR(R490=12,R490=13),"+1",IF(OR(R490=14,R490=15),"+2",IF(OR(R490=16,R490=17),"+3",IF(OR(R490=18,R490=19),"+4",IF(OR(R490=20,R490=21),"+5",IF(OR(R490=22,R490=23),"+6",IF(OR(R490=24,R490=25),"+7",IF(OR(R490=26,R490=27),"+8",IF(OR(R490=28,R490=29),"+9",IF(R490=30,"+10"," "))))))))))))))))</f>
        <v>0</v>
      </c>
      <c r="T490" s="1" t="n">
        <v>10</v>
      </c>
      <c r="U490" s="1" t="str">
        <f aca="false">IF(T490=1,"-5",IF(OR(T490=2,T490=3),"-4",IF(OR(T490=4,T490=5),"-3",IF(OR(T490=6,T490=7),"-2",IF(OR(T490=8,T490=9),"-1",IF(OR(T490=10,T490=11),"0",IF(OR(T490=12,T490=13),"+1",IF(OR(T490=14,T490=15),"+2",IF(OR(T490=16,T490=17),"+3",IF(OR(T490=18,T490=19),"+4",IF(OR(T490=20,T490=21),"+5",IF(OR(T490=22,T490=23),"+6",IF(OR(T490=24,T490=25),"+7",IF(OR(T490=26,T490=27),"+8",IF(OR(T490=28,T490=29),"+9",IF(T490=30,"+10"," "))))))))))))))))</f>
        <v>0</v>
      </c>
      <c r="V490" s="1" t="s">
        <v>37</v>
      </c>
      <c r="W490" s="1" t="s">
        <v>66</v>
      </c>
      <c r="X490" s="2" t="s">
        <v>260</v>
      </c>
      <c r="Y490" s="2" t="s">
        <v>68</v>
      </c>
      <c r="Z490" s="2" t="s">
        <v>37</v>
      </c>
      <c r="AA490" s="1" t="s">
        <v>37</v>
      </c>
    </row>
    <row r="491" customFormat="false" ht="16.4" hidden="false" customHeight="false" outlineLevel="0" collapsed="false">
      <c r="A491" s="15" t="s">
        <v>2362</v>
      </c>
      <c r="B491" s="3" t="s">
        <v>2363</v>
      </c>
      <c r="C491" s="3" t="s">
        <v>49</v>
      </c>
      <c r="D491" s="16" t="n">
        <v>0.5</v>
      </c>
      <c r="E491" s="3" t="n">
        <f aca="false">VLOOKUP(D491,'[1]REF Tables'!$A$2:$B$40,2)</f>
        <v>100</v>
      </c>
      <c r="F491" s="3" t="s">
        <v>30</v>
      </c>
      <c r="G491" s="3" t="n">
        <v>12</v>
      </c>
      <c r="H491" s="3" t="s">
        <v>503</v>
      </c>
      <c r="I491" s="3" t="s">
        <v>1566</v>
      </c>
      <c r="J491" s="3" t="n">
        <v>13</v>
      </c>
      <c r="K491" s="1" t="str">
        <f aca="false">IF(J491=1,"-5",IF(OR(J491=2,J491=3),"-4",IF(OR(J491=4,J491=5),"-3",IF(OR(J491=6,J491=7),"-2",IF(OR(J491=8,J491=9),"-1",IF(OR(J491=10,J491=11),"0",IF(OR(J491=12,J491=13),"+1",IF(OR(J491=14,J491=15),"+2",IF(OR(J491=16,J491=17),"+3",IF(OR(J491=18,J491=19),"+4",IF(OR(J491=20,J491=21),"+5",IF(OR(J491=22,J491=23),"+6",IF(OR(J491=24,J491=25),"+7",IF(OR(J491=26,J491=27),"+8",IF(OR(J491=28,J491=29),"+9",IF(J491=30,"+10"," "))))))))))))))))</f>
        <v>+1</v>
      </c>
      <c r="L491" s="3" t="n">
        <v>11</v>
      </c>
      <c r="M491" s="1" t="str">
        <f aca="false">IF(L491=1,"-5",IF(OR(L491=2,L491=3),"-4",IF(OR(L491=4,L491=5),"-3",IF(OR(L491=6,L491=7),"-2",IF(OR(L491=8,L491=9),"-1",IF(OR(L491=10,L491=11),"0",IF(OR(L491=12,L491=13),"+1",IF(OR(L491=14,L491=15),"+2",IF(OR(L491=16,L491=17),"+3",IF(OR(L491=18,L491=19),"+4",IF(OR(L491=20,L491=21),"+5",IF(OR(L491=22,L491=23),"+6",IF(OR(L491=24,L491=25),"+7",IF(OR(L491=26,L491=27),"+8",IF(OR(L491=28,L491=29),"+9",IF(L491=30,"+10"," "))))))))))))))))</f>
        <v>0</v>
      </c>
      <c r="N491" s="3" t="n">
        <v>12</v>
      </c>
      <c r="O491" s="1" t="str">
        <f aca="false">IF(N491=1,"-5",IF(OR(N491=2,N491=3),"-4",IF(OR(N491=4,N491=5),"-3",IF(OR(N491=6,N491=7),"-2",IF(OR(N491=8,N491=9),"-1",IF(OR(N491=10,N491=11),"0",IF(OR(N491=12,N491=13),"+1",IF(OR(N491=14,N491=15),"+2",IF(OR(N491=16,N491=17),"+3",IF(OR(N491=18,N491=19),"+4",IF(OR(N491=20,N491=21),"+5",IF(OR(N491=22,N491=23),"+6",IF(OR(N491=24,N491=25),"+7",IF(OR(N491=26,N491=27),"+8",IF(OR(N491=28,N491=29),"+9",IF(N491=30,"+10"," "))))))))))))))))</f>
        <v>+1</v>
      </c>
      <c r="P491" s="3" t="n">
        <v>12</v>
      </c>
      <c r="Q491" s="1" t="str">
        <f aca="false">IF(P491=1,"-5",IF(OR(P491=2,P491=3),"-4",IF(OR(P491=4,P491=5),"-3",IF(OR(P491=6,P491=7),"-2",IF(OR(P491=8,P491=9),"-1",IF(OR(P491=10,P491=11),"0",IF(OR(P491=12,P491=13),"+1",IF(OR(P491=14,P491=15),"+2",IF(OR(P491=16,P491=17),"+3",IF(OR(P491=18,P491=19),"+4",IF(OR(P491=20,P491=21),"+5",IF(OR(P491=22,P491=23),"+6",IF(OR(P491=24,P491=25),"+7",IF(OR(P491=26,P491=27),"+8",IF(OR(P491=28,P491=29),"+9",IF(P491=30,"+10"," "))))))))))))))))</f>
        <v>+1</v>
      </c>
      <c r="R491" s="3" t="n">
        <v>13</v>
      </c>
      <c r="S491" s="1" t="str">
        <f aca="false">IF(R491=1,"-5",IF(OR(R491=2,R491=3),"-4",IF(OR(R491=4,R491=5),"-3",IF(OR(R491=6,R491=7),"-2",IF(OR(R491=8,R491=9),"-1",IF(OR(R491=10,R491=11),"0",IF(OR(R491=12,R491=13),"+1",IF(OR(R491=14,R491=15),"+2",IF(OR(R491=16,R491=17),"+3",IF(OR(R491=18,R491=19),"+4",IF(OR(R491=20,R491=21),"+5",IF(OR(R491=22,R491=23),"+6",IF(OR(R491=24,R491=25),"+7",IF(OR(R491=26,R491=27),"+8",IF(OR(R491=28,R491=29),"+9",IF(R491=30,"+10"," "))))))))))))))))</f>
        <v>+1</v>
      </c>
      <c r="T491" s="3" t="n">
        <v>9</v>
      </c>
      <c r="U491" s="1" t="str">
        <f aca="false">IF(T491=1,"-5",IF(OR(T491=2,T491=3),"-4",IF(OR(T491=4,T491=5),"-3",IF(OR(T491=6,T491=7),"-2",IF(OR(T491=8,T491=9),"-1",IF(OR(T491=10,T491=11),"0",IF(OR(T491=12,T491=13),"+1",IF(OR(T491=14,T491=15),"+2",IF(OR(T491=16,T491=17),"+3",IF(OR(T491=18,T491=19),"+4",IF(OR(T491=20,T491=21),"+5",IF(OR(T491=22,T491=23),"+6",IF(OR(T491=24,T491=25),"+7",IF(OR(T491=26,T491=27),"+8",IF(OR(T491=28,T491=29),"+9",IF(T491=30,"+10"," "))))))))))))))))</f>
        <v>-1</v>
      </c>
      <c r="V491" s="3" t="s">
        <v>33</v>
      </c>
      <c r="W491" s="3" t="s">
        <v>2364</v>
      </c>
      <c r="X491" s="11" t="s">
        <v>2365</v>
      </c>
      <c r="Y491" s="11" t="s">
        <v>2366</v>
      </c>
      <c r="Z491" s="11" t="s">
        <v>37</v>
      </c>
      <c r="AA491" s="12" t="s">
        <v>37</v>
      </c>
    </row>
    <row r="492" customFormat="false" ht="16.4" hidden="false" customHeight="false" outlineLevel="0" collapsed="false">
      <c r="A492" s="15" t="s">
        <v>2367</v>
      </c>
      <c r="B492" s="3" t="s">
        <v>2363</v>
      </c>
      <c r="C492" s="3" t="s">
        <v>49</v>
      </c>
      <c r="D492" s="16" t="n">
        <v>5</v>
      </c>
      <c r="E492" s="6" t="n">
        <f aca="false">VLOOKUP(D492,'[1]REF Tables'!$A$2:$B$40,2)</f>
        <v>1800</v>
      </c>
      <c r="F492" s="3" t="s">
        <v>50</v>
      </c>
      <c r="G492" s="3" t="n">
        <v>16</v>
      </c>
      <c r="H492" s="3" t="s">
        <v>1903</v>
      </c>
      <c r="I492" s="3" t="s">
        <v>585</v>
      </c>
      <c r="J492" s="3" t="n">
        <v>19</v>
      </c>
      <c r="K492" s="1" t="str">
        <f aca="false">IF(J492=1,"-5",IF(OR(J492=2,J492=3),"-4",IF(OR(J492=4,J492=5),"-3",IF(OR(J492=6,J492=7),"-2",IF(OR(J492=8,J492=9),"-1",IF(OR(J492=10,J492=11),"0",IF(OR(J492=12,J492=13),"+1",IF(OR(J492=14,J492=15),"+2",IF(OR(J492=16,J492=17),"+3",IF(OR(J492=18,J492=19),"+4",IF(OR(J492=20,J492=21),"+5",IF(OR(J492=22,J492=23),"+6",IF(OR(J492=24,J492=25),"+7",IF(OR(J492=26,J492=27),"+8",IF(OR(J492=28,J492=29),"+9",IF(J492=30,"+10"," "))))))))))))))))</f>
        <v>+4</v>
      </c>
      <c r="L492" s="3" t="n">
        <v>15</v>
      </c>
      <c r="M492" s="1" t="str">
        <f aca="false">IF(L492=1,"-5",IF(OR(L492=2,L492=3),"-4",IF(OR(L492=4,L492=5),"-3",IF(OR(L492=6,L492=7),"-2",IF(OR(L492=8,L492=9),"-1",IF(OR(L492=10,L492=11),"0",IF(OR(L492=12,L492=13),"+1",IF(OR(L492=14,L492=15),"+2",IF(OR(L492=16,L492=17),"+3",IF(OR(L492=18,L492=19),"+4",IF(OR(L492=20,L492=21),"+5",IF(OR(L492=22,L492=23),"+6",IF(OR(L492=24,L492=25),"+7",IF(OR(L492=26,L492=27),"+8",IF(OR(L492=28,L492=29),"+9",IF(L492=30,"+10"," "))))))))))))))))</f>
        <v>+2</v>
      </c>
      <c r="N492" s="3" t="n">
        <v>16</v>
      </c>
      <c r="O492" s="1" t="str">
        <f aca="false">IF(N492=1,"-5",IF(OR(N492=2,N492=3),"-4",IF(OR(N492=4,N492=5),"-3",IF(OR(N492=6,N492=7),"-2",IF(OR(N492=8,N492=9),"-1",IF(OR(N492=10,N492=11),"0",IF(OR(N492=12,N492=13),"+1",IF(OR(N492=14,N492=15),"+2",IF(OR(N492=16,N492=17),"+3",IF(OR(N492=18,N492=19),"+4",IF(OR(N492=20,N492=21),"+5",IF(OR(N492=22,N492=23),"+6",IF(OR(N492=24,N492=25),"+7",IF(OR(N492=26,N492=27),"+8",IF(OR(N492=28,N492=29),"+9",IF(N492=30,"+10"," "))))))))))))))))</f>
        <v>+3</v>
      </c>
      <c r="P492" s="3" t="n">
        <v>14</v>
      </c>
      <c r="Q492" s="1" t="str">
        <f aca="false">IF(P492=1,"-5",IF(OR(P492=2,P492=3),"-4",IF(OR(P492=4,P492=5),"-3",IF(OR(P492=6,P492=7),"-2",IF(OR(P492=8,P492=9),"-1",IF(OR(P492=10,P492=11),"0",IF(OR(P492=12,P492=13),"+1",IF(OR(P492=14,P492=15),"+2",IF(OR(P492=16,P492=17),"+3",IF(OR(P492=18,P492=19),"+4",IF(OR(P492=20,P492=21),"+5",IF(OR(P492=22,P492=23),"+6",IF(OR(P492=24,P492=25),"+7",IF(OR(P492=26,P492=27),"+8",IF(OR(P492=28,P492=29),"+9",IF(P492=30,"+10"," "))))))))))))))))</f>
        <v>+2</v>
      </c>
      <c r="R492" s="3" t="n">
        <v>13</v>
      </c>
      <c r="S492" s="1" t="str">
        <f aca="false">IF(R492=1,"-5",IF(OR(R492=2,R492=3),"-4",IF(OR(R492=4,R492=5),"-3",IF(OR(R492=6,R492=7),"-2",IF(OR(R492=8,R492=9),"-1",IF(OR(R492=10,R492=11),"0",IF(OR(R492=12,R492=13),"+1",IF(OR(R492=14,R492=15),"+2",IF(OR(R492=16,R492=17),"+3",IF(OR(R492=18,R492=19),"+4",IF(OR(R492=20,R492=21),"+5",IF(OR(R492=22,R492=23),"+6",IF(OR(R492=24,R492=25),"+7",IF(OR(R492=26,R492=27),"+8",IF(OR(R492=28,R492=29),"+9",IF(R492=30,"+10"," "))))))))))))))))</f>
        <v>+1</v>
      </c>
      <c r="T492" s="3" t="n">
        <v>17</v>
      </c>
      <c r="U492" s="1" t="str">
        <f aca="false">IF(T492=1,"-5",IF(OR(T492=2,T492=3),"-4",IF(OR(T492=4,T492=5),"-3",IF(OR(T492=6,T492=7),"-2",IF(OR(T492=8,T492=9),"-1",IF(OR(T492=10,T492=11),"0",IF(OR(T492=12,T492=13),"+1",IF(OR(T492=14,T492=15),"+2",IF(OR(T492=16,T492=17),"+3",IF(OR(T492=18,T492=19),"+4",IF(OR(T492=20,T492=21),"+5",IF(OR(T492=22,T492=23),"+6",IF(OR(T492=24,T492=25),"+7",IF(OR(T492=26,T492=27),"+8",IF(OR(T492=28,T492=29),"+9",IF(T492=30,"+10"," "))))))))))))))))</f>
        <v>+3</v>
      </c>
      <c r="V492" s="3" t="s">
        <v>2368</v>
      </c>
      <c r="W492" s="3" t="s">
        <v>2364</v>
      </c>
      <c r="X492" s="11" t="s">
        <v>2369</v>
      </c>
      <c r="Y492" s="11" t="s">
        <v>2370</v>
      </c>
      <c r="Z492" s="11" t="s">
        <v>37</v>
      </c>
      <c r="AA492" s="12" t="s">
        <v>37</v>
      </c>
    </row>
    <row r="493" customFormat="false" ht="16.4" hidden="false" customHeight="false" outlineLevel="0" collapsed="false">
      <c r="A493" s="15" t="s">
        <v>2371</v>
      </c>
      <c r="B493" s="3" t="s">
        <v>2363</v>
      </c>
      <c r="C493" s="3" t="s">
        <v>49</v>
      </c>
      <c r="D493" s="16" t="n">
        <v>2</v>
      </c>
      <c r="E493" s="3" t="n">
        <f aca="false">VLOOKUP(D493,'[1]REF Tables'!$A$2:$B$40,2)</f>
        <v>450</v>
      </c>
      <c r="F493" s="3" t="s">
        <v>30</v>
      </c>
      <c r="G493" s="3" t="n">
        <v>12</v>
      </c>
      <c r="H493" s="3" t="s">
        <v>198</v>
      </c>
      <c r="I493" s="3" t="s">
        <v>1566</v>
      </c>
      <c r="J493" s="3" t="n">
        <v>13</v>
      </c>
      <c r="K493" s="1" t="str">
        <f aca="false">IF(J493=1,"-5",IF(OR(J493=2,J493=3),"-4",IF(OR(J493=4,J493=5),"-3",IF(OR(J493=6,J493=7),"-2",IF(OR(J493=8,J493=9),"-1",IF(OR(J493=10,J493=11),"0",IF(OR(J493=12,J493=13),"+1",IF(OR(J493=14,J493=15),"+2",IF(OR(J493=16,J493=17),"+3",IF(OR(J493=18,J493=19),"+4",IF(OR(J493=20,J493=21),"+5",IF(OR(J493=22,J493=23),"+6",IF(OR(J493=24,J493=25),"+7",IF(OR(J493=26,J493=27),"+8",IF(OR(J493=28,J493=29),"+9",IF(J493=30,"+10"," "))))))))))))))))</f>
        <v>+1</v>
      </c>
      <c r="L493" s="3" t="n">
        <v>11</v>
      </c>
      <c r="M493" s="1" t="str">
        <f aca="false">IF(L493=1,"-5",IF(OR(L493=2,L493=3),"-4",IF(OR(L493=4,L493=5),"-3",IF(OR(L493=6,L493=7),"-2",IF(OR(L493=8,L493=9),"-1",IF(OR(L493=10,L493=11),"0",IF(OR(L493=12,L493=13),"+1",IF(OR(L493=14,L493=15),"+2",IF(OR(L493=16,L493=17),"+3",IF(OR(L493=18,L493=19),"+4",IF(OR(L493=20,L493=21),"+5",IF(OR(L493=22,L493=23),"+6",IF(OR(L493=24,L493=25),"+7",IF(OR(L493=26,L493=27),"+8",IF(OR(L493=28,L493=29),"+9",IF(L493=30,"+10"," "))))))))))))))))</f>
        <v>0</v>
      </c>
      <c r="N493" s="3" t="n">
        <v>12</v>
      </c>
      <c r="O493" s="1" t="str">
        <f aca="false">IF(N493=1,"-5",IF(OR(N493=2,N493=3),"-4",IF(OR(N493=4,N493=5),"-3",IF(OR(N493=6,N493=7),"-2",IF(OR(N493=8,N493=9),"-1",IF(OR(N493=10,N493=11),"0",IF(OR(N493=12,N493=13),"+1",IF(OR(N493=14,N493=15),"+2",IF(OR(N493=16,N493=17),"+3",IF(OR(N493=18,N493=19),"+4",IF(OR(N493=20,N493=21),"+5",IF(OR(N493=22,N493=23),"+6",IF(OR(N493=24,N493=25),"+7",IF(OR(N493=26,N493=27),"+8",IF(OR(N493=28,N493=29),"+9",IF(N493=30,"+10"," "))))))))))))))))</f>
        <v>+1</v>
      </c>
      <c r="P493" s="3" t="n">
        <v>12</v>
      </c>
      <c r="Q493" s="1" t="str">
        <f aca="false">IF(P493=1,"-5",IF(OR(P493=2,P493=3),"-4",IF(OR(P493=4,P493=5),"-3",IF(OR(P493=6,P493=7),"-2",IF(OR(P493=8,P493=9),"-1",IF(OR(P493=10,P493=11),"0",IF(OR(P493=12,P493=13),"+1",IF(OR(P493=14,P493=15),"+2",IF(OR(P493=16,P493=17),"+3",IF(OR(P493=18,P493=19),"+4",IF(OR(P493=20,P493=21),"+5",IF(OR(P493=22,P493=23),"+6",IF(OR(P493=24,P493=25),"+7",IF(OR(P493=26,P493=27),"+8",IF(OR(P493=28,P493=29),"+9",IF(P493=30,"+10"," "))))))))))))))))</f>
        <v>+1</v>
      </c>
      <c r="R493" s="3" t="n">
        <v>14</v>
      </c>
      <c r="S493" s="1" t="str">
        <f aca="false">IF(R493=1,"-5",IF(OR(R493=2,R493=3),"-4",IF(OR(R493=4,R493=5),"-3",IF(OR(R493=6,R493=7),"-2",IF(OR(R493=8,R493=9),"-1",IF(OR(R493=10,R493=11),"0",IF(OR(R493=12,R493=13),"+1",IF(OR(R493=14,R493=15),"+2",IF(OR(R493=16,R493=17),"+3",IF(OR(R493=18,R493=19),"+4",IF(OR(R493=20,R493=21),"+5",IF(OR(R493=22,R493=23),"+6",IF(OR(R493=24,R493=25),"+7",IF(OR(R493=26,R493=27),"+8",IF(OR(R493=28,R493=29),"+9",IF(R493=30,"+10"," "))))))))))))))))</f>
        <v>+2</v>
      </c>
      <c r="T493" s="3" t="n">
        <v>13</v>
      </c>
      <c r="U493" s="1" t="str">
        <f aca="false">IF(T493=1,"-5",IF(OR(T493=2,T493=3),"-4",IF(OR(T493=4,T493=5),"-3",IF(OR(T493=6,T493=7),"-2",IF(OR(T493=8,T493=9),"-1",IF(OR(T493=10,T493=11),"0",IF(OR(T493=12,T493=13),"+1",IF(OR(T493=14,T493=15),"+2",IF(OR(T493=16,T493=17),"+3",IF(OR(T493=18,T493=19),"+4",IF(OR(T493=20,T493=21),"+5",IF(OR(T493=22,T493=23),"+6",IF(OR(T493=24,T493=25),"+7",IF(OR(T493=26,T493=27),"+8",IF(OR(T493=28,T493=29),"+9",IF(T493=30,"+10"," "))))))))))))))))</f>
        <v>+1</v>
      </c>
      <c r="V493" s="3" t="s">
        <v>2372</v>
      </c>
      <c r="W493" s="3" t="s">
        <v>2364</v>
      </c>
      <c r="X493" s="11" t="s">
        <v>2373</v>
      </c>
      <c r="Y493" s="11" t="s">
        <v>2374</v>
      </c>
      <c r="Z493" s="11" t="s">
        <v>37</v>
      </c>
      <c r="AA493" s="12" t="s">
        <v>37</v>
      </c>
    </row>
    <row r="494" customFormat="false" ht="16.4" hidden="false" customHeight="false" outlineLevel="0" collapsed="false">
      <c r="A494" s="15" t="s">
        <v>2375</v>
      </c>
      <c r="B494" s="3" t="s">
        <v>214</v>
      </c>
      <c r="C494" s="3" t="s">
        <v>85</v>
      </c>
      <c r="D494" s="16" t="n">
        <v>5</v>
      </c>
      <c r="E494" s="6" t="n">
        <f aca="false">VLOOKUP(D494,'[1]REF Tables'!$A$2:$B$40,2)</f>
        <v>1800</v>
      </c>
      <c r="F494" s="3" t="s">
        <v>50</v>
      </c>
      <c r="G494" s="3" t="n">
        <v>15</v>
      </c>
      <c r="H494" s="3" t="s">
        <v>288</v>
      </c>
      <c r="I494" s="3" t="s">
        <v>42</v>
      </c>
      <c r="J494" s="3" t="n">
        <v>18</v>
      </c>
      <c r="K494" s="1" t="str">
        <f aca="false">IF(J494=1,"-5",IF(OR(J494=2,J494=3),"-4",IF(OR(J494=4,J494=5),"-3",IF(OR(J494=6,J494=7),"-2",IF(OR(J494=8,J494=9),"-1",IF(OR(J494=10,J494=11),"0",IF(OR(J494=12,J494=13),"+1",IF(OR(J494=14,J494=15),"+2",IF(OR(J494=16,J494=17),"+3",IF(OR(J494=18,J494=19),"+4",IF(OR(J494=20,J494=21),"+5",IF(OR(J494=22,J494=23),"+6",IF(OR(J494=24,J494=25),"+7",IF(OR(J494=26,J494=27),"+8",IF(OR(J494=28,J494=29),"+9",IF(J494=30,"+10"," "))))))))))))))))</f>
        <v>+4</v>
      </c>
      <c r="L494" s="3" t="n">
        <v>14</v>
      </c>
      <c r="M494" s="1" t="str">
        <f aca="false">IF(L494=1,"-5",IF(OR(L494=2,L494=3),"-4",IF(OR(L494=4,L494=5),"-3",IF(OR(L494=6,L494=7),"-2",IF(OR(L494=8,L494=9),"-1",IF(OR(L494=10,L494=11),"0",IF(OR(L494=12,L494=13),"+1",IF(OR(L494=14,L494=15),"+2",IF(OR(L494=16,L494=17),"+3",IF(OR(L494=18,L494=19),"+4",IF(OR(L494=20,L494=21),"+5",IF(OR(L494=22,L494=23),"+6",IF(OR(L494=24,L494=25),"+7",IF(OR(L494=26,L494=27),"+8",IF(OR(L494=28,L494=29),"+9",IF(L494=30,"+10"," "))))))))))))))))</f>
        <v>+2</v>
      </c>
      <c r="N494" s="3" t="n">
        <v>15</v>
      </c>
      <c r="O494" s="1" t="str">
        <f aca="false">IF(N494=1,"-5",IF(OR(N494=2,N494=3),"-4",IF(OR(N494=4,N494=5),"-3",IF(OR(N494=6,N494=7),"-2",IF(OR(N494=8,N494=9),"-1",IF(OR(N494=10,N494=11),"0",IF(OR(N494=12,N494=13),"+1",IF(OR(N494=14,N494=15),"+2",IF(OR(N494=16,N494=17),"+3",IF(OR(N494=18,N494=19),"+4",IF(OR(N494=20,N494=21),"+5",IF(OR(N494=22,N494=23),"+6",IF(OR(N494=24,N494=25),"+7",IF(OR(N494=26,N494=27),"+8",IF(OR(N494=28,N494=29),"+9",IF(N494=30,"+10"," "))))))))))))))))</f>
        <v>+2</v>
      </c>
      <c r="P494" s="3" t="n">
        <v>11</v>
      </c>
      <c r="Q494" s="1" t="str">
        <f aca="false">IF(P494=1,"-5",IF(OR(P494=2,P494=3),"-4",IF(OR(P494=4,P494=5),"-3",IF(OR(P494=6,P494=7),"-2",IF(OR(P494=8,P494=9),"-1",IF(OR(P494=10,P494=11),"0",IF(OR(P494=12,P494=13),"+1",IF(OR(P494=14,P494=15),"+2",IF(OR(P494=16,P494=17),"+3",IF(OR(P494=18,P494=19),"+4",IF(OR(P494=20,P494=21),"+5",IF(OR(P494=22,P494=23),"+6",IF(OR(P494=24,P494=25),"+7",IF(OR(P494=26,P494=27),"+8",IF(OR(P494=28,P494=29),"+9",IF(P494=30,"+10"," "))))))))))))))))</f>
        <v>0</v>
      </c>
      <c r="R494" s="3" t="n">
        <v>10</v>
      </c>
      <c r="S494" s="1" t="str">
        <f aca="false">IF(R494=1,"-5",IF(OR(R494=2,R494=3),"-4",IF(OR(R494=4,R494=5),"-3",IF(OR(R494=6,R494=7),"-2",IF(OR(R494=8,R494=9),"-1",IF(OR(R494=10,R494=11),"0",IF(OR(R494=12,R494=13),"+1",IF(OR(R494=14,R494=15),"+2",IF(OR(R494=16,R494=17),"+3",IF(OR(R494=18,R494=19),"+4",IF(OR(R494=20,R494=21),"+5",IF(OR(R494=22,R494=23),"+6",IF(OR(R494=24,R494=25),"+7",IF(OR(R494=26,R494=27),"+8",IF(OR(R494=28,R494=29),"+9",IF(R494=30,"+10"," "))))))))))))))))</f>
        <v>0</v>
      </c>
      <c r="T494" s="3" t="n">
        <v>12</v>
      </c>
      <c r="U494" s="1" t="str">
        <f aca="false">IF(T494=1,"-5",IF(OR(T494=2,T494=3),"-4",IF(OR(T494=4,T494=5),"-3",IF(OR(T494=6,T494=7),"-2",IF(OR(T494=8,T494=9),"-1",IF(OR(T494=10,T494=11),"0",IF(OR(T494=12,T494=13),"+1",IF(OR(T494=14,T494=15),"+2",IF(OR(T494=16,T494=17),"+3",IF(OR(T494=18,T494=19),"+4",IF(OR(T494=20,T494=21),"+5",IF(OR(T494=22,T494=23),"+6",IF(OR(T494=24,T494=25),"+7",IF(OR(T494=26,T494=27),"+8",IF(OR(T494=28,T494=29),"+9",IF(T494=30,"+10"," "))))))))))))))))</f>
        <v>+1</v>
      </c>
      <c r="V494" s="3" t="s">
        <v>37</v>
      </c>
      <c r="W494" s="3" t="s">
        <v>1123</v>
      </c>
      <c r="X494" s="11" t="s">
        <v>2376</v>
      </c>
      <c r="Y494" s="11" t="s">
        <v>2377</v>
      </c>
      <c r="Z494" s="11" t="s">
        <v>37</v>
      </c>
      <c r="AA494" s="12" t="s">
        <v>37</v>
      </c>
    </row>
    <row r="495" customFormat="false" ht="16.4" hidden="false" customHeight="false" outlineLevel="0" collapsed="false">
      <c r="A495" s="15" t="s">
        <v>2378</v>
      </c>
      <c r="B495" s="3" t="s">
        <v>59</v>
      </c>
      <c r="C495" s="3" t="s">
        <v>37</v>
      </c>
      <c r="D495" s="16" t="n">
        <v>0.25</v>
      </c>
      <c r="E495" s="3" t="n">
        <f aca="false">VLOOKUP(D495,'[1]REF Tables'!$A$2:$B$40,2)</f>
        <v>50</v>
      </c>
      <c r="F495" s="3" t="s">
        <v>30</v>
      </c>
      <c r="G495" s="3" t="n">
        <v>11</v>
      </c>
      <c r="H495" s="3" t="s">
        <v>152</v>
      </c>
      <c r="I495" s="3" t="s">
        <v>224</v>
      </c>
      <c r="J495" s="3" t="n">
        <v>13</v>
      </c>
      <c r="K495" s="1" t="str">
        <f aca="false">IF(J495=1,"-5",IF(OR(J495=2,J495=3),"-4",IF(OR(J495=4,J495=5),"-3",IF(OR(J495=6,J495=7),"-2",IF(OR(J495=8,J495=9),"-1",IF(OR(J495=10,J495=11),"0",IF(OR(J495=12,J495=13),"+1",IF(OR(J495=14,J495=15),"+2",IF(OR(J495=16,J495=17),"+3",IF(OR(J495=18,J495=19),"+4",IF(OR(J495=20,J495=21),"+5",IF(OR(J495=22,J495=23),"+6",IF(OR(J495=24,J495=25),"+7",IF(OR(J495=26,J495=27),"+8",IF(OR(J495=28,J495=29),"+9",IF(J495=30,"+10"," "))))))))))))))))</f>
        <v>+1</v>
      </c>
      <c r="L495" s="3" t="n">
        <v>11</v>
      </c>
      <c r="M495" s="1" t="str">
        <f aca="false">IF(L495=1,"-5",IF(OR(L495=2,L495=3),"-4",IF(OR(L495=4,L495=5),"-3",IF(OR(L495=6,L495=7),"-2",IF(OR(L495=8,L495=9),"-1",IF(OR(L495=10,L495=11),"0",IF(OR(L495=12,L495=13),"+1",IF(OR(L495=14,L495=15),"+2",IF(OR(L495=16,L495=17),"+3",IF(OR(L495=18,L495=19),"+4",IF(OR(L495=20,L495=21),"+5",IF(OR(L495=22,L495=23),"+6",IF(OR(L495=24,L495=25),"+7",IF(OR(L495=26,L495=27),"+8",IF(OR(L495=28,L495=29),"+9",IF(L495=30,"+10"," "))))))))))))))))</f>
        <v>0</v>
      </c>
      <c r="N495" s="3" t="n">
        <v>12</v>
      </c>
      <c r="O495" s="1" t="str">
        <f aca="false">IF(N495=1,"-5",IF(OR(N495=2,N495=3),"-4",IF(OR(N495=4,N495=5),"-3",IF(OR(N495=6,N495=7),"-2",IF(OR(N495=8,N495=9),"-1",IF(OR(N495=10,N495=11),"0",IF(OR(N495=12,N495=13),"+1",IF(OR(N495=14,N495=15),"+2",IF(OR(N495=16,N495=17),"+3",IF(OR(N495=18,N495=19),"+4",IF(OR(N495=20,N495=21),"+5",IF(OR(N495=22,N495=23),"+6",IF(OR(N495=24,N495=25),"+7",IF(OR(N495=26,N495=27),"+8",IF(OR(N495=28,N495=29),"+9",IF(N495=30,"+10"," "))))))))))))))))</f>
        <v>+1</v>
      </c>
      <c r="P495" s="3" t="n">
        <v>2</v>
      </c>
      <c r="Q495" s="1" t="str">
        <f aca="false">IF(P495=1,"-5",IF(OR(P495=2,P495=3),"-4",IF(OR(P495=4,P495=5),"-3",IF(OR(P495=6,P495=7),"-2",IF(OR(P495=8,P495=9),"-1",IF(OR(P495=10,P495=11),"0",IF(OR(P495=12,P495=13),"+1",IF(OR(P495=14,P495=15),"+2",IF(OR(P495=16,P495=17),"+3",IF(OR(P495=18,P495=19),"+4",IF(OR(P495=20,P495=21),"+5",IF(OR(P495=22,P495=23),"+6",IF(OR(P495=24,P495=25),"+7",IF(OR(P495=26,P495=27),"+8",IF(OR(P495=28,P495=29),"+9",IF(P495=30,"+10"," "))))))))))))))))</f>
        <v>-4</v>
      </c>
      <c r="R495" s="3" t="n">
        <v>9</v>
      </c>
      <c r="S495" s="1" t="str">
        <f aca="false">IF(R495=1,"-5",IF(OR(R495=2,R495=3),"-4",IF(OR(R495=4,R495=5),"-3",IF(OR(R495=6,R495=7),"-2",IF(OR(R495=8,R495=9),"-1",IF(OR(R495=10,R495=11),"0",IF(OR(R495=12,R495=13),"+1",IF(OR(R495=14,R495=15),"+2",IF(OR(R495=16,R495=17),"+3",IF(OR(R495=18,R495=19),"+4",IF(OR(R495=20,R495=21),"+5",IF(OR(R495=22,R495=23),"+6",IF(OR(R495=24,R495=25),"+7",IF(OR(R495=26,R495=27),"+8",IF(OR(R495=28,R495=29),"+9",IF(R495=30,"+10"," "))))))))))))))))</f>
        <v>-1</v>
      </c>
      <c r="T495" s="3" t="n">
        <v>5</v>
      </c>
      <c r="U495" s="1" t="str">
        <f aca="false">IF(T495=1,"-5",IF(OR(T495=2,T495=3),"-4",IF(OR(T495=4,T495=5),"-3",IF(OR(T495=6,T495=7),"-2",IF(OR(T495=8,T495=9),"-1",IF(OR(T495=10,T495=11),"0",IF(OR(T495=12,T495=13),"+1",IF(OR(T495=14,T495=15),"+2",IF(OR(T495=16,T495=17),"+3",IF(OR(T495=18,T495=19),"+4",IF(OR(T495=20,T495=21),"+5",IF(OR(T495=22,T495=23),"+6",IF(OR(T495=24,T495=25),"+7",IF(OR(T495=26,T495=27),"+8",IF(OR(T495=28,T495=29),"+9",IF(T495=30,"+10"," "))))))))))))))))</f>
        <v>-3</v>
      </c>
      <c r="V495" s="3" t="s">
        <v>37</v>
      </c>
      <c r="W495" s="3" t="s">
        <v>37</v>
      </c>
      <c r="X495" s="11" t="s">
        <v>2379</v>
      </c>
      <c r="Y495" s="11" t="s">
        <v>2380</v>
      </c>
      <c r="Z495" s="11" t="s">
        <v>37</v>
      </c>
      <c r="AA495" s="12" t="s">
        <v>37</v>
      </c>
    </row>
    <row r="496" customFormat="false" ht="16.4" hidden="false" customHeight="false" outlineLevel="0" collapsed="false">
      <c r="A496" s="15" t="s">
        <v>2381</v>
      </c>
      <c r="B496" s="3" t="s">
        <v>59</v>
      </c>
      <c r="C496" s="3" t="s">
        <v>37</v>
      </c>
      <c r="D496" s="16" t="n">
        <v>2</v>
      </c>
      <c r="E496" s="3" t="n">
        <f aca="false">VLOOKUP(D496,'[1]REF Tables'!$A$2:$B$40,2)</f>
        <v>450</v>
      </c>
      <c r="F496" s="3" t="s">
        <v>50</v>
      </c>
      <c r="G496" s="3" t="n">
        <v>12</v>
      </c>
      <c r="H496" s="3" t="s">
        <v>2162</v>
      </c>
      <c r="I496" s="3" t="s">
        <v>224</v>
      </c>
      <c r="J496" s="3" t="n">
        <v>17</v>
      </c>
      <c r="K496" s="1" t="str">
        <f aca="false">IF(J496=1,"-5",IF(OR(J496=2,J496=3),"-4",IF(OR(J496=4,J496=5),"-3",IF(OR(J496=6,J496=7),"-2",IF(OR(J496=8,J496=9),"-1",IF(OR(J496=10,J496=11),"0",IF(OR(J496=12,J496=13),"+1",IF(OR(J496=14,J496=15),"+2",IF(OR(J496=16,J496=17),"+3",IF(OR(J496=18,J496=19),"+4",IF(OR(J496=20,J496=21),"+5",IF(OR(J496=22,J496=23),"+6",IF(OR(J496=24,J496=25),"+7",IF(OR(J496=26,J496=27),"+8",IF(OR(J496=28,J496=29),"+9",IF(J496=30,"+10"," "))))))))))))))))</f>
        <v>+3</v>
      </c>
      <c r="L496" s="3" t="n">
        <v>10</v>
      </c>
      <c r="M496" s="1" t="str">
        <f aca="false">IF(L496=1,"-5",IF(OR(L496=2,L496=3),"-4",IF(OR(L496=4,L496=5),"-3",IF(OR(L496=6,L496=7),"-2",IF(OR(L496=8,L496=9),"-1",IF(OR(L496=10,L496=11),"0",IF(OR(L496=12,L496=13),"+1",IF(OR(L496=14,L496=15),"+2",IF(OR(L496=16,L496=17),"+3",IF(OR(L496=18,L496=19),"+4",IF(OR(L496=20,L496=21),"+5",IF(OR(L496=22,L496=23),"+6",IF(OR(L496=24,L496=25),"+7",IF(OR(L496=26,L496=27),"+8",IF(OR(L496=28,L496=29),"+9",IF(L496=30,"+10"," "))))))))))))))))</f>
        <v>0</v>
      </c>
      <c r="N496" s="3" t="n">
        <v>16</v>
      </c>
      <c r="O496" s="1" t="str">
        <f aca="false">IF(N496=1,"-5",IF(OR(N496=2,N496=3),"-4",IF(OR(N496=4,N496=5),"-3",IF(OR(N496=6,N496=7),"-2",IF(OR(N496=8,N496=9),"-1",IF(OR(N496=10,N496=11),"0",IF(OR(N496=12,N496=13),"+1",IF(OR(N496=14,N496=15),"+2",IF(OR(N496=16,N496=17),"+3",IF(OR(N496=18,N496=19),"+4",IF(OR(N496=20,N496=21),"+5",IF(OR(N496=22,N496=23),"+6",IF(OR(N496=24,N496=25),"+7",IF(OR(N496=26,N496=27),"+8",IF(OR(N496=28,N496=29),"+9",IF(N496=30,"+10"," "))))))))))))))))</f>
        <v>+3</v>
      </c>
      <c r="P496" s="3" t="n">
        <v>2</v>
      </c>
      <c r="Q496" s="1" t="str">
        <f aca="false">IF(P496=1,"-5",IF(OR(P496=2,P496=3),"-4",IF(OR(P496=4,P496=5),"-3",IF(OR(P496=6,P496=7),"-2",IF(OR(P496=8,P496=9),"-1",IF(OR(P496=10,P496=11),"0",IF(OR(P496=12,P496=13),"+1",IF(OR(P496=14,P496=15),"+2",IF(OR(P496=16,P496=17),"+3",IF(OR(P496=18,P496=19),"+4",IF(OR(P496=20,P496=21),"+5",IF(OR(P496=22,P496=23),"+6",IF(OR(P496=24,P496=25),"+7",IF(OR(P496=26,P496=27),"+8",IF(OR(P496=28,P496=29),"+9",IF(P496=30,"+10"," "))))))))))))))))</f>
        <v>-4</v>
      </c>
      <c r="R496" s="3" t="n">
        <v>7</v>
      </c>
      <c r="S496" s="1" t="str">
        <f aca="false">IF(R496=1,"-5",IF(OR(R496=2,R496=3),"-4",IF(OR(R496=4,R496=5),"-3",IF(OR(R496=6,R496=7),"-2",IF(OR(R496=8,R496=9),"-1",IF(OR(R496=10,R496=11),"0",IF(OR(R496=12,R496=13),"+1",IF(OR(R496=14,R496=15),"+2",IF(OR(R496=16,R496=17),"+3",IF(OR(R496=18,R496=19),"+4",IF(OR(R496=20,R496=21),"+5",IF(OR(R496=22,R496=23),"+6",IF(OR(R496=24,R496=25),"+7",IF(OR(R496=26,R496=27),"+8",IF(OR(R496=28,R496=29),"+9",IF(R496=30,"+10"," "))))))))))))))))</f>
        <v>-2</v>
      </c>
      <c r="T496" s="3" t="n">
        <v>5</v>
      </c>
      <c r="U496" s="1" t="str">
        <f aca="false">IF(T496=1,"-5",IF(OR(T496=2,T496=3),"-4",IF(OR(T496=4,T496=5),"-3",IF(OR(T496=6,T496=7),"-2",IF(OR(T496=8,T496=9),"-1",IF(OR(T496=10,T496=11),"0",IF(OR(T496=12,T496=13),"+1",IF(OR(T496=14,T496=15),"+2",IF(OR(T496=16,T496=17),"+3",IF(OR(T496=18,T496=19),"+4",IF(OR(T496=20,T496=21),"+5",IF(OR(T496=22,T496=23),"+6",IF(OR(T496=24,T496=25),"+7",IF(OR(T496=26,T496=27),"+8",IF(OR(T496=28,T496=29),"+9",IF(T496=30,"+10"," "))))))))))))))))</f>
        <v>-3</v>
      </c>
      <c r="V496" s="3" t="s">
        <v>37</v>
      </c>
      <c r="W496" s="3" t="s">
        <v>37</v>
      </c>
      <c r="X496" s="11" t="s">
        <v>2382</v>
      </c>
      <c r="Y496" s="11" t="s">
        <v>2383</v>
      </c>
      <c r="Z496" s="11" t="s">
        <v>37</v>
      </c>
      <c r="AA496" s="12" t="s">
        <v>37</v>
      </c>
    </row>
    <row r="497" customFormat="false" ht="16.4" hidden="false" customHeight="false" outlineLevel="0" collapsed="false">
      <c r="A497" s="15" t="s">
        <v>2384</v>
      </c>
      <c r="B497" s="3" t="s">
        <v>1791</v>
      </c>
      <c r="C497" s="3" t="s">
        <v>85</v>
      </c>
      <c r="D497" s="16" t="n">
        <v>4</v>
      </c>
      <c r="E497" s="6" t="n">
        <f aca="false">VLOOKUP(D497,'[1]REF Tables'!$A$2:$B$40,2)</f>
        <v>1100</v>
      </c>
      <c r="F497" s="3" t="s">
        <v>30</v>
      </c>
      <c r="G497" s="3" t="s">
        <v>2385</v>
      </c>
      <c r="H497" s="3" t="s">
        <v>204</v>
      </c>
      <c r="I497" s="3" t="s">
        <v>2386</v>
      </c>
      <c r="J497" s="3" t="n">
        <v>17</v>
      </c>
      <c r="K497" s="1" t="str">
        <f aca="false">IF(J497=1,"-5",IF(OR(J497=2,J497=3),"-4",IF(OR(J497=4,J497=5),"-3",IF(OR(J497=6,J497=7),"-2",IF(OR(J497=8,J497=9),"-1",IF(OR(J497=10,J497=11),"0",IF(OR(J497=12,J497=13),"+1",IF(OR(J497=14,J497=15),"+2",IF(OR(J497=16,J497=17),"+3",IF(OR(J497=18,J497=19),"+4",IF(OR(J497=20,J497=21),"+5",IF(OR(J497=22,J497=23),"+6",IF(OR(J497=24,J497=25),"+7",IF(OR(J497=26,J497=27),"+8",IF(OR(J497=28,J497=29),"+9",IF(J497=30,"+10"," "))))))))))))))))</f>
        <v>+3</v>
      </c>
      <c r="L497" s="3" t="n">
        <v>10</v>
      </c>
      <c r="M497" s="1" t="str">
        <f aca="false">IF(L497=1,"-5",IF(OR(L497=2,L497=3),"-4",IF(OR(L497=4,L497=5),"-3",IF(OR(L497=6,L497=7),"-2",IF(OR(L497=8,L497=9),"-1",IF(OR(L497=10,L497=11),"0",IF(OR(L497=12,L497=13),"+1",IF(OR(L497=14,L497=15),"+2",IF(OR(L497=16,L497=17),"+3",IF(OR(L497=18,L497=19),"+4",IF(OR(L497=20,L497=21),"+5",IF(OR(L497=22,L497=23),"+6",IF(OR(L497=24,L497=25),"+7",IF(OR(L497=26,L497=27),"+8",IF(OR(L497=28,L497=29),"+9",IF(L497=30,"+10"," "))))))))))))))))</f>
        <v>0</v>
      </c>
      <c r="N497" s="3" t="n">
        <v>15</v>
      </c>
      <c r="O497" s="1" t="str">
        <f aca="false">IF(N497=1,"-5",IF(OR(N497=2,N497=3),"-4",IF(OR(N497=4,N497=5),"-3",IF(OR(N497=6,N497=7),"-2",IF(OR(N497=8,N497=9),"-1",IF(OR(N497=10,N497=11),"0",IF(OR(N497=12,N497=13),"+1",IF(OR(N497=14,N497=15),"+2",IF(OR(N497=16,N497=17),"+3",IF(OR(N497=18,N497=19),"+4",IF(OR(N497=20,N497=21),"+5",IF(OR(N497=22,N497=23),"+6",IF(OR(N497=24,N497=25),"+7",IF(OR(N497=26,N497=27),"+8",IF(OR(N497=28,N497=29),"+9",IF(N497=30,"+10"," "))))))))))))))))</f>
        <v>+2</v>
      </c>
      <c r="P497" s="3" t="n">
        <v>10</v>
      </c>
      <c r="Q497" s="1" t="str">
        <f aca="false">IF(P497=1,"-5",IF(OR(P497=2,P497=3),"-4",IF(OR(P497=4,P497=5),"-3",IF(OR(P497=6,P497=7),"-2",IF(OR(P497=8,P497=9),"-1",IF(OR(P497=10,P497=11),"0",IF(OR(P497=12,P497=13),"+1",IF(OR(P497=14,P497=15),"+2",IF(OR(P497=16,P497=17),"+3",IF(OR(P497=18,P497=19),"+4",IF(OR(P497=20,P497=21),"+5",IF(OR(P497=22,P497=23),"+6",IF(OR(P497=24,P497=25),"+7",IF(OR(P497=26,P497=27),"+8",IF(OR(P497=28,P497=29),"+9",IF(P497=30,"+10"," "))))))))))))))))</f>
        <v>0</v>
      </c>
      <c r="R497" s="3" t="n">
        <v>11</v>
      </c>
      <c r="S497" s="1" t="str">
        <f aca="false">IF(R497=1,"-5",IF(OR(R497=2,R497=3),"-4",IF(OR(R497=4,R497=5),"-3",IF(OR(R497=6,R497=7),"-2",IF(OR(R497=8,R497=9),"-1",IF(OR(R497=10,R497=11),"0",IF(OR(R497=12,R497=13),"+1",IF(OR(R497=14,R497=15),"+2",IF(OR(R497=16,R497=17),"+3",IF(OR(R497=18,R497=19),"+4",IF(OR(R497=20,R497=21),"+5",IF(OR(R497=22,R497=23),"+6",IF(OR(R497=24,R497=25),"+7",IF(OR(R497=26,R497=27),"+8",IF(OR(R497=28,R497=29),"+9",IF(R497=30,"+10"," "))))))))))))))))</f>
        <v>0</v>
      </c>
      <c r="T497" s="3" t="n">
        <v>8</v>
      </c>
      <c r="U497" s="1" t="str">
        <f aca="false">IF(T497=1,"-5",IF(OR(T497=2,T497=3),"-4",IF(OR(T497=4,T497=5),"-3",IF(OR(T497=6,T497=7),"-2",IF(OR(T497=8,T497=9),"-1",IF(OR(T497=10,T497=11),"0",IF(OR(T497=12,T497=13),"+1",IF(OR(T497=14,T497=15),"+2",IF(OR(T497=16,T497=17),"+3",IF(OR(T497=18,T497=19),"+4",IF(OR(T497=20,T497=21),"+5",IF(OR(T497=22,T497=23),"+6",IF(OR(T497=24,T497=25),"+7",IF(OR(T497=26,T497=27),"+8",IF(OR(T497=28,T497=29),"+9",IF(T497=30,"+10"," "))))))))))))))))</f>
        <v>-1</v>
      </c>
      <c r="V497" s="3" t="s">
        <v>1039</v>
      </c>
      <c r="W497" s="3" t="s">
        <v>2387</v>
      </c>
      <c r="X497" s="11" t="s">
        <v>2388</v>
      </c>
      <c r="Y497" s="11" t="s">
        <v>2389</v>
      </c>
      <c r="Z497" s="11" t="s">
        <v>37</v>
      </c>
      <c r="AA497" s="12" t="s">
        <v>37</v>
      </c>
    </row>
    <row r="498" customFormat="false" ht="16.4" hidden="false" customHeight="false" outlineLevel="0" collapsed="false">
      <c r="A498" s="15" t="s">
        <v>2390</v>
      </c>
      <c r="B498" s="3" t="s">
        <v>356</v>
      </c>
      <c r="C498" s="3" t="s">
        <v>590</v>
      </c>
      <c r="D498" s="16" t="n">
        <v>0.5</v>
      </c>
      <c r="E498" s="3" t="n">
        <f aca="false">VLOOKUP(D498,'[1]REF Tables'!$A$2:$B$40,2)</f>
        <v>100</v>
      </c>
      <c r="F498" s="3" t="s">
        <v>30</v>
      </c>
      <c r="G498" s="3" t="n">
        <v>14</v>
      </c>
      <c r="H498" s="3" t="s">
        <v>2391</v>
      </c>
      <c r="I498" s="3" t="s">
        <v>224</v>
      </c>
      <c r="J498" s="3" t="n">
        <v>12</v>
      </c>
      <c r="K498" s="1" t="str">
        <f aca="false">IF(J498=1,"-5",IF(OR(J498=2,J498=3),"-4",IF(OR(J498=4,J498=5),"-3",IF(OR(J498=6,J498=7),"-2",IF(OR(J498=8,J498=9),"-1",IF(OR(J498=10,J498=11),"0",IF(OR(J498=12,J498=13),"+1",IF(OR(J498=14,J498=15),"+2",IF(OR(J498=16,J498=17),"+3",IF(OR(J498=18,J498=19),"+4",IF(OR(J498=20,J498=21),"+5",IF(OR(J498=22,J498=23),"+6",IF(OR(J498=24,J498=25),"+7",IF(OR(J498=26,J498=27),"+8",IF(OR(J498=28,J498=29),"+9",IF(J498=30,"+10"," "))))))))))))))))</f>
        <v>+1</v>
      </c>
      <c r="L498" s="3" t="n">
        <v>19</v>
      </c>
      <c r="M498" s="1" t="str">
        <f aca="false">IF(L498=1,"-5",IF(OR(L498=2,L498=3),"-4",IF(OR(L498=4,L498=5),"-3",IF(OR(L498=6,L498=7),"-2",IF(OR(L498=8,L498=9),"-1",IF(OR(L498=10,L498=11),"0",IF(OR(L498=12,L498=13),"+1",IF(OR(L498=14,L498=15),"+2",IF(OR(L498=16,L498=17),"+3",IF(OR(L498=18,L498=19),"+4",IF(OR(L498=20,L498=21),"+5",IF(OR(L498=22,L498=23),"+6",IF(OR(L498=24,L498=25),"+7",IF(OR(L498=26,L498=27),"+8",IF(OR(L498=28,L498=29),"+9",IF(L498=30,"+10"," "))))))))))))))))</f>
        <v>+4</v>
      </c>
      <c r="N498" s="3" t="n">
        <v>11</v>
      </c>
      <c r="O498" s="1" t="str">
        <f aca="false">IF(N498=1,"-5",IF(OR(N498=2,N498=3),"-4",IF(OR(N498=4,N498=5),"-3",IF(OR(N498=6,N498=7),"-2",IF(OR(N498=8,N498=9),"-1",IF(OR(N498=10,N498=11),"0",IF(OR(N498=12,N498=13),"+1",IF(OR(N498=14,N498=15),"+2",IF(OR(N498=16,N498=17),"+3",IF(OR(N498=18,N498=19),"+4",IF(OR(N498=20,N498=21),"+5",IF(OR(N498=22,N498=23),"+6",IF(OR(N498=24,N498=25),"+7",IF(OR(N498=26,N498=27),"+8",IF(OR(N498=28,N498=29),"+9",IF(N498=30,"+10"," "))))))))))))))))</f>
        <v>0</v>
      </c>
      <c r="P498" s="3" t="n">
        <v>12</v>
      </c>
      <c r="Q498" s="1" t="str">
        <f aca="false">IF(P498=1,"-5",IF(OR(P498=2,P498=3),"-4",IF(OR(P498=4,P498=5),"-3",IF(OR(P498=6,P498=7),"-2",IF(OR(P498=8,P498=9),"-1",IF(OR(P498=10,P498=11),"0",IF(OR(P498=12,P498=13),"+1",IF(OR(P498=14,P498=15),"+2",IF(OR(P498=16,P498=17),"+3",IF(OR(P498=18,P498=19),"+4",IF(OR(P498=20,P498=21),"+5",IF(OR(P498=22,P498=23),"+6",IF(OR(P498=24,P498=25),"+7",IF(OR(P498=26,P498=27),"+8",IF(OR(P498=28,P498=29),"+9",IF(P498=30,"+10"," "))))))))))))))))</f>
        <v>+1</v>
      </c>
      <c r="R498" s="3" t="n">
        <v>10</v>
      </c>
      <c r="S498" s="1" t="str">
        <f aca="false">IF(R498=1,"-5",IF(OR(R498=2,R498=3),"-4",IF(OR(R498=4,R498=5),"-3",IF(OR(R498=6,R498=7),"-2",IF(OR(R498=8,R498=9),"-1",IF(OR(R498=10,R498=11),"0",IF(OR(R498=12,R498=13),"+1",IF(OR(R498=14,R498=15),"+2",IF(OR(R498=16,R498=17),"+3",IF(OR(R498=18,R498=19),"+4",IF(OR(R498=20,R498=21),"+5",IF(OR(R498=22,R498=23),"+6",IF(OR(R498=24,R498=25),"+7",IF(OR(R498=26,R498=27),"+8",IF(OR(R498=28,R498=29),"+9",IF(R498=30,"+10"," "))))))))))))))))</f>
        <v>0</v>
      </c>
      <c r="T498" s="3" t="n">
        <v>14</v>
      </c>
      <c r="U498" s="1" t="str">
        <f aca="false">IF(T498=1,"-5",IF(OR(T498=2,T498=3),"-4",IF(OR(T498=4,T498=5),"-3",IF(OR(T498=6,T498=7),"-2",IF(OR(T498=8,T498=9),"-1",IF(OR(T498=10,T498=11),"0",IF(OR(T498=12,T498=13),"+1",IF(OR(T498=14,T498=15),"+2",IF(OR(T498=16,T498=17),"+3",IF(OR(T498=18,T498=19),"+4",IF(OR(T498=20,T498=21),"+5",IF(OR(T498=22,T498=23),"+6",IF(OR(T498=24,T498=25),"+7",IF(OR(T498=26,T498=27),"+8",IF(OR(T498=28,T498=29),"+9",IF(T498=30,"+10"," "))))))))))))))))</f>
        <v>+2</v>
      </c>
      <c r="V498" s="3" t="s">
        <v>2392</v>
      </c>
      <c r="W498" s="3" t="s">
        <v>1217</v>
      </c>
      <c r="X498" s="11" t="s">
        <v>2393</v>
      </c>
      <c r="Y498" s="11" t="s">
        <v>2394</v>
      </c>
      <c r="Z498" s="11" t="s">
        <v>37</v>
      </c>
      <c r="AA498" s="12" t="s">
        <v>37</v>
      </c>
    </row>
    <row r="499" customFormat="false" ht="16.4" hidden="false" customHeight="false" outlineLevel="0" collapsed="false">
      <c r="A499" s="15" t="s">
        <v>2395</v>
      </c>
      <c r="B499" s="3" t="s">
        <v>105</v>
      </c>
      <c r="C499" s="3" t="s">
        <v>85</v>
      </c>
      <c r="D499" s="16" t="n">
        <v>1</v>
      </c>
      <c r="E499" s="3" t="n">
        <f aca="false">VLOOKUP(D499,'[1]REF Tables'!$A$2:$B$40,2)</f>
        <v>200</v>
      </c>
      <c r="F499" s="3" t="s">
        <v>50</v>
      </c>
      <c r="G499" s="3" t="n">
        <v>14</v>
      </c>
      <c r="H499" s="3" t="s">
        <v>2396</v>
      </c>
      <c r="I499" s="3" t="s">
        <v>210</v>
      </c>
      <c r="J499" s="3" t="n">
        <v>18</v>
      </c>
      <c r="K499" s="1" t="str">
        <f aca="false">IF(J499=1,"-5",IF(OR(J499=2,J499=3),"-4",IF(OR(J499=4,J499=5),"-3",IF(OR(J499=6,J499=7),"-2",IF(OR(J499=8,J499=9),"-1",IF(OR(J499=10,J499=11),"0",IF(OR(J499=12,J499=13),"+1",IF(OR(J499=14,J499=15),"+2",IF(OR(J499=16,J499=17),"+3",IF(OR(J499=18,J499=19),"+4",IF(OR(J499=20,J499=21),"+5",IF(OR(J499=22,J499=23),"+6",IF(OR(J499=24,J499=25),"+7",IF(OR(J499=26,J499=27),"+8",IF(OR(J499=28,J499=29),"+9",IF(J499=30,"+10"," "))))))))))))))))</f>
        <v>+4</v>
      </c>
      <c r="L499" s="3" t="n">
        <v>13</v>
      </c>
      <c r="M499" s="1" t="str">
        <f aca="false">IF(L499=1,"-5",IF(OR(L499=2,L499=3),"-4",IF(OR(L499=4,L499=5),"-3",IF(OR(L499=6,L499=7),"-2",IF(OR(L499=8,L499=9),"-1",IF(OR(L499=10,L499=11),"0",IF(OR(L499=12,L499=13),"+1",IF(OR(L499=14,L499=15),"+2",IF(OR(L499=16,L499=17),"+3",IF(OR(L499=18,L499=19),"+4",IF(OR(L499=20,L499=21),"+5",IF(OR(L499=22,L499=23),"+6",IF(OR(L499=24,L499=25),"+7",IF(OR(L499=26,L499=27),"+8",IF(OR(L499=28,L499=29),"+9",IF(L499=30,"+10"," "))))))))))))))))</f>
        <v>+1</v>
      </c>
      <c r="N499" s="3" t="n">
        <v>14</v>
      </c>
      <c r="O499" s="1" t="str">
        <f aca="false">IF(N499=1,"-5",IF(OR(N499=2,N499=3),"-4",IF(OR(N499=4,N499=5),"-3",IF(OR(N499=6,N499=7),"-2",IF(OR(N499=8,N499=9),"-1",IF(OR(N499=10,N499=11),"0",IF(OR(N499=12,N499=13),"+1",IF(OR(N499=14,N499=15),"+2",IF(OR(N499=16,N499=17),"+3",IF(OR(N499=18,N499=19),"+4",IF(OR(N499=20,N499=21),"+5",IF(OR(N499=22,N499=23),"+6",IF(OR(N499=24,N499=25),"+7",IF(OR(N499=26,N499=27),"+8",IF(OR(N499=28,N499=29),"+9",IF(N499=30,"+10"," "))))))))))))))))</f>
        <v>+2</v>
      </c>
      <c r="P499" s="3" t="n">
        <v>4</v>
      </c>
      <c r="Q499" s="1" t="str">
        <f aca="false">IF(P499=1,"-5",IF(OR(P499=2,P499=3),"-4",IF(OR(P499=4,P499=5),"-3",IF(OR(P499=6,P499=7),"-2",IF(OR(P499=8,P499=9),"-1",IF(OR(P499=10,P499=11),"0",IF(OR(P499=12,P499=13),"+1",IF(OR(P499=14,P499=15),"+2",IF(OR(P499=16,P499=17),"+3",IF(OR(P499=18,P499=19),"+4",IF(OR(P499=20,P499=21),"+5",IF(OR(P499=22,P499=23),"+6",IF(OR(P499=24,P499=25),"+7",IF(OR(P499=26,P499=27),"+8",IF(OR(P499=28,P499=29),"+9",IF(P499=30,"+10"," "))))))))))))))))</f>
        <v>-3</v>
      </c>
      <c r="R499" s="3" t="n">
        <v>12</v>
      </c>
      <c r="S499" s="1" t="str">
        <f aca="false">IF(R499=1,"-5",IF(OR(R499=2,R499=3),"-4",IF(OR(R499=4,R499=5),"-3",IF(OR(R499=6,R499=7),"-2",IF(OR(R499=8,R499=9),"-1",IF(OR(R499=10,R499=11),"0",IF(OR(R499=12,R499=13),"+1",IF(OR(R499=14,R499=15),"+2",IF(OR(R499=16,R499=17),"+3",IF(OR(R499=18,R499=19),"+4",IF(OR(R499=20,R499=21),"+5",IF(OR(R499=22,R499=23),"+6",IF(OR(R499=24,R499=25),"+7",IF(OR(R499=26,R499=27),"+8",IF(OR(R499=28,R499=29),"+9",IF(R499=30,"+10"," "))))))))))))))))</f>
        <v>+1</v>
      </c>
      <c r="T499" s="3" t="n">
        <v>6</v>
      </c>
      <c r="U499" s="1" t="str">
        <f aca="false">IF(T499=1,"-5",IF(OR(T499=2,T499=3),"-4",IF(OR(T499=4,T499=5),"-3",IF(OR(T499=6,T499=7),"-2",IF(OR(T499=8,T499=9),"-1",IF(OR(T499=10,T499=11),"0",IF(OR(T499=12,T499=13),"+1",IF(OR(T499=14,T499=15),"+2",IF(OR(T499=16,T499=17),"+3",IF(OR(T499=18,T499=19),"+4",IF(OR(T499=20,T499=21),"+5",IF(OR(T499=22,T499=23),"+6",IF(OR(T499=24,T499=25),"+7",IF(OR(T499=26,T499=27),"+8",IF(OR(T499=28,T499=29),"+9",IF(T499=30,"+10"," "))))))))))))))))</f>
        <v>-2</v>
      </c>
      <c r="V499" s="3" t="s">
        <v>37</v>
      </c>
      <c r="W499" s="3" t="s">
        <v>37</v>
      </c>
      <c r="X499" s="11" t="s">
        <v>2397</v>
      </c>
      <c r="Y499" s="11" t="s">
        <v>2398</v>
      </c>
      <c r="Z499" s="11" t="s">
        <v>37</v>
      </c>
      <c r="AA499" s="12" t="s">
        <v>37</v>
      </c>
    </row>
    <row r="500" customFormat="false" ht="16.4" hidden="false" customHeight="false" outlineLevel="0" collapsed="false">
      <c r="A500" s="15" t="s">
        <v>2399</v>
      </c>
      <c r="B500" s="3" t="s">
        <v>59</v>
      </c>
      <c r="C500" s="3" t="s">
        <v>37</v>
      </c>
      <c r="D500" s="16" t="n">
        <v>0</v>
      </c>
      <c r="E500" s="3" t="n">
        <f aca="false">VLOOKUP(D500,'[1]REF Tables'!$A$2:$B$40,2)</f>
        <v>10</v>
      </c>
      <c r="F500" s="3" t="s">
        <v>165</v>
      </c>
      <c r="G500" s="3" t="n">
        <v>13</v>
      </c>
      <c r="H500" s="3" t="s">
        <v>1893</v>
      </c>
      <c r="I500" s="3" t="s">
        <v>42</v>
      </c>
      <c r="J500" s="3" t="n">
        <v>8</v>
      </c>
      <c r="K500" s="1" t="str">
        <f aca="false">IF(J500=1,"-5",IF(OR(J500=2,J500=3),"-4",IF(OR(J500=4,J500=5),"-3",IF(OR(J500=6,J500=7),"-2",IF(OR(J500=8,J500=9),"-1",IF(OR(J500=10,J500=11),"0",IF(OR(J500=12,J500=13),"+1",IF(OR(J500=14,J500=15),"+2",IF(OR(J500=16,J500=17),"+3",IF(OR(J500=18,J500=19),"+4",IF(OR(J500=20,J500=21),"+5",IF(OR(J500=22,J500=23),"+6",IF(OR(J500=24,J500=25),"+7",IF(OR(J500=26,J500=27),"+8",IF(OR(J500=28,J500=29),"+9",IF(J500=30,"+10"," "))))))))))))))))</f>
        <v>-1</v>
      </c>
      <c r="L500" s="3" t="n">
        <v>10</v>
      </c>
      <c r="M500" s="1" t="str">
        <f aca="false">IF(L500=1,"-5",IF(OR(L500=2,L500=3),"-4",IF(OR(L500=4,L500=5),"-3",IF(OR(L500=6,L500=7),"-2",IF(OR(L500=8,L500=9),"-1",IF(OR(L500=10,L500=11),"0",IF(OR(L500=12,L500=13),"+1",IF(OR(L500=14,L500=15),"+2",IF(OR(L500=16,L500=17),"+3",IF(OR(L500=18,L500=19),"+4",IF(OR(L500=20,L500=21),"+5",IF(OR(L500=22,L500=23),"+6",IF(OR(L500=24,L500=25),"+7",IF(OR(L500=26,L500=27),"+8",IF(OR(L500=28,L500=29),"+9",IF(L500=30,"+10"," "))))))))))))))))</f>
        <v>0</v>
      </c>
      <c r="N500" s="3" t="n">
        <v>12</v>
      </c>
      <c r="O500" s="1" t="str">
        <f aca="false">IF(N500=1,"-5",IF(OR(N500=2,N500=3),"-4",IF(OR(N500=4,N500=5),"-3",IF(OR(N500=6,N500=7),"-2",IF(OR(N500=8,N500=9),"-1",IF(OR(N500=10,N500=11),"0",IF(OR(N500=12,N500=13),"+1",IF(OR(N500=14,N500=15),"+2",IF(OR(N500=16,N500=17),"+3",IF(OR(N500=18,N500=19),"+4",IF(OR(N500=20,N500=21),"+5",IF(OR(N500=22,N500=23),"+6",IF(OR(N500=24,N500=25),"+7",IF(OR(N500=26,N500=27),"+8",IF(OR(N500=28,N500=29),"+9",IF(N500=30,"+10"," "))))))))))))))))</f>
        <v>+1</v>
      </c>
      <c r="P500" s="3" t="n">
        <v>1</v>
      </c>
      <c r="Q500" s="1" t="str">
        <f aca="false">IF(P500=1,"-5",IF(OR(P500=2,P500=3),"-4",IF(OR(P500=4,P500=5),"-3",IF(OR(P500=6,P500=7),"-2",IF(OR(P500=8,P500=9),"-1",IF(OR(P500=10,P500=11),"0",IF(OR(P500=12,P500=13),"+1",IF(OR(P500=14,P500=15),"+2",IF(OR(P500=16,P500=17),"+3",IF(OR(P500=18,P500=19),"+4",IF(OR(P500=20,P500=21),"+5",IF(OR(P500=22,P500=23),"+6",IF(OR(P500=24,P500=25),"+7",IF(OR(P500=26,P500=27),"+8",IF(OR(P500=28,P500=29),"+9",IF(P500=30,"+10"," "))))))))))))))))</f>
        <v>-5</v>
      </c>
      <c r="R500" s="3" t="n">
        <v>7</v>
      </c>
      <c r="S500" s="1" t="str">
        <f aca="false">IF(R500=1,"-5",IF(OR(R500=2,R500=3),"-4",IF(OR(R500=4,R500=5),"-3",IF(OR(R500=6,R500=7),"-2",IF(OR(R500=8,R500=9),"-1",IF(OR(R500=10,R500=11),"0",IF(OR(R500=12,R500=13),"+1",IF(OR(R500=14,R500=15),"+2",IF(OR(R500=16,R500=17),"+3",IF(OR(R500=18,R500=19),"+4",IF(OR(R500=20,R500=21),"+5",IF(OR(R500=22,R500=23),"+6",IF(OR(R500=24,R500=25),"+7",IF(OR(R500=26,R500=27),"+8",IF(OR(R500=28,R500=29),"+9",IF(R500=30,"+10"," "))))))))))))))))</f>
        <v>-2</v>
      </c>
      <c r="T500" s="3" t="n">
        <v>3</v>
      </c>
      <c r="U500" s="1" t="str">
        <f aca="false">IF(T500=1,"-5",IF(OR(T500=2,T500=3),"-4",IF(OR(T500=4,T500=5),"-3",IF(OR(T500=6,T500=7),"-2",IF(OR(T500=8,T500=9),"-1",IF(OR(T500=10,T500=11),"0",IF(OR(T500=12,T500=13),"+1",IF(OR(T500=14,T500=15),"+2",IF(OR(T500=16,T500=17),"+3",IF(OR(T500=18,T500=19),"+4",IF(OR(T500=20,T500=21),"+5",IF(OR(T500=22,T500=23),"+6",IF(OR(T500=24,T500=25),"+7",IF(OR(T500=26,T500=27),"+8",IF(OR(T500=28,T500=29),"+9",IF(T500=30,"+10"," "))))))))))))))))</f>
        <v>-4</v>
      </c>
      <c r="V500" s="3" t="s">
        <v>37</v>
      </c>
      <c r="W500" s="3" t="s">
        <v>37</v>
      </c>
      <c r="X500" s="11" t="s">
        <v>2400</v>
      </c>
      <c r="Y500" s="11" t="s">
        <v>2401</v>
      </c>
      <c r="Z500" s="11" t="s">
        <v>37</v>
      </c>
      <c r="AA500" s="12" t="s">
        <v>37</v>
      </c>
    </row>
    <row r="501" customFormat="false" ht="16.4" hidden="false" customHeight="false" outlineLevel="0" collapsed="false">
      <c r="A501" s="15" t="s">
        <v>2402</v>
      </c>
      <c r="B501" s="3" t="s">
        <v>59</v>
      </c>
      <c r="C501" s="3" t="s">
        <v>37</v>
      </c>
      <c r="D501" s="16" t="n">
        <v>0</v>
      </c>
      <c r="E501" s="3" t="n">
        <f aca="false">VLOOKUP(D501,'[1]REF Tables'!$A$2:$B$40,2)</f>
        <v>10</v>
      </c>
      <c r="F501" s="3" t="s">
        <v>315</v>
      </c>
      <c r="G501" s="3" t="n">
        <v>11</v>
      </c>
      <c r="H501" s="3" t="s">
        <v>316</v>
      </c>
      <c r="I501" s="3" t="s">
        <v>1770</v>
      </c>
      <c r="J501" s="3" t="n">
        <v>2</v>
      </c>
      <c r="K501" s="1" t="str">
        <f aca="false">IF(J501=1,"-5",IF(OR(J501=2,J501=3),"-4",IF(OR(J501=4,J501=5),"-3",IF(OR(J501=6,J501=7),"-2",IF(OR(J501=8,J501=9),"-1",IF(OR(J501=10,J501=11),"0",IF(OR(J501=12,J501=13),"+1",IF(OR(J501=14,J501=15),"+2",IF(OR(J501=16,J501=17),"+3",IF(OR(J501=18,J501=19),"+4",IF(OR(J501=20,J501=21),"+5",IF(OR(J501=22,J501=23),"+6",IF(OR(J501=24,J501=25),"+7",IF(OR(J501=26,J501=27),"+8",IF(OR(J501=28,J501=29),"+9",IF(J501=30,"+10"," "))))))))))))))))</f>
        <v>-4</v>
      </c>
      <c r="L501" s="3" t="n">
        <v>11</v>
      </c>
      <c r="M501" s="1" t="str">
        <f aca="false">IF(L501=1,"-5",IF(OR(L501=2,L501=3),"-4",IF(OR(L501=4,L501=5),"-3",IF(OR(L501=6,L501=7),"-2",IF(OR(L501=8,L501=9),"-1",IF(OR(L501=10,L501=11),"0",IF(OR(L501=12,L501=13),"+1",IF(OR(L501=14,L501=15),"+2",IF(OR(L501=16,L501=17),"+3",IF(OR(L501=18,L501=19),"+4",IF(OR(L501=20,L501=21),"+5",IF(OR(L501=22,L501=23),"+6",IF(OR(L501=24,L501=25),"+7",IF(OR(L501=26,L501=27),"+8",IF(OR(L501=28,L501=29),"+9",IF(L501=30,"+10"," "))))))))))))))))</f>
        <v>0</v>
      </c>
      <c r="N501" s="3" t="n">
        <v>8</v>
      </c>
      <c r="O501" s="1" t="str">
        <f aca="false">IF(N501=1,"-5",IF(OR(N501=2,N501=3),"-4",IF(OR(N501=4,N501=5),"-3",IF(OR(N501=6,N501=7),"-2",IF(OR(N501=8,N501=9),"-1",IF(OR(N501=10,N501=11),"0",IF(OR(N501=12,N501=13),"+1",IF(OR(N501=14,N501=15),"+2",IF(OR(N501=16,N501=17),"+3",IF(OR(N501=18,N501=19),"+4",IF(OR(N501=20,N501=21),"+5",IF(OR(N501=22,N501=23),"+6",IF(OR(N501=24,N501=25),"+7",IF(OR(N501=26,N501=27),"+8",IF(OR(N501=28,N501=29),"+9",IF(N501=30,"+10"," "))))))))))))))))</f>
        <v>-1</v>
      </c>
      <c r="P501" s="3" t="n">
        <v>1</v>
      </c>
      <c r="Q501" s="1" t="str">
        <f aca="false">IF(P501=1,"-5",IF(OR(P501=2,P501=3),"-4",IF(OR(P501=4,P501=5),"-3",IF(OR(P501=6,P501=7),"-2",IF(OR(P501=8,P501=9),"-1",IF(OR(P501=10,P501=11),"0",IF(OR(P501=12,P501=13),"+1",IF(OR(P501=14,P501=15),"+2",IF(OR(P501=16,P501=17),"+3",IF(OR(P501=18,P501=19),"+4",IF(OR(P501=20,P501=21),"+5",IF(OR(P501=22,P501=23),"+6",IF(OR(P501=24,P501=25),"+7",IF(OR(P501=26,P501=27),"+8",IF(OR(P501=28,P501=29),"+9",IF(P501=30,"+10"," "))))))))))))))))</f>
        <v>-5</v>
      </c>
      <c r="R501" s="3" t="n">
        <v>8</v>
      </c>
      <c r="S501" s="1" t="str">
        <f aca="false">IF(R501=1,"-5",IF(OR(R501=2,R501=3),"-4",IF(OR(R501=4,R501=5),"-3",IF(OR(R501=6,R501=7),"-2",IF(OR(R501=8,R501=9),"-1",IF(OR(R501=10,R501=11),"0",IF(OR(R501=12,R501=13),"+1",IF(OR(R501=14,R501=15),"+2",IF(OR(R501=16,R501=17),"+3",IF(OR(R501=18,R501=19),"+4",IF(OR(R501=20,R501=21),"+5",IF(OR(R501=22,R501=23),"+6",IF(OR(R501=24,R501=25),"+7",IF(OR(R501=26,R501=27),"+8",IF(OR(R501=28,R501=29),"+9",IF(R501=30,"+10"," "))))))))))))))))</f>
        <v>-1</v>
      </c>
      <c r="T501" s="3" t="n">
        <v>2</v>
      </c>
      <c r="U501" s="1" t="str">
        <f aca="false">IF(T501=1,"-5",IF(OR(T501=2,T501=3),"-4",IF(OR(T501=4,T501=5),"-3",IF(OR(T501=6,T501=7),"-2",IF(OR(T501=8,T501=9),"-1",IF(OR(T501=10,T501=11),"0",IF(OR(T501=12,T501=13),"+1",IF(OR(T501=14,T501=15),"+2",IF(OR(T501=16,T501=17),"+3",IF(OR(T501=18,T501=19),"+4",IF(OR(T501=20,T501=21),"+5",IF(OR(T501=22,T501=23),"+6",IF(OR(T501=24,T501=25),"+7",IF(OR(T501=26,T501=27),"+8",IF(OR(T501=28,T501=29),"+9",IF(T501=30,"+10"," "))))))))))))))))</f>
        <v>-4</v>
      </c>
      <c r="V501" s="3" t="s">
        <v>37</v>
      </c>
      <c r="W501" s="3" t="s">
        <v>37</v>
      </c>
      <c r="X501" s="11" t="s">
        <v>2403</v>
      </c>
      <c r="Y501" s="11" t="s">
        <v>2404</v>
      </c>
      <c r="Z501" s="11" t="s">
        <v>37</v>
      </c>
      <c r="AA501" s="12" t="s">
        <v>37</v>
      </c>
      <c r="AB501" s="1"/>
      <c r="AC501" s="1"/>
      <c r="AD501" s="1"/>
      <c r="AE501" s="1"/>
      <c r="AF501" s="1"/>
    </row>
    <row r="502" customFormat="false" ht="16.4" hidden="false" customHeight="false" outlineLevel="0" collapsed="false">
      <c r="A502" s="15" t="s">
        <v>2405</v>
      </c>
      <c r="B502" s="3" t="s">
        <v>59</v>
      </c>
      <c r="C502" s="3" t="s">
        <v>37</v>
      </c>
      <c r="D502" s="16" t="n">
        <v>3</v>
      </c>
      <c r="E502" s="3" t="n">
        <f aca="false">VLOOKUP(D502,'[1]REF Tables'!$A$2:$B$40,2)</f>
        <v>700</v>
      </c>
      <c r="F502" s="3" t="s">
        <v>50</v>
      </c>
      <c r="G502" s="3" t="n">
        <v>15</v>
      </c>
      <c r="H502" s="3" t="s">
        <v>2406</v>
      </c>
      <c r="I502" s="3" t="s">
        <v>224</v>
      </c>
      <c r="J502" s="3" t="n">
        <v>15</v>
      </c>
      <c r="K502" s="1" t="str">
        <f aca="false">IF(J502=1,"-5",IF(OR(J502=2,J502=3),"-4",IF(OR(J502=4,J502=5),"-3",IF(OR(J502=6,J502=7),"-2",IF(OR(J502=8,J502=9),"-1",IF(OR(J502=10,J502=11),"0",IF(OR(J502=12,J502=13),"+1",IF(OR(J502=14,J502=15),"+2",IF(OR(J502=16,J502=17),"+3",IF(OR(J502=18,J502=19),"+4",IF(OR(J502=20,J502=21),"+5",IF(OR(J502=22,J502=23),"+6",IF(OR(J502=24,J502=25),"+7",IF(OR(J502=26,J502=27),"+8",IF(OR(J502=28,J502=29),"+9",IF(J502=30,"+10"," "))))))))))))))))</f>
        <v>+2</v>
      </c>
      <c r="L502" s="3" t="n">
        <v>13</v>
      </c>
      <c r="M502" s="1" t="str">
        <f aca="false">IF(L502=1,"-5",IF(OR(L502=2,L502=3),"-4",IF(OR(L502=4,L502=5),"-3",IF(OR(L502=6,L502=7),"-2",IF(OR(L502=8,L502=9),"-1",IF(OR(L502=10,L502=11),"0",IF(OR(L502=12,L502=13),"+1",IF(OR(L502=14,L502=15),"+2",IF(OR(L502=16,L502=17),"+3",IF(OR(L502=18,L502=19),"+4",IF(OR(L502=20,L502=21),"+5",IF(OR(L502=22,L502=23),"+6",IF(OR(L502=24,L502=25),"+7",IF(OR(L502=26,L502=27),"+8",IF(OR(L502=28,L502=29),"+9",IF(L502=30,"+10"," "))))))))))))))))</f>
        <v>+1</v>
      </c>
      <c r="N502" s="3" t="n">
        <v>15</v>
      </c>
      <c r="O502" s="1" t="str">
        <f aca="false">IF(N502=1,"-5",IF(OR(N502=2,N502=3),"-4",IF(OR(N502=4,N502=5),"-3",IF(OR(N502=6,N502=7),"-2",IF(OR(N502=8,N502=9),"-1",IF(OR(N502=10,N502=11),"0",IF(OR(N502=12,N502=13),"+1",IF(OR(N502=14,N502=15),"+2",IF(OR(N502=16,N502=17),"+3",IF(OR(N502=18,N502=19),"+4",IF(OR(N502=20,N502=21),"+5",IF(OR(N502=22,N502=23),"+6",IF(OR(N502=24,N502=25),"+7",IF(OR(N502=26,N502=27),"+8",IF(OR(N502=28,N502=29),"+9",IF(N502=30,"+10"," "))))))))))))))))</f>
        <v>+2</v>
      </c>
      <c r="P502" s="3" t="n">
        <v>1</v>
      </c>
      <c r="Q502" s="1" t="str">
        <f aca="false">IF(P502=1,"-5",IF(OR(P502=2,P502=3),"-4",IF(OR(P502=4,P502=5),"-3",IF(OR(P502=6,P502=7),"-2",IF(OR(P502=8,P502=9),"-1",IF(OR(P502=10,P502=11),"0",IF(OR(P502=12,P502=13),"+1",IF(OR(P502=14,P502=15),"+2",IF(OR(P502=16,P502=17),"+3",IF(OR(P502=18,P502=19),"+4",IF(OR(P502=20,P502=21),"+5",IF(OR(P502=22,P502=23),"+6",IF(OR(P502=24,P502=25),"+7",IF(OR(P502=26,P502=27),"+8",IF(OR(P502=28,P502=29),"+9",IF(P502=30,"+10"," "))))))))))))))))</f>
        <v>-5</v>
      </c>
      <c r="R502" s="3" t="n">
        <v>9</v>
      </c>
      <c r="S502" s="1" t="str">
        <f aca="false">IF(R502=1,"-5",IF(OR(R502=2,R502=3),"-4",IF(OR(R502=4,R502=5),"-3",IF(OR(R502=6,R502=7),"-2",IF(OR(R502=8,R502=9),"-1",IF(OR(R502=10,R502=11),"0",IF(OR(R502=12,R502=13),"+1",IF(OR(R502=14,R502=15),"+2",IF(OR(R502=16,R502=17),"+3",IF(OR(R502=18,R502=19),"+4",IF(OR(R502=20,R502=21),"+5",IF(OR(R502=22,R502=23),"+6",IF(OR(R502=24,R502=25),"+7",IF(OR(R502=26,R502=27),"+8",IF(OR(R502=28,R502=29),"+9",IF(R502=30,"+10"," "))))))))))))))))</f>
        <v>-1</v>
      </c>
      <c r="T502" s="3" t="n">
        <v>3</v>
      </c>
      <c r="U502" s="1" t="str">
        <f aca="false">IF(T502=1,"-5",IF(OR(T502=2,T502=3),"-4",IF(OR(T502=4,T502=5),"-3",IF(OR(T502=6,T502=7),"-2",IF(OR(T502=8,T502=9),"-1",IF(OR(T502=10,T502=11),"0",IF(OR(T502=12,T502=13),"+1",IF(OR(T502=14,T502=15),"+2",IF(OR(T502=16,T502=17),"+3",IF(OR(T502=18,T502=19),"+4",IF(OR(T502=20,T502=21),"+5",IF(OR(T502=22,T502=23),"+6",IF(OR(T502=24,T502=25),"+7",IF(OR(T502=26,T502=27),"+8",IF(OR(T502=28,T502=29),"+9",IF(T502=30,"+10"," "))))))))))))))))</f>
        <v>-4</v>
      </c>
      <c r="V502" s="3" t="s">
        <v>37</v>
      </c>
      <c r="W502" s="3" t="s">
        <v>37</v>
      </c>
      <c r="X502" s="11" t="s">
        <v>2407</v>
      </c>
      <c r="Y502" s="11" t="s">
        <v>2408</v>
      </c>
      <c r="Z502" s="11" t="s">
        <v>37</v>
      </c>
      <c r="AA502" s="12" t="s">
        <v>37</v>
      </c>
    </row>
    <row r="503" customFormat="false" ht="16.4" hidden="false" customHeight="false" outlineLevel="0" collapsed="false">
      <c r="A503" s="15" t="s">
        <v>2409</v>
      </c>
      <c r="B503" s="3" t="s">
        <v>39</v>
      </c>
      <c r="C503" s="3" t="s">
        <v>40</v>
      </c>
      <c r="D503" s="16" t="n">
        <v>12</v>
      </c>
      <c r="E503" s="6" t="n">
        <f aca="false">VLOOKUP(D503,'[1]REF Tables'!$A$2:$B$40,2)</f>
        <v>8400</v>
      </c>
      <c r="F503" s="3" t="s">
        <v>30</v>
      </c>
      <c r="G503" s="3" t="n">
        <v>18</v>
      </c>
      <c r="H503" s="3" t="s">
        <v>2410</v>
      </c>
      <c r="I503" s="3" t="s">
        <v>42</v>
      </c>
      <c r="J503" s="3" t="n">
        <v>20</v>
      </c>
      <c r="K503" s="1" t="str">
        <f aca="false">IF(J503=1,"-5",IF(OR(J503=2,J503=3),"-4",IF(OR(J503=4,J503=5),"-3",IF(OR(J503=6,J503=7),"-2",IF(OR(J503=8,J503=9),"-1",IF(OR(J503=10,J503=11),"0",IF(OR(J503=12,J503=13),"+1",IF(OR(J503=14,J503=15),"+2",IF(OR(J503=16,J503=17),"+3",IF(OR(J503=18,J503=19),"+4",IF(OR(J503=20,J503=21),"+5",IF(OR(J503=22,J503=23),"+6",IF(OR(J503=24,J503=25),"+7",IF(OR(J503=26,J503=27),"+8",IF(OR(J503=28,J503=29),"+9",IF(J503=30,"+10"," "))))))))))))))))</f>
        <v>+5</v>
      </c>
      <c r="L503" s="3" t="n">
        <v>16</v>
      </c>
      <c r="M503" s="1" t="str">
        <f aca="false">IF(L503=1,"-5",IF(OR(L503=2,L503=3),"-4",IF(OR(L503=4,L503=5),"-3",IF(OR(L503=6,L503=7),"-2",IF(OR(L503=8,L503=9),"-1",IF(OR(L503=10,L503=11),"0",IF(OR(L503=12,L503=13),"+1",IF(OR(L503=14,L503=15),"+2",IF(OR(L503=16,L503=17),"+3",IF(OR(L503=18,L503=19),"+4",IF(OR(L503=20,L503=21),"+5",IF(OR(L503=22,L503=23),"+6",IF(OR(L503=24,L503=25),"+7",IF(OR(L503=26,L503=27),"+8",IF(OR(L503=28,L503=29),"+9",IF(L503=30,"+10"," "))))))))))))))))</f>
        <v>+3</v>
      </c>
      <c r="N503" s="3" t="n">
        <v>18</v>
      </c>
      <c r="O503" s="1" t="str">
        <f aca="false">IF(N503=1,"-5",IF(OR(N503=2,N503=3),"-4",IF(OR(N503=4,N503=5),"-3",IF(OR(N503=6,N503=7),"-2",IF(OR(N503=8,N503=9),"-1",IF(OR(N503=10,N503=11),"0",IF(OR(N503=12,N503=13),"+1",IF(OR(N503=14,N503=15),"+2",IF(OR(N503=16,N503=17),"+3",IF(OR(N503=18,N503=19),"+4",IF(OR(N503=20,N503=21),"+5",IF(OR(N503=22,N503=23),"+6",IF(OR(N503=24,N503=25),"+7",IF(OR(N503=26,N503=27),"+8",IF(OR(N503=28,N503=29),"+9",IF(N503=30,"+10"," "))))))))))))))))</f>
        <v>+4</v>
      </c>
      <c r="P503" s="3" t="n">
        <v>12</v>
      </c>
      <c r="Q503" s="1" t="str">
        <f aca="false">IF(P503=1,"-5",IF(OR(P503=2,P503=3),"-4",IF(OR(P503=4,P503=5),"-3",IF(OR(P503=6,P503=7),"-2",IF(OR(P503=8,P503=9),"-1",IF(OR(P503=10,P503=11),"0",IF(OR(P503=12,P503=13),"+1",IF(OR(P503=14,P503=15),"+2",IF(OR(P503=16,P503=17),"+3",IF(OR(P503=18,P503=19),"+4",IF(OR(P503=20,P503=21),"+5",IF(OR(P503=22,P503=23),"+6",IF(OR(P503=24,P503=25),"+7",IF(OR(P503=26,P503=27),"+8",IF(OR(P503=28,P503=29),"+9",IF(P503=30,"+10"," "))))))))))))))))</f>
        <v>+1</v>
      </c>
      <c r="R503" s="3" t="n">
        <v>12</v>
      </c>
      <c r="S503" s="1" t="str">
        <f aca="false">IF(R503=1,"-5",IF(OR(R503=2,R503=3),"-4",IF(OR(R503=4,R503=5),"-3",IF(OR(R503=6,R503=7),"-2",IF(OR(R503=8,R503=9),"-1",IF(OR(R503=10,R503=11),"0",IF(OR(R503=12,R503=13),"+1",IF(OR(R503=14,R503=15),"+2",IF(OR(R503=16,R503=17),"+3",IF(OR(R503=18,R503=19),"+4",IF(OR(R503=20,R503=21),"+5",IF(OR(R503=22,R503=23),"+6",IF(OR(R503=24,R503=25),"+7",IF(OR(R503=26,R503=27),"+8",IF(OR(R503=28,R503=29),"+9",IF(R503=30,"+10"," "))))))))))))))))</f>
        <v>+1</v>
      </c>
      <c r="T503" s="3" t="n">
        <v>18</v>
      </c>
      <c r="U503" s="1" t="str">
        <f aca="false">IF(T503=1,"-5",IF(OR(T503=2,T503=3),"-4",IF(OR(T503=4,T503=5),"-3",IF(OR(T503=6,T503=7),"-2",IF(OR(T503=8,T503=9),"-1",IF(OR(T503=10,T503=11),"0",IF(OR(T503=12,T503=13),"+1",IF(OR(T503=14,T503=15),"+2",IF(OR(T503=16,T503=17),"+3",IF(OR(T503=18,T503=19),"+4",IF(OR(T503=20,T503=21),"+5",IF(OR(T503=22,T503=23),"+6",IF(OR(T503=24,T503=25),"+7",IF(OR(T503=26,T503=27),"+8",IF(OR(T503=28,T503=29),"+9",IF(T503=30,"+10"," "))))))))))))))))</f>
        <v>+4</v>
      </c>
      <c r="V503" s="3" t="s">
        <v>2411</v>
      </c>
      <c r="W503" s="3" t="s">
        <v>2412</v>
      </c>
      <c r="X503" s="11" t="s">
        <v>2413</v>
      </c>
      <c r="Y503" s="11" t="s">
        <v>2414</v>
      </c>
      <c r="Z503" s="11" t="s">
        <v>37</v>
      </c>
      <c r="AA503" s="12" t="s">
        <v>2415</v>
      </c>
    </row>
    <row r="504" customFormat="false" ht="16.4" hidden="false" customHeight="false" outlineLevel="0" collapsed="false">
      <c r="A504" s="7" t="s">
        <v>2409</v>
      </c>
      <c r="B504" s="1" t="s">
        <v>39</v>
      </c>
      <c r="C504" s="1" t="s">
        <v>40</v>
      </c>
      <c r="D504" s="8" t="n">
        <v>12</v>
      </c>
      <c r="E504" s="9" t="n">
        <f aca="false">VLOOKUP(D504,'[1]REF Tables'!$A$2:$B$40,2)</f>
        <v>8400</v>
      </c>
      <c r="F504" s="1" t="s">
        <v>30</v>
      </c>
      <c r="G504" s="10" t="n">
        <v>18</v>
      </c>
      <c r="H504" s="1" t="s">
        <v>2410</v>
      </c>
      <c r="I504" s="1" t="s">
        <v>42</v>
      </c>
      <c r="J504" s="10" t="n">
        <v>20</v>
      </c>
      <c r="K504" s="1" t="str">
        <f aca="false">IF(J504=1,"-5",IF(OR(J504=2,J504=3),"-4",IF(OR(J504=4,J504=5),"-3",IF(OR(J504=6,J504=7),"-2",IF(OR(J504=8,J504=9),"-1",IF(OR(J504=10,J504=11),"0",IF(OR(J504=12,J504=13),"+1",IF(OR(J504=14,J504=15),"+2",IF(OR(J504=16,J504=17),"+3",IF(OR(J504=18,J504=19),"+4",IF(OR(J504=20,J504=21),"+5",IF(OR(J504=22,J504=23),"+6",IF(OR(J504=24,J504=25),"+7",IF(OR(J504=26,J504=27),"+8",IF(OR(J504=28,J504=29),"+9",IF(J504=30,"+10"," "))))))))))))))))</f>
        <v>+5</v>
      </c>
      <c r="L504" s="10" t="n">
        <v>16</v>
      </c>
      <c r="M504" s="1" t="str">
        <f aca="false">IF(L504=1,"-5",IF(OR(L504=2,L504=3),"-4",IF(OR(L504=4,L504=5),"-3",IF(OR(L504=6,L504=7),"-2",IF(OR(L504=8,L504=9),"-1",IF(OR(L504=10,L504=11),"0",IF(OR(L504=12,L504=13),"+1",IF(OR(L504=14,L504=15),"+2",IF(OR(L504=16,L504=17),"+3",IF(OR(L504=18,L504=19),"+4",IF(OR(L504=20,L504=21),"+5",IF(OR(L504=22,L504=23),"+6",IF(OR(L504=24,L504=25),"+7",IF(OR(L504=26,L504=27),"+8",IF(OR(L504=28,L504=29),"+9",IF(L504=30,"+10"," "))))))))))))))))</f>
        <v>+3</v>
      </c>
      <c r="N504" s="10" t="n">
        <v>18</v>
      </c>
      <c r="O504" s="1" t="str">
        <f aca="false">IF(N504=1,"-5",IF(OR(N504=2,N504=3),"-4",IF(OR(N504=4,N504=5),"-3",IF(OR(N504=6,N504=7),"-2",IF(OR(N504=8,N504=9),"-1",IF(OR(N504=10,N504=11),"0",IF(OR(N504=12,N504=13),"+1",IF(OR(N504=14,N504=15),"+2",IF(OR(N504=16,N504=17),"+3",IF(OR(N504=18,N504=19),"+4",IF(OR(N504=20,N504=21),"+5",IF(OR(N504=22,N504=23),"+6",IF(OR(N504=24,N504=25),"+7",IF(OR(N504=26,N504=27),"+8",IF(OR(N504=28,N504=29),"+9",IF(N504=30,"+10"," "))))))))))))))))</f>
        <v>+4</v>
      </c>
      <c r="P504" s="10" t="n">
        <v>12</v>
      </c>
      <c r="Q504" s="1" t="str">
        <f aca="false">IF(P504=1,"-5",IF(OR(P504=2,P504=3),"-4",IF(OR(P504=4,P504=5),"-3",IF(OR(P504=6,P504=7),"-2",IF(OR(P504=8,P504=9),"-1",IF(OR(P504=10,P504=11),"0",IF(OR(P504=12,P504=13),"+1",IF(OR(P504=14,P504=15),"+2",IF(OR(P504=16,P504=17),"+3",IF(OR(P504=18,P504=19),"+4",IF(OR(P504=20,P504=21),"+5",IF(OR(P504=22,P504=23),"+6",IF(OR(P504=24,P504=25),"+7",IF(OR(P504=26,P504=27),"+8",IF(OR(P504=28,P504=29),"+9",IF(P504=30,"+10"," "))))))))))))))))</f>
        <v>+1</v>
      </c>
      <c r="R504" s="10" t="n">
        <v>12</v>
      </c>
      <c r="S504" s="1" t="str">
        <f aca="false">IF(R504=1,"-5",IF(OR(R504=2,R504=3),"-4",IF(OR(R504=4,R504=5),"-3",IF(OR(R504=6,R504=7),"-2",IF(OR(R504=8,R504=9),"-1",IF(OR(R504=10,R504=11),"0",IF(OR(R504=12,R504=13),"+1",IF(OR(R504=14,R504=15),"+2",IF(OR(R504=16,R504=17),"+3",IF(OR(R504=18,R504=19),"+4",IF(OR(R504=20,R504=21),"+5",IF(OR(R504=22,R504=23),"+6",IF(OR(R504=24,R504=25),"+7",IF(OR(R504=26,R504=27),"+8",IF(OR(R504=28,R504=29),"+9",IF(R504=30,"+10"," "))))))))))))))))</f>
        <v>+1</v>
      </c>
      <c r="T504" s="10" t="n">
        <v>18</v>
      </c>
      <c r="U504" s="1" t="str">
        <f aca="false">IF(T504=1,"-5",IF(OR(T504=2,T504=3),"-4",IF(OR(T504=4,T504=5),"-3",IF(OR(T504=6,T504=7),"-2",IF(OR(T504=8,T504=9),"-1",IF(OR(T504=10,T504=11),"0",IF(OR(T504=12,T504=13),"+1",IF(OR(T504=14,T504=15),"+2",IF(OR(T504=16,T504=17),"+3",IF(OR(T504=18,T504=19),"+4",IF(OR(T504=20,T504=21),"+5",IF(OR(T504=22,T504=23),"+6",IF(OR(T504=24,T504=25),"+7",IF(OR(T504=26,T504=27),"+8",IF(OR(T504=28,T504=29),"+9",IF(T504=30,"+10"," "))))))))))))))))</f>
        <v>+4</v>
      </c>
      <c r="V504" s="1" t="s">
        <v>2416</v>
      </c>
      <c r="W504" s="1" t="s">
        <v>265</v>
      </c>
      <c r="X504" s="11" t="s">
        <v>2417</v>
      </c>
      <c r="Y504" s="11" t="s">
        <v>2418</v>
      </c>
      <c r="Z504" s="11" t="s">
        <v>37</v>
      </c>
      <c r="AA504" s="12" t="s">
        <v>2419</v>
      </c>
    </row>
    <row r="505" customFormat="false" ht="16.4" hidden="false" customHeight="false" outlineLevel="0" collapsed="false">
      <c r="A505" s="15" t="s">
        <v>2420</v>
      </c>
      <c r="B505" s="3" t="s">
        <v>77</v>
      </c>
      <c r="C505" s="3" t="s">
        <v>49</v>
      </c>
      <c r="D505" s="16" t="n">
        <v>15</v>
      </c>
      <c r="E505" s="6" t="n">
        <f aca="false">VLOOKUP(D505,'[1]REF Tables'!$A$2:$B$40,2)</f>
        <v>13000</v>
      </c>
      <c r="F505" s="3" t="s">
        <v>30</v>
      </c>
      <c r="G505" s="3" t="n">
        <v>17</v>
      </c>
      <c r="H505" s="3" t="s">
        <v>549</v>
      </c>
      <c r="I505" s="3" t="s">
        <v>160</v>
      </c>
      <c r="J505" s="3" t="n">
        <v>18</v>
      </c>
      <c r="K505" s="1" t="str">
        <f aca="false">IF(J505=1,"-5",IF(OR(J505=2,J505=3),"-4",IF(OR(J505=4,J505=5),"-3",IF(OR(J505=6,J505=7),"-2",IF(OR(J505=8,J505=9),"-1",IF(OR(J505=10,J505=11),"0",IF(OR(J505=12,J505=13),"+1",IF(OR(J505=14,J505=15),"+2",IF(OR(J505=16,J505=17),"+3",IF(OR(J505=18,J505=19),"+4",IF(OR(J505=20,J505=21),"+5",IF(OR(J505=22,J505=23),"+6",IF(OR(J505=24,J505=25),"+7",IF(OR(J505=26,J505=27),"+8",IF(OR(J505=28,J505=29),"+9",IF(J505=30,"+10"," "))))))))))))))))</f>
        <v>+4</v>
      </c>
      <c r="L505" s="3" t="n">
        <v>10</v>
      </c>
      <c r="M505" s="1" t="str">
        <f aca="false">IF(L505=1,"-5",IF(OR(L505=2,L505=3),"-4",IF(OR(L505=4,L505=5),"-3",IF(OR(L505=6,L505=7),"-2",IF(OR(L505=8,L505=9),"-1",IF(OR(L505=10,L505=11),"0",IF(OR(L505=12,L505=13),"+1",IF(OR(L505=14,L505=15),"+2",IF(OR(L505=16,L505=17),"+3",IF(OR(L505=18,L505=19),"+4",IF(OR(L505=20,L505=21),"+5",IF(OR(L505=22,L505=23),"+6",IF(OR(L505=24,L505=25),"+7",IF(OR(L505=26,L505=27),"+8",IF(OR(L505=28,L505=29),"+9",IF(L505=30,"+10"," "))))))))))))))))</f>
        <v>0</v>
      </c>
      <c r="N505" s="3" t="n">
        <v>17</v>
      </c>
      <c r="O505" s="1" t="str">
        <f aca="false">IF(N505=1,"-5",IF(OR(N505=2,N505=3),"-4",IF(OR(N505=4,N505=5),"-3",IF(OR(N505=6,N505=7),"-2",IF(OR(N505=8,N505=9),"-1",IF(OR(N505=10,N505=11),"0",IF(OR(N505=12,N505=13),"+1",IF(OR(N505=14,N505=15),"+2",IF(OR(N505=16,N505=17),"+3",IF(OR(N505=18,N505=19),"+4",IF(OR(N505=20,N505=21),"+5",IF(OR(N505=22,N505=23),"+6",IF(OR(N505=24,N505=25),"+7",IF(OR(N505=26,N505=27),"+8",IF(OR(N505=28,N505=29),"+9",IF(N505=30,"+10"," "))))))))))))))))</f>
        <v>+3</v>
      </c>
      <c r="P505" s="3" t="n">
        <v>11</v>
      </c>
      <c r="Q505" s="1" t="str">
        <f aca="false">IF(P505=1,"-5",IF(OR(P505=2,P505=3),"-4",IF(OR(P505=4,P505=5),"-3",IF(OR(P505=6,P505=7),"-2",IF(OR(P505=8,P505=9),"-1",IF(OR(P505=10,P505=11),"0",IF(OR(P505=12,P505=13),"+1",IF(OR(P505=14,P505=15),"+2",IF(OR(P505=16,P505=17),"+3",IF(OR(P505=18,P505=19),"+4",IF(OR(P505=20,P505=21),"+5",IF(OR(P505=22,P505=23),"+6",IF(OR(P505=24,P505=25),"+7",IF(OR(P505=26,P505=27),"+8",IF(OR(P505=28,P505=29),"+9",IF(P505=30,"+10"," "))))))))))))))))</f>
        <v>0</v>
      </c>
      <c r="R505" s="3" t="n">
        <v>18</v>
      </c>
      <c r="S505" s="1" t="str">
        <f aca="false">IF(R505=1,"-5",IF(OR(R505=2,R505=3),"-4",IF(OR(R505=4,R505=5),"-3",IF(OR(R505=6,R505=7),"-2",IF(OR(R505=8,R505=9),"-1",IF(OR(R505=10,R505=11),"0",IF(OR(R505=12,R505=13),"+1",IF(OR(R505=14,R505=15),"+2",IF(OR(R505=16,R505=17),"+3",IF(OR(R505=18,R505=19),"+4",IF(OR(R505=20,R505=21),"+5",IF(OR(R505=22,R505=23),"+6",IF(OR(R505=24,R505=25),"+7",IF(OR(R505=26,R505=27),"+8",IF(OR(R505=28,R505=29),"+9",IF(R505=30,"+10"," "))))))))))))))))</f>
        <v>+4</v>
      </c>
      <c r="T505" s="3" t="n">
        <v>16</v>
      </c>
      <c r="U505" s="1" t="str">
        <f aca="false">IF(T505=1,"-5",IF(OR(T505=2,T505=3),"-4",IF(OR(T505=4,T505=5),"-3",IF(OR(T505=6,T505=7),"-2",IF(OR(T505=8,T505=9),"-1",IF(OR(T505=10,T505=11),"0",IF(OR(T505=12,T505=13),"+1",IF(OR(T505=14,T505=15),"+2",IF(OR(T505=16,T505=17),"+3",IF(OR(T505=18,T505=19),"+4",IF(OR(T505=20,T505=21),"+5",IF(OR(T505=22,T505=23),"+6",IF(OR(T505=24,T505=25),"+7",IF(OR(T505=26,T505=27),"+8",IF(OR(T505=28,T505=29),"+9",IF(T505=30,"+10"," "))))))))))))))))</f>
        <v>+3</v>
      </c>
      <c r="V505" s="3" t="s">
        <v>2421</v>
      </c>
      <c r="W505" s="3" t="s">
        <v>1130</v>
      </c>
      <c r="X505" s="11" t="s">
        <v>2422</v>
      </c>
      <c r="Y505" s="11" t="s">
        <v>2423</v>
      </c>
      <c r="Z505" s="11" t="s">
        <v>37</v>
      </c>
      <c r="AA505" s="12" t="s">
        <v>2424</v>
      </c>
    </row>
    <row r="506" customFormat="false" ht="16.4" hidden="false" customHeight="false" outlineLevel="0" collapsed="false">
      <c r="A506" s="15" t="s">
        <v>2425</v>
      </c>
      <c r="B506" s="3" t="s">
        <v>214</v>
      </c>
      <c r="C506" s="3" t="s">
        <v>230</v>
      </c>
      <c r="D506" s="16" t="n">
        <v>3</v>
      </c>
      <c r="E506" s="3" t="n">
        <f aca="false">VLOOKUP(D506,'[1]REF Tables'!$A$2:$B$40,2)</f>
        <v>700</v>
      </c>
      <c r="F506" s="3" t="s">
        <v>50</v>
      </c>
      <c r="G506" s="3" t="n">
        <v>13</v>
      </c>
      <c r="H506" s="3" t="s">
        <v>1968</v>
      </c>
      <c r="I506" s="3" t="s">
        <v>637</v>
      </c>
      <c r="J506" s="3" t="n">
        <v>17</v>
      </c>
      <c r="K506" s="1" t="str">
        <f aca="false">IF(J506=1,"-5",IF(OR(J506=2,J506=3),"-4",IF(OR(J506=4,J506=5),"-3",IF(OR(J506=6,J506=7),"-2",IF(OR(J506=8,J506=9),"-1",IF(OR(J506=10,J506=11),"0",IF(OR(J506=12,J506=13),"+1",IF(OR(J506=14,J506=15),"+2",IF(OR(J506=16,J506=17),"+3",IF(OR(J506=18,J506=19),"+4",IF(OR(J506=20,J506=21),"+5",IF(OR(J506=22,J506=23),"+6",IF(OR(J506=24,J506=25),"+7",IF(OR(J506=26,J506=27),"+8",IF(OR(J506=28,J506=29),"+9",IF(J506=30,"+10"," "))))))))))))))))</f>
        <v>+3</v>
      </c>
      <c r="L506" s="3" t="n">
        <v>16</v>
      </c>
      <c r="M506" s="1" t="str">
        <f aca="false">IF(L506=1,"-5",IF(OR(L506=2,L506=3),"-4",IF(OR(L506=4,L506=5),"-3",IF(OR(L506=6,L506=7),"-2",IF(OR(L506=8,L506=9),"-1",IF(OR(L506=10,L506=11),"0",IF(OR(L506=12,L506=13),"+1",IF(OR(L506=14,L506=15),"+2",IF(OR(L506=16,L506=17),"+3",IF(OR(L506=18,L506=19),"+4",IF(OR(L506=20,L506=21),"+5",IF(OR(L506=22,L506=23),"+6",IF(OR(L506=24,L506=25),"+7",IF(OR(L506=26,L506=27),"+8",IF(OR(L506=28,L506=29),"+9",IF(L506=30,"+10"," "))))))))))))))))</f>
        <v>+3</v>
      </c>
      <c r="N506" s="3" t="n">
        <v>13</v>
      </c>
      <c r="O506" s="1" t="str">
        <f aca="false">IF(N506=1,"-5",IF(OR(N506=2,N506=3),"-4",IF(OR(N506=4,N506=5),"-3",IF(OR(N506=6,N506=7),"-2",IF(OR(N506=8,N506=9),"-1",IF(OR(N506=10,N506=11),"0",IF(OR(N506=12,N506=13),"+1",IF(OR(N506=14,N506=15),"+2",IF(OR(N506=16,N506=17),"+3",IF(OR(N506=18,N506=19),"+4",IF(OR(N506=20,N506=21),"+5",IF(OR(N506=22,N506=23),"+6",IF(OR(N506=24,N506=25),"+7",IF(OR(N506=26,N506=27),"+8",IF(OR(N506=28,N506=29),"+9",IF(N506=30,"+10"," "))))))))))))))))</f>
        <v>+1</v>
      </c>
      <c r="P506" s="3" t="n">
        <v>11</v>
      </c>
      <c r="Q506" s="1" t="str">
        <f aca="false">IF(P506=1,"-5",IF(OR(P506=2,P506=3),"-4",IF(OR(P506=4,P506=5),"-3",IF(OR(P506=6,P506=7),"-2",IF(OR(P506=8,P506=9),"-1",IF(OR(P506=10,P506=11),"0",IF(OR(P506=12,P506=13),"+1",IF(OR(P506=14,P506=15),"+2",IF(OR(P506=16,P506=17),"+3",IF(OR(P506=18,P506=19),"+4",IF(OR(P506=20,P506=21),"+5",IF(OR(P506=22,P506=23),"+6",IF(OR(P506=24,P506=25),"+7",IF(OR(P506=26,P506=27),"+8",IF(OR(P506=28,P506=29),"+9",IF(P506=30,"+10"," "))))))))))))))))</f>
        <v>0</v>
      </c>
      <c r="R506" s="3" t="n">
        <v>10</v>
      </c>
      <c r="S506" s="1" t="str">
        <f aca="false">IF(R506=1,"-5",IF(OR(R506=2,R506=3),"-4",IF(OR(R506=4,R506=5),"-3",IF(OR(R506=6,R506=7),"-2",IF(OR(R506=8,R506=9),"-1",IF(OR(R506=10,R506=11),"0",IF(OR(R506=12,R506=13),"+1",IF(OR(R506=14,R506=15),"+2",IF(OR(R506=16,R506=17),"+3",IF(OR(R506=18,R506=19),"+4",IF(OR(R506=20,R506=21),"+5",IF(OR(R506=22,R506=23),"+6",IF(OR(R506=24,R506=25),"+7",IF(OR(R506=26,R506=27),"+8",IF(OR(R506=28,R506=29),"+9",IF(R506=30,"+10"," "))))))))))))))))</f>
        <v>0</v>
      </c>
      <c r="T506" s="3" t="n">
        <v>10</v>
      </c>
      <c r="U506" s="1" t="str">
        <f aca="false">IF(T506=1,"-5",IF(OR(T506=2,T506=3),"-4",IF(OR(T506=4,T506=5),"-3",IF(OR(T506=6,T506=7),"-2",IF(OR(T506=8,T506=9),"-1",IF(OR(T506=10,T506=11),"0",IF(OR(T506=12,T506=13),"+1",IF(OR(T506=14,T506=15),"+2",IF(OR(T506=16,T506=17),"+3",IF(OR(T506=18,T506=19),"+4",IF(OR(T506=20,T506=21),"+5",IF(OR(T506=22,T506=23),"+6",IF(OR(T506=24,T506=25),"+7",IF(OR(T506=26,T506=27),"+8",IF(OR(T506=28,T506=29),"+9",IF(T506=30,"+10"," "))))))))))))))))</f>
        <v>0</v>
      </c>
      <c r="V506" s="3" t="s">
        <v>37</v>
      </c>
      <c r="W506" s="3" t="s">
        <v>2426</v>
      </c>
      <c r="X506" s="11" t="s">
        <v>2427</v>
      </c>
      <c r="Y506" s="11" t="s">
        <v>2428</v>
      </c>
      <c r="Z506" s="11" t="s">
        <v>37</v>
      </c>
      <c r="AA506" s="12" t="s">
        <v>37</v>
      </c>
    </row>
    <row r="507" customFormat="false" ht="16.4" hidden="false" customHeight="false" outlineLevel="0" collapsed="false">
      <c r="A507" s="15" t="s">
        <v>2429</v>
      </c>
      <c r="B507" s="3" t="s">
        <v>59</v>
      </c>
      <c r="C507" s="3" t="s">
        <v>37</v>
      </c>
      <c r="D507" s="16" t="n">
        <v>0.25</v>
      </c>
      <c r="E507" s="3" t="n">
        <f aca="false">VLOOKUP(D507,'[1]REF Tables'!$A$2:$B$40,2)</f>
        <v>50</v>
      </c>
      <c r="F507" s="3" t="s">
        <v>50</v>
      </c>
      <c r="G507" s="3" t="n">
        <v>12</v>
      </c>
      <c r="H507" s="3" t="s">
        <v>455</v>
      </c>
      <c r="I507" s="3" t="s">
        <v>534</v>
      </c>
      <c r="J507" s="3" t="n">
        <v>15</v>
      </c>
      <c r="K507" s="1" t="str">
        <f aca="false">IF(J507=1,"-5",IF(OR(J507=2,J507=3),"-4",IF(OR(J507=4,J507=5),"-3",IF(OR(J507=6,J507=7),"-2",IF(OR(J507=8,J507=9),"-1",IF(OR(J507=10,J507=11),"0",IF(OR(J507=12,J507=13),"+1",IF(OR(J507=14,J507=15),"+2",IF(OR(J507=16,J507=17),"+3",IF(OR(J507=18,J507=19),"+4",IF(OR(J507=20,J507=21),"+5",IF(OR(J507=22,J507=23),"+6",IF(OR(J507=24,J507=25),"+7",IF(OR(J507=26,J507=27),"+8",IF(OR(J507=28,J507=29),"+9",IF(J507=30,"+10"," "))))))))))))))))</f>
        <v>+2</v>
      </c>
      <c r="L507" s="3" t="n">
        <v>14</v>
      </c>
      <c r="M507" s="1" t="str">
        <f aca="false">IF(L507=1,"-5",IF(OR(L507=2,L507=3),"-4",IF(OR(L507=4,L507=5),"-3",IF(OR(L507=6,L507=7),"-2",IF(OR(L507=8,L507=9),"-1",IF(OR(L507=10,L507=11),"0",IF(OR(L507=12,L507=13),"+1",IF(OR(L507=14,L507=15),"+2",IF(OR(L507=16,L507=17),"+3",IF(OR(L507=18,L507=19),"+4",IF(OR(L507=20,L507=21),"+5",IF(OR(L507=22,L507=23),"+6",IF(OR(L507=24,L507=25),"+7",IF(OR(L507=26,L507=27),"+8",IF(OR(L507=28,L507=29),"+9",IF(L507=30,"+10"," "))))))))))))))))</f>
        <v>+2</v>
      </c>
      <c r="N507" s="3" t="n">
        <v>12</v>
      </c>
      <c r="O507" s="1" t="str">
        <f aca="false">IF(N507=1,"-5",IF(OR(N507=2,N507=3),"-4",IF(OR(N507=4,N507=5),"-3",IF(OR(N507=6,N507=7),"-2",IF(OR(N507=8,N507=9),"-1",IF(OR(N507=10,N507=11),"0",IF(OR(N507=12,N507=13),"+1",IF(OR(N507=14,N507=15),"+2",IF(OR(N507=16,N507=17),"+3",IF(OR(N507=18,N507=19),"+4",IF(OR(N507=20,N507=21),"+5",IF(OR(N507=22,N507=23),"+6",IF(OR(N507=24,N507=25),"+7",IF(OR(N507=26,N507=27),"+8",IF(OR(N507=28,N507=29),"+9",IF(N507=30,"+10"," "))))))))))))))))</f>
        <v>+1</v>
      </c>
      <c r="P507" s="3" t="n">
        <v>1</v>
      </c>
      <c r="Q507" s="1" t="str">
        <f aca="false">IF(P507=1,"-5",IF(OR(P507=2,P507=3),"-4",IF(OR(P507=4,P507=5),"-3",IF(OR(P507=6,P507=7),"-2",IF(OR(P507=8,P507=9),"-1",IF(OR(P507=10,P507=11),"0",IF(OR(P507=12,P507=13),"+1",IF(OR(P507=14,P507=15),"+2",IF(OR(P507=16,P507=17),"+3",IF(OR(P507=18,P507=19),"+4",IF(OR(P507=20,P507=21),"+5",IF(OR(P507=22,P507=23),"+6",IF(OR(P507=24,P507=25),"+7",IF(OR(P507=26,P507=27),"+8",IF(OR(P507=28,P507=29),"+9",IF(P507=30,"+10"," "))))))))))))))))</f>
        <v>-5</v>
      </c>
      <c r="R507" s="3" t="n">
        <v>10</v>
      </c>
      <c r="S507" s="1" t="str">
        <f aca="false">IF(R507=1,"-5",IF(OR(R507=2,R507=3),"-4",IF(OR(R507=4,R507=5),"-3",IF(OR(R507=6,R507=7),"-2",IF(OR(R507=8,R507=9),"-1",IF(OR(R507=10,R507=11),"0",IF(OR(R507=12,R507=13),"+1",IF(OR(R507=14,R507=15),"+2",IF(OR(R507=16,R507=17),"+3",IF(OR(R507=18,R507=19),"+4",IF(OR(R507=20,R507=21),"+5",IF(OR(R507=22,R507=23),"+6",IF(OR(R507=24,R507=25),"+7",IF(OR(R507=26,R507=27),"+8",IF(OR(R507=28,R507=29),"+9",IF(R507=30,"+10"," "))))))))))))))))</f>
        <v>0</v>
      </c>
      <c r="T507" s="3" t="n">
        <v>3</v>
      </c>
      <c r="U507" s="1" t="str">
        <f aca="false">IF(T507=1,"-5",IF(OR(T507=2,T507=3),"-4",IF(OR(T507=4,T507=5),"-3",IF(OR(T507=6,T507=7),"-2",IF(OR(T507=8,T507=9),"-1",IF(OR(T507=10,T507=11),"0",IF(OR(T507=12,T507=13),"+1",IF(OR(T507=14,T507=15),"+2",IF(OR(T507=16,T507=17),"+3",IF(OR(T507=18,T507=19),"+4",IF(OR(T507=20,T507=21),"+5",IF(OR(T507=22,T507=23),"+6",IF(OR(T507=24,T507=25),"+7",IF(OR(T507=26,T507=27),"+8",IF(OR(T507=28,T507=29),"+9",IF(T507=30,"+10"," "))))))))))))))))</f>
        <v>-4</v>
      </c>
      <c r="V507" s="3" t="s">
        <v>37</v>
      </c>
      <c r="W507" s="3" t="s">
        <v>37</v>
      </c>
      <c r="X507" s="11" t="s">
        <v>2430</v>
      </c>
      <c r="Y507" s="11" t="s">
        <v>2431</v>
      </c>
      <c r="Z507" s="11" t="s">
        <v>37</v>
      </c>
      <c r="AA507" s="12" t="s">
        <v>37</v>
      </c>
    </row>
    <row r="508" customFormat="false" ht="16.4" hidden="false" customHeight="false" outlineLevel="0" collapsed="false">
      <c r="A508" s="15" t="s">
        <v>2432</v>
      </c>
      <c r="B508" s="3" t="s">
        <v>59</v>
      </c>
      <c r="C508" s="3" t="s">
        <v>37</v>
      </c>
      <c r="D508" s="16" t="n">
        <v>2</v>
      </c>
      <c r="E508" s="3" t="n">
        <f aca="false">VLOOKUP(D508,'[1]REF Tables'!$A$2:$B$40,2)</f>
        <v>450</v>
      </c>
      <c r="F508" s="3" t="s">
        <v>121</v>
      </c>
      <c r="G508" s="3" t="n">
        <v>12</v>
      </c>
      <c r="H508" s="3" t="s">
        <v>2433</v>
      </c>
      <c r="I508" s="3" t="s">
        <v>534</v>
      </c>
      <c r="J508" s="3" t="n">
        <v>19</v>
      </c>
      <c r="K508" s="1" t="str">
        <f aca="false">IF(J508=1,"-5",IF(OR(J508=2,J508=3),"-4",IF(OR(J508=4,J508=5),"-3",IF(OR(J508=6,J508=7),"-2",IF(OR(J508=8,J508=9),"-1",IF(OR(J508=10,J508=11),"0",IF(OR(J508=12,J508=13),"+1",IF(OR(J508=14,J508=15),"+2",IF(OR(J508=16,J508=17),"+3",IF(OR(J508=18,J508=19),"+4",IF(OR(J508=20,J508=21),"+5",IF(OR(J508=22,J508=23),"+6",IF(OR(J508=24,J508=25),"+7",IF(OR(J508=26,J508=27),"+8",IF(OR(J508=28,J508=29),"+9",IF(J508=30,"+10"," "))))))))))))))))</f>
        <v>+4</v>
      </c>
      <c r="L508" s="3" t="n">
        <v>14</v>
      </c>
      <c r="M508" s="1" t="str">
        <f aca="false">IF(L508=1,"-5",IF(OR(L508=2,L508=3),"-4",IF(OR(L508=4,L508=5),"-3",IF(OR(L508=6,L508=7),"-2",IF(OR(L508=8,L508=9),"-1",IF(OR(L508=10,L508=11),"0",IF(OR(L508=12,L508=13),"+1",IF(OR(L508=14,L508=15),"+2",IF(OR(L508=16,L508=17),"+3",IF(OR(L508=18,L508=19),"+4",IF(OR(L508=20,L508=21),"+5",IF(OR(L508=22,L508=23),"+6",IF(OR(L508=24,L508=25),"+7",IF(OR(L508=26,L508=27),"+8",IF(OR(L508=28,L508=29),"+9",IF(L508=30,"+10"," "))))))))))))))))</f>
        <v>+2</v>
      </c>
      <c r="N508" s="3" t="n">
        <v>12</v>
      </c>
      <c r="O508" s="1" t="str">
        <f aca="false">IF(N508=1,"-5",IF(OR(N508=2,N508=3),"-4",IF(OR(N508=4,N508=5),"-3",IF(OR(N508=6,N508=7),"-2",IF(OR(N508=8,N508=9),"-1",IF(OR(N508=10,N508=11),"0",IF(OR(N508=12,N508=13),"+1",IF(OR(N508=14,N508=15),"+2",IF(OR(N508=16,N508=17),"+3",IF(OR(N508=18,N508=19),"+4",IF(OR(N508=20,N508=21),"+5",IF(OR(N508=22,N508=23),"+6",IF(OR(N508=24,N508=25),"+7",IF(OR(N508=26,N508=27),"+8",IF(OR(N508=28,N508=29),"+9",IF(N508=30,"+10"," "))))))))))))))))</f>
        <v>+1</v>
      </c>
      <c r="P508" s="3" t="n">
        <v>1</v>
      </c>
      <c r="Q508" s="1" t="str">
        <f aca="false">IF(P508=1,"-5",IF(OR(P508=2,P508=3),"-4",IF(OR(P508=4,P508=5),"-3",IF(OR(P508=6,P508=7),"-2",IF(OR(P508=8,P508=9),"-1",IF(OR(P508=10,P508=11),"0",IF(OR(P508=12,P508=13),"+1",IF(OR(P508=14,P508=15),"+2",IF(OR(P508=16,P508=17),"+3",IF(OR(P508=18,P508=19),"+4",IF(OR(P508=20,P508=21),"+5",IF(OR(P508=22,P508=23),"+6",IF(OR(P508=24,P508=25),"+7",IF(OR(P508=26,P508=27),"+8",IF(OR(P508=28,P508=29),"+9",IF(P508=30,"+10"," "))))))))))))))))</f>
        <v>-5</v>
      </c>
      <c r="R508" s="3" t="n">
        <v>10</v>
      </c>
      <c r="S508" s="1" t="str">
        <f aca="false">IF(R508=1,"-5",IF(OR(R508=2,R508=3),"-4",IF(OR(R508=4,R508=5),"-3",IF(OR(R508=6,R508=7),"-2",IF(OR(R508=8,R508=9),"-1",IF(OR(R508=10,R508=11),"0",IF(OR(R508=12,R508=13),"+1",IF(OR(R508=14,R508=15),"+2",IF(OR(R508=16,R508=17),"+3",IF(OR(R508=18,R508=19),"+4",IF(OR(R508=20,R508=21),"+5",IF(OR(R508=22,R508=23),"+6",IF(OR(R508=24,R508=25),"+7",IF(OR(R508=26,R508=27),"+8",IF(OR(R508=28,R508=29),"+9",IF(R508=30,"+10"," "))))))))))))))))</f>
        <v>0</v>
      </c>
      <c r="T508" s="3" t="n">
        <v>3</v>
      </c>
      <c r="U508" s="1" t="str">
        <f aca="false">IF(T508=1,"-5",IF(OR(T508=2,T508=3),"-4",IF(OR(T508=4,T508=5),"-3",IF(OR(T508=6,T508=7),"-2",IF(OR(T508=8,T508=9),"-1",IF(OR(T508=10,T508=11),"0",IF(OR(T508=12,T508=13),"+1",IF(OR(T508=14,T508=15),"+2",IF(OR(T508=16,T508=17),"+3",IF(OR(T508=18,T508=19),"+4",IF(OR(T508=20,T508=21),"+5",IF(OR(T508=22,T508=23),"+6",IF(OR(T508=24,T508=25),"+7",IF(OR(T508=26,T508=27),"+8",IF(OR(T508=28,T508=29),"+9",IF(T508=30,"+10"," "))))))))))))))))</f>
        <v>-4</v>
      </c>
      <c r="V508" s="3" t="s">
        <v>1039</v>
      </c>
      <c r="W508" s="3" t="s">
        <v>37</v>
      </c>
      <c r="X508" s="11" t="s">
        <v>2434</v>
      </c>
      <c r="Y508" s="11" t="s">
        <v>2435</v>
      </c>
      <c r="Z508" s="11" t="s">
        <v>37</v>
      </c>
      <c r="AA508" s="12" t="s">
        <v>37</v>
      </c>
    </row>
    <row r="509" customFormat="false" ht="16.4" hidden="false" customHeight="false" outlineLevel="0" collapsed="false">
      <c r="A509" s="15" t="s">
        <v>2436</v>
      </c>
      <c r="B509" s="3" t="s">
        <v>214</v>
      </c>
      <c r="C509" s="3" t="s">
        <v>85</v>
      </c>
      <c r="D509" s="16" t="n">
        <v>1</v>
      </c>
      <c r="E509" s="3" t="n">
        <f aca="false">VLOOKUP(D509,'[1]REF Tables'!$A$2:$B$40,2)</f>
        <v>200</v>
      </c>
      <c r="F509" s="3" t="s">
        <v>30</v>
      </c>
      <c r="G509" s="3" t="n">
        <v>14</v>
      </c>
      <c r="H509" s="3" t="s">
        <v>1087</v>
      </c>
      <c r="I509" s="3" t="s">
        <v>42</v>
      </c>
      <c r="J509" s="3" t="n">
        <v>12</v>
      </c>
      <c r="K509" s="1" t="str">
        <f aca="false">IF(J509=1,"-5",IF(OR(J509=2,J509=3),"-4",IF(OR(J509=4,J509=5),"-3",IF(OR(J509=6,J509=7),"-2",IF(OR(J509=8,J509=9),"-1",IF(OR(J509=10,J509=11),"0",IF(OR(J509=12,J509=13),"+1",IF(OR(J509=14,J509=15),"+2",IF(OR(J509=16,J509=17),"+3",IF(OR(J509=18,J509=19),"+4",IF(OR(J509=20,J509=21),"+5",IF(OR(J509=22,J509=23),"+6",IF(OR(J509=24,J509=25),"+7",IF(OR(J509=26,J509=27),"+8",IF(OR(J509=28,J509=29),"+9",IF(J509=30,"+10"," "))))))))))))))))</f>
        <v>+1</v>
      </c>
      <c r="L509" s="3" t="n">
        <v>14</v>
      </c>
      <c r="M509" s="1" t="str">
        <f aca="false">IF(L509=1,"-5",IF(OR(L509=2,L509=3),"-4",IF(OR(L509=4,L509=5),"-3",IF(OR(L509=6,L509=7),"-2",IF(OR(L509=8,L509=9),"-1",IF(OR(L509=10,L509=11),"0",IF(OR(L509=12,L509=13),"+1",IF(OR(L509=14,L509=15),"+2",IF(OR(L509=16,L509=17),"+3",IF(OR(L509=18,L509=19),"+4",IF(OR(L509=20,L509=21),"+5",IF(OR(L509=22,L509=23),"+6",IF(OR(L509=24,L509=25),"+7",IF(OR(L509=26,L509=27),"+8",IF(OR(L509=28,L509=29),"+9",IF(L509=30,"+10"," "))))))))))))))))</f>
        <v>+2</v>
      </c>
      <c r="N509" s="3" t="n">
        <v>11</v>
      </c>
      <c r="O509" s="1" t="str">
        <f aca="false">IF(N509=1,"-5",IF(OR(N509=2,N509=3),"-4",IF(OR(N509=4,N509=5),"-3",IF(OR(N509=6,N509=7),"-2",IF(OR(N509=8,N509=9),"-1",IF(OR(N509=10,N509=11),"0",IF(OR(N509=12,N509=13),"+1",IF(OR(N509=14,N509=15),"+2",IF(OR(N509=16,N509=17),"+3",IF(OR(N509=18,N509=19),"+4",IF(OR(N509=20,N509=21),"+5",IF(OR(N509=22,N509=23),"+6",IF(OR(N509=24,N509=25),"+7",IF(OR(N509=26,N509=27),"+8",IF(OR(N509=28,N509=29),"+9",IF(N509=30,"+10"," "))))))))))))))))</f>
        <v>0</v>
      </c>
      <c r="P509" s="3" t="n">
        <v>7</v>
      </c>
      <c r="Q509" s="1" t="str">
        <f aca="false">IF(P509=1,"-5",IF(OR(P509=2,P509=3),"-4",IF(OR(P509=4,P509=5),"-3",IF(OR(P509=6,P509=7),"-2",IF(OR(P509=8,P509=9),"-1",IF(OR(P509=10,P509=11),"0",IF(OR(P509=12,P509=13),"+1",IF(OR(P509=14,P509=15),"+2",IF(OR(P509=16,P509=17),"+3",IF(OR(P509=18,P509=19),"+4",IF(OR(P509=20,P509=21),"+5",IF(OR(P509=22,P509=23),"+6",IF(OR(P509=24,P509=25),"+7",IF(OR(P509=26,P509=27),"+8",IF(OR(P509=28,P509=29),"+9",IF(P509=30,"+10"," "))))))))))))))))</f>
        <v>-2</v>
      </c>
      <c r="R509" s="3" t="n">
        <v>10</v>
      </c>
      <c r="S509" s="1" t="str">
        <f aca="false">IF(R509=1,"-5",IF(OR(R509=2,R509=3),"-4",IF(OR(R509=4,R509=5),"-3",IF(OR(R509=6,R509=7),"-2",IF(OR(R509=8,R509=9),"-1",IF(OR(R509=10,R509=11),"0",IF(OR(R509=12,R509=13),"+1",IF(OR(R509=14,R509=15),"+2",IF(OR(R509=16,R509=17),"+3",IF(OR(R509=18,R509=19),"+4",IF(OR(R509=20,R509=21),"+5",IF(OR(R509=22,R509=23),"+6",IF(OR(R509=24,R509=25),"+7",IF(OR(R509=26,R509=27),"+8",IF(OR(R509=28,R509=29),"+9",IF(R509=30,"+10"," "))))))))))))))))</f>
        <v>0</v>
      </c>
      <c r="T509" s="3" t="n">
        <v>8</v>
      </c>
      <c r="U509" s="1" t="str">
        <f aca="false">IF(T509=1,"-5",IF(OR(T509=2,T509=3),"-4",IF(OR(T509=4,T509=5),"-3",IF(OR(T509=6,T509=7),"-2",IF(OR(T509=8,T509=9),"-1",IF(OR(T509=10,T509=11),"0",IF(OR(T509=12,T509=13),"+1",IF(OR(T509=14,T509=15),"+2",IF(OR(T509=16,T509=17),"+3",IF(OR(T509=18,T509=19),"+4",IF(OR(T509=20,T509=21),"+5",IF(OR(T509=22,T509=23),"+6",IF(OR(T509=24,T509=25),"+7",IF(OR(T509=26,T509=27),"+8",IF(OR(T509=28,T509=29),"+9",IF(T509=30,"+10"," "))))))))))))))))</f>
        <v>-1</v>
      </c>
      <c r="V509" s="3" t="s">
        <v>37</v>
      </c>
      <c r="W509" s="3" t="s">
        <v>2437</v>
      </c>
      <c r="X509" s="11" t="s">
        <v>2438</v>
      </c>
      <c r="Y509" s="11" t="s">
        <v>2439</v>
      </c>
      <c r="Z509" s="11" t="s">
        <v>37</v>
      </c>
      <c r="AA509" s="12" t="s">
        <v>37</v>
      </c>
    </row>
    <row r="510" customFormat="false" ht="16.4" hidden="false" customHeight="false" outlineLevel="0" collapsed="false">
      <c r="A510" s="15" t="s">
        <v>2440</v>
      </c>
      <c r="B510" s="3" t="s">
        <v>59</v>
      </c>
      <c r="C510" s="3" t="s">
        <v>37</v>
      </c>
      <c r="D510" s="16" t="n">
        <v>0.125</v>
      </c>
      <c r="E510" s="3" t="n">
        <f aca="false">VLOOKUP(D510,'[1]REF Tables'!$A$2:$B$40,2)</f>
        <v>25</v>
      </c>
      <c r="F510" s="3" t="s">
        <v>315</v>
      </c>
      <c r="G510" s="3" t="n">
        <v>13</v>
      </c>
      <c r="H510" s="3" t="s">
        <v>438</v>
      </c>
      <c r="I510" s="3" t="s">
        <v>534</v>
      </c>
      <c r="J510" s="3" t="n">
        <v>2</v>
      </c>
      <c r="K510" s="1" t="str">
        <f aca="false">IF(J510=1,"-5",IF(OR(J510=2,J510=3),"-4",IF(OR(J510=4,J510=5),"-3",IF(OR(J510=6,J510=7),"-2",IF(OR(J510=8,J510=9),"-1",IF(OR(J510=10,J510=11),"0",IF(OR(J510=12,J510=13),"+1",IF(OR(J510=14,J510=15),"+2",IF(OR(J510=16,J510=17),"+3",IF(OR(J510=18,J510=19),"+4",IF(OR(J510=20,J510=21),"+5",IF(OR(J510=22,J510=23),"+6",IF(OR(J510=24,J510=25),"+7",IF(OR(J510=26,J510=27),"+8",IF(OR(J510=28,J510=29),"+9",IF(J510=30,"+10"," "))))))))))))))))</f>
        <v>-4</v>
      </c>
      <c r="L510" s="3" t="n">
        <v>16</v>
      </c>
      <c r="M510" s="1" t="str">
        <f aca="false">IF(L510=1,"-5",IF(OR(L510=2,L510=3),"-4",IF(OR(L510=4,L510=5),"-3",IF(OR(L510=6,L510=7),"-2",IF(OR(L510=8,L510=9),"-1",IF(OR(L510=10,L510=11),"0",IF(OR(L510=12,L510=13),"+1",IF(OR(L510=14,L510=15),"+2",IF(OR(L510=16,L510=17),"+3",IF(OR(L510=18,L510=19),"+4",IF(OR(L510=20,L510=21),"+5",IF(OR(L510=22,L510=23),"+6",IF(OR(L510=24,L510=25),"+7",IF(OR(L510=26,L510=27),"+8",IF(OR(L510=28,L510=29),"+9",IF(L510=30,"+10"," "))))))))))))))))</f>
        <v>+3</v>
      </c>
      <c r="N510" s="3" t="n">
        <v>11</v>
      </c>
      <c r="O510" s="1" t="str">
        <f aca="false">IF(N510=1,"-5",IF(OR(N510=2,N510=3),"-4",IF(OR(N510=4,N510=5),"-3",IF(OR(N510=6,N510=7),"-2",IF(OR(N510=8,N510=9),"-1",IF(OR(N510=10,N510=11),"0",IF(OR(N510=12,N510=13),"+1",IF(OR(N510=14,N510=15),"+2",IF(OR(N510=16,N510=17),"+3",IF(OR(N510=18,N510=19),"+4",IF(OR(N510=20,N510=21),"+5",IF(OR(N510=22,N510=23),"+6",IF(OR(N510=24,N510=25),"+7",IF(OR(N510=26,N510=27),"+8",IF(OR(N510=28,N510=29),"+9",IF(N510=30,"+10"," "))))))))))))))))</f>
        <v>0</v>
      </c>
      <c r="P510" s="3" t="n">
        <v>1</v>
      </c>
      <c r="Q510" s="1" t="str">
        <f aca="false">IF(P510=1,"-5",IF(OR(P510=2,P510=3),"-4",IF(OR(P510=4,P510=5),"-3",IF(OR(P510=6,P510=7),"-2",IF(OR(P510=8,P510=9),"-1",IF(OR(P510=10,P510=11),"0",IF(OR(P510=12,P510=13),"+1",IF(OR(P510=14,P510=15),"+2",IF(OR(P510=16,P510=17),"+3",IF(OR(P510=18,P510=19),"+4",IF(OR(P510=20,P510=21),"+5",IF(OR(P510=22,P510=23),"+6",IF(OR(P510=24,P510=25),"+7",IF(OR(P510=26,P510=27),"+8",IF(OR(P510=28,P510=29),"+9",IF(P510=30,"+10"," "))))))))))))))))</f>
        <v>-5</v>
      </c>
      <c r="R510" s="3" t="n">
        <v>10</v>
      </c>
      <c r="S510" s="1" t="str">
        <f aca="false">IF(R510=1,"-5",IF(OR(R510=2,R510=3),"-4",IF(OR(R510=4,R510=5),"-3",IF(OR(R510=6,R510=7),"-2",IF(OR(R510=8,R510=9),"-1",IF(OR(R510=10,R510=11),"0",IF(OR(R510=12,R510=13),"+1",IF(OR(R510=14,R510=15),"+2",IF(OR(R510=16,R510=17),"+3",IF(OR(R510=18,R510=19),"+4",IF(OR(R510=20,R510=21),"+5",IF(OR(R510=22,R510=23),"+6",IF(OR(R510=24,R510=25),"+7",IF(OR(R510=26,R510=27),"+8",IF(OR(R510=28,R510=29),"+9",IF(R510=30,"+10"," "))))))))))))))))</f>
        <v>0</v>
      </c>
      <c r="T510" s="3" t="n">
        <v>3</v>
      </c>
      <c r="U510" s="1" t="str">
        <f aca="false">IF(T510=1,"-5",IF(OR(T510=2,T510=3),"-4",IF(OR(T510=4,T510=5),"-3",IF(OR(T510=6,T510=7),"-2",IF(OR(T510=8,T510=9),"-1",IF(OR(T510=10,T510=11),"0",IF(OR(T510=12,T510=13),"+1",IF(OR(T510=14,T510=15),"+2",IF(OR(T510=16,T510=17),"+3",IF(OR(T510=18,T510=19),"+4",IF(OR(T510=20,T510=21),"+5",IF(OR(T510=22,T510=23),"+6",IF(OR(T510=24,T510=25),"+7",IF(OR(T510=26,T510=27),"+8",IF(OR(T510=28,T510=29),"+9",IF(T510=30,"+10"," "))))))))))))))))</f>
        <v>-4</v>
      </c>
      <c r="V510" s="3" t="s">
        <v>37</v>
      </c>
      <c r="W510" s="3" t="s">
        <v>37</v>
      </c>
      <c r="X510" s="11" t="s">
        <v>2430</v>
      </c>
      <c r="Y510" s="11" t="s">
        <v>2441</v>
      </c>
      <c r="Z510" s="11" t="s">
        <v>37</v>
      </c>
      <c r="AA510" s="12" t="s">
        <v>37</v>
      </c>
    </row>
    <row r="511" customFormat="false" ht="16.4" hidden="false" customHeight="false" outlineLevel="0" collapsed="false">
      <c r="A511" s="15" t="s">
        <v>2442</v>
      </c>
      <c r="B511" s="3" t="s">
        <v>59</v>
      </c>
      <c r="C511" s="3" t="s">
        <v>37</v>
      </c>
      <c r="D511" s="16" t="n">
        <v>0.25</v>
      </c>
      <c r="E511" s="3" t="n">
        <f aca="false">VLOOKUP(D511,'[1]REF Tables'!$A$2:$B$40,2)</f>
        <v>50</v>
      </c>
      <c r="F511" s="3" t="s">
        <v>30</v>
      </c>
      <c r="G511" s="3" t="n">
        <v>14</v>
      </c>
      <c r="H511" s="3" t="s">
        <v>152</v>
      </c>
      <c r="I511" s="3" t="s">
        <v>534</v>
      </c>
      <c r="J511" s="3" t="n">
        <v>10</v>
      </c>
      <c r="K511" s="1" t="str">
        <f aca="false">IF(J511=1,"-5",IF(OR(J511=2,J511=3),"-4",IF(OR(J511=4,J511=5),"-3",IF(OR(J511=6,J511=7),"-2",IF(OR(J511=8,J511=9),"-1",IF(OR(J511=10,J511=11),"0",IF(OR(J511=12,J511=13),"+1",IF(OR(J511=14,J511=15),"+2",IF(OR(J511=16,J511=17),"+3",IF(OR(J511=18,J511=19),"+4",IF(OR(J511=20,J511=21),"+5",IF(OR(J511=22,J511=23),"+6",IF(OR(J511=24,J511=25),"+7",IF(OR(J511=26,J511=27),"+8",IF(OR(J511=28,J511=29),"+9",IF(J511=30,"+10"," "))))))))))))))))</f>
        <v>0</v>
      </c>
      <c r="L511" s="3" t="n">
        <v>18</v>
      </c>
      <c r="M511" s="1" t="str">
        <f aca="false">IF(L511=1,"-5",IF(OR(L511=2,L511=3),"-4",IF(OR(L511=4,L511=5),"-3",IF(OR(L511=6,L511=7),"-2",IF(OR(L511=8,L511=9),"-1",IF(OR(L511=10,L511=11),"0",IF(OR(L511=12,L511=13),"+1",IF(OR(L511=14,L511=15),"+2",IF(OR(L511=16,L511=17),"+3",IF(OR(L511=18,L511=19),"+4",IF(OR(L511=20,L511=21),"+5",IF(OR(L511=22,L511=23),"+6",IF(OR(L511=24,L511=25),"+7",IF(OR(L511=26,L511=27),"+8",IF(OR(L511=28,L511=29),"+9",IF(L511=30,"+10"," "))))))))))))))))</f>
        <v>+4</v>
      </c>
      <c r="N511" s="3" t="n">
        <v>13</v>
      </c>
      <c r="O511" s="1" t="str">
        <f aca="false">IF(N511=1,"-5",IF(OR(N511=2,N511=3),"-4",IF(OR(N511=4,N511=5),"-3",IF(OR(N511=6,N511=7),"-2",IF(OR(N511=8,N511=9),"-1",IF(OR(N511=10,N511=11),"0",IF(OR(N511=12,N511=13),"+1",IF(OR(N511=14,N511=15),"+2",IF(OR(N511=16,N511=17),"+3",IF(OR(N511=18,N511=19),"+4",IF(OR(N511=20,N511=21),"+5",IF(OR(N511=22,N511=23),"+6",IF(OR(N511=24,N511=25),"+7",IF(OR(N511=26,N511=27),"+8",IF(OR(N511=28,N511=29),"+9",IF(N511=30,"+10"," "))))))))))))))))</f>
        <v>+1</v>
      </c>
      <c r="P511" s="3" t="n">
        <v>2</v>
      </c>
      <c r="Q511" s="1" t="str">
        <f aca="false">IF(P511=1,"-5",IF(OR(P511=2,P511=3),"-4",IF(OR(P511=4,P511=5),"-3",IF(OR(P511=6,P511=7),"-2",IF(OR(P511=8,P511=9),"-1",IF(OR(P511=10,P511=11),"0",IF(OR(P511=12,P511=13),"+1",IF(OR(P511=14,P511=15),"+2",IF(OR(P511=16,P511=17),"+3",IF(OR(P511=18,P511=19),"+4",IF(OR(P511=20,P511=21),"+5",IF(OR(P511=22,P511=23),"+6",IF(OR(P511=24,P511=25),"+7",IF(OR(P511=26,P511=27),"+8",IF(OR(P511=28,P511=29),"+9",IF(P511=30,"+10"," "))))))))))))))))</f>
        <v>-4</v>
      </c>
      <c r="R511" s="3" t="n">
        <v>10</v>
      </c>
      <c r="S511" s="1" t="str">
        <f aca="false">IF(R511=1,"-5",IF(OR(R511=2,R511=3),"-4",IF(OR(R511=4,R511=5),"-3",IF(OR(R511=6,R511=7),"-2",IF(OR(R511=8,R511=9),"-1",IF(OR(R511=10,R511=11),"0",IF(OR(R511=12,R511=13),"+1",IF(OR(R511=14,R511=15),"+2",IF(OR(R511=16,R511=17),"+3",IF(OR(R511=18,R511=19),"+4",IF(OR(R511=20,R511=21),"+5",IF(OR(R511=22,R511=23),"+6",IF(OR(R511=24,R511=25),"+7",IF(OR(R511=26,R511=27),"+8",IF(OR(R511=28,R511=29),"+9",IF(R511=30,"+10"," "))))))))))))))))</f>
        <v>0</v>
      </c>
      <c r="T511" s="3" t="n">
        <v>3</v>
      </c>
      <c r="U511" s="1" t="str">
        <f aca="false">IF(T511=1,"-5",IF(OR(T511=2,T511=3),"-4",IF(OR(T511=4,T511=5),"-3",IF(OR(T511=6,T511=7),"-2",IF(OR(T511=8,T511=9),"-1",IF(OR(T511=10,T511=11),"0",IF(OR(T511=12,T511=13),"+1",IF(OR(T511=14,T511=15),"+2",IF(OR(T511=16,T511=17),"+3",IF(OR(T511=18,T511=19),"+4",IF(OR(T511=20,T511=21),"+5",IF(OR(T511=22,T511=23),"+6",IF(OR(T511=24,T511=25),"+7",IF(OR(T511=26,T511=27),"+8",IF(OR(T511=28,T511=29),"+9",IF(T511=30,"+10"," "))))))))))))))))</f>
        <v>-4</v>
      </c>
      <c r="V511" s="3" t="s">
        <v>1039</v>
      </c>
      <c r="W511" s="3" t="s">
        <v>37</v>
      </c>
      <c r="X511" s="11" t="s">
        <v>2434</v>
      </c>
      <c r="Y511" s="11" t="s">
        <v>2443</v>
      </c>
      <c r="Z511" s="11" t="s">
        <v>37</v>
      </c>
      <c r="AA511" s="12" t="s">
        <v>37</v>
      </c>
      <c r="AB511" s="1"/>
      <c r="AC511" s="1"/>
      <c r="AD511" s="1"/>
      <c r="AE511" s="1"/>
      <c r="AF511" s="1"/>
    </row>
    <row r="512" customFormat="false" ht="16.4" hidden="false" customHeight="false" outlineLevel="0" collapsed="false">
      <c r="A512" s="15" t="s">
        <v>2444</v>
      </c>
      <c r="B512" s="3" t="s">
        <v>59</v>
      </c>
      <c r="C512" s="3" t="s">
        <v>37</v>
      </c>
      <c r="D512" s="16" t="n">
        <v>0.125</v>
      </c>
      <c r="E512" s="3" t="n">
        <f aca="false">VLOOKUP(D512,'[1]REF Tables'!$A$2:$B$40,2)</f>
        <v>25</v>
      </c>
      <c r="F512" s="3" t="s">
        <v>315</v>
      </c>
      <c r="G512" s="3" t="n">
        <v>14</v>
      </c>
      <c r="H512" s="3" t="s">
        <v>1644</v>
      </c>
      <c r="I512" s="3" t="s">
        <v>887</v>
      </c>
      <c r="J512" s="3" t="n">
        <v>4</v>
      </c>
      <c r="K512" s="1" t="str">
        <f aca="false">IF(J512=1,"-5",IF(OR(J512=2,J512=3),"-4",IF(OR(J512=4,J512=5),"-3",IF(OR(J512=6,J512=7),"-2",IF(OR(J512=8,J512=9),"-1",IF(OR(J512=10,J512=11),"0",IF(OR(J512=12,J512=13),"+1",IF(OR(J512=14,J512=15),"+2",IF(OR(J512=16,J512=17),"+3",IF(OR(J512=18,J512=19),"+4",IF(OR(J512=20,J512=21),"+5",IF(OR(J512=22,J512=23),"+6",IF(OR(J512=24,J512=25),"+7",IF(OR(J512=26,J512=27),"+8",IF(OR(J512=28,J512=29),"+9",IF(J512=30,"+10"," "))))))))))))))))</f>
        <v>-3</v>
      </c>
      <c r="L512" s="3" t="n">
        <v>18</v>
      </c>
      <c r="M512" s="1" t="str">
        <f aca="false">IF(L512=1,"-5",IF(OR(L512=2,L512=3),"-4",IF(OR(L512=4,L512=5),"-3",IF(OR(L512=6,L512=7),"-2",IF(OR(L512=8,L512=9),"-1",IF(OR(L512=10,L512=11),"0",IF(OR(L512=12,L512=13),"+1",IF(OR(L512=14,L512=15),"+2",IF(OR(L512=16,L512=17),"+3",IF(OR(L512=18,L512=19),"+4",IF(OR(L512=20,L512=21),"+5",IF(OR(L512=22,L512=23),"+6",IF(OR(L512=24,L512=25),"+7",IF(OR(L512=26,L512=27),"+8",IF(OR(L512=28,L512=29),"+9",IF(L512=30,"+10"," "))))))))))))))))</f>
        <v>+4</v>
      </c>
      <c r="N512" s="3" t="n">
        <v>11</v>
      </c>
      <c r="O512" s="1" t="str">
        <f aca="false">IF(N512=1,"-5",IF(OR(N512=2,N512=3),"-4",IF(OR(N512=4,N512=5),"-3",IF(OR(N512=6,N512=7),"-2",IF(OR(N512=8,N512=9),"-1",IF(OR(N512=10,N512=11),"0",IF(OR(N512=12,N512=13),"+1",IF(OR(N512=14,N512=15),"+2",IF(OR(N512=16,N512=17),"+3",IF(OR(N512=18,N512=19),"+4",IF(OR(N512=20,N512=21),"+5",IF(OR(N512=22,N512=23),"+6",IF(OR(N512=24,N512=25),"+7",IF(OR(N512=26,N512=27),"+8",IF(OR(N512=28,N512=29),"+9",IF(N512=30,"+10"," "))))))))))))))))</f>
        <v>0</v>
      </c>
      <c r="P512" s="3" t="n">
        <v>2</v>
      </c>
      <c r="Q512" s="1" t="str">
        <f aca="false">IF(P512=1,"-5",IF(OR(P512=2,P512=3),"-4",IF(OR(P512=4,P512=5),"-3",IF(OR(P512=6,P512=7),"-2",IF(OR(P512=8,P512=9),"-1",IF(OR(P512=10,P512=11),"0",IF(OR(P512=12,P512=13),"+1",IF(OR(P512=14,P512=15),"+2",IF(OR(P512=16,P512=17),"+3",IF(OR(P512=18,P512=19),"+4",IF(OR(P512=20,P512=21),"+5",IF(OR(P512=22,P512=23),"+6",IF(OR(P512=24,P512=25),"+7",IF(OR(P512=26,P512=27),"+8",IF(OR(P512=28,P512=29),"+9",IF(P512=30,"+10"," "))))))))))))))))</f>
        <v>-4</v>
      </c>
      <c r="R512" s="3" t="n">
        <v>12</v>
      </c>
      <c r="S512" s="1" t="str">
        <f aca="false">IF(R512=1,"-5",IF(OR(R512=2,R512=3),"-4",IF(OR(R512=4,R512=5),"-3",IF(OR(R512=6,R512=7),"-2",IF(OR(R512=8,R512=9),"-1",IF(OR(R512=10,R512=11),"0",IF(OR(R512=12,R512=13),"+1",IF(OR(R512=14,R512=15),"+2",IF(OR(R512=16,R512=17),"+3",IF(OR(R512=18,R512=19),"+4",IF(OR(R512=20,R512=21),"+5",IF(OR(R512=22,R512=23),"+6",IF(OR(R512=24,R512=25),"+7",IF(OR(R512=26,R512=27),"+8",IF(OR(R512=28,R512=29),"+9",IF(R512=30,"+10"," "))))))))))))))))</f>
        <v>+1</v>
      </c>
      <c r="T512" s="3" t="n">
        <v>5</v>
      </c>
      <c r="U512" s="1" t="str">
        <f aca="false">IF(T512=1,"-5",IF(OR(T512=2,T512=3),"-4",IF(OR(T512=4,T512=5),"-3",IF(OR(T512=6,T512=7),"-2",IF(OR(T512=8,T512=9),"-1",IF(OR(T512=10,T512=11),"0",IF(OR(T512=12,T512=13),"+1",IF(OR(T512=14,T512=15),"+2",IF(OR(T512=16,T512=17),"+3",IF(OR(T512=18,T512=19),"+4",IF(OR(T512=20,T512=21),"+5",IF(OR(T512=22,T512=23),"+6",IF(OR(T512=24,T512=25),"+7",IF(OR(T512=26,T512=27),"+8",IF(OR(T512=28,T512=29),"+9",IF(T512=30,"+10"," "))))))))))))))))</f>
        <v>-3</v>
      </c>
      <c r="V512" s="3" t="s">
        <v>37</v>
      </c>
      <c r="W512" s="3" t="s">
        <v>37</v>
      </c>
      <c r="X512" s="11" t="s">
        <v>2445</v>
      </c>
      <c r="Y512" s="11" t="s">
        <v>2446</v>
      </c>
      <c r="Z512" s="11" t="s">
        <v>37</v>
      </c>
      <c r="AA512" s="12" t="s">
        <v>37</v>
      </c>
    </row>
    <row r="513" customFormat="false" ht="16.4" hidden="false" customHeight="false" outlineLevel="0" collapsed="false">
      <c r="A513" s="15" t="s">
        <v>2447</v>
      </c>
      <c r="B513" s="3" t="s">
        <v>221</v>
      </c>
      <c r="C513" s="3" t="s">
        <v>222</v>
      </c>
      <c r="D513" s="16" t="n">
        <v>8</v>
      </c>
      <c r="E513" s="6" t="n">
        <f aca="false">VLOOKUP(D513,'[1]REF Tables'!$A$2:$B$40,2)</f>
        <v>3900</v>
      </c>
      <c r="F513" s="3" t="s">
        <v>50</v>
      </c>
      <c r="G513" s="3" t="n">
        <v>14</v>
      </c>
      <c r="H513" s="3" t="s">
        <v>848</v>
      </c>
      <c r="I513" s="3" t="s">
        <v>224</v>
      </c>
      <c r="J513" s="3" t="n">
        <v>18</v>
      </c>
      <c r="K513" s="1" t="str">
        <f aca="false">IF(J513=1,"-5",IF(OR(J513=2,J513=3),"-4",IF(OR(J513=4,J513=5),"-3",IF(OR(J513=6,J513=7),"-2",IF(OR(J513=8,J513=9),"-1",IF(OR(J513=10,J513=11),"0",IF(OR(J513=12,J513=13),"+1",IF(OR(J513=14,J513=15),"+2",IF(OR(J513=16,J513=17),"+3",IF(OR(J513=18,J513=19),"+4",IF(OR(J513=20,J513=21),"+5",IF(OR(J513=22,J513=23),"+6",IF(OR(J513=24,J513=25),"+7",IF(OR(J513=26,J513=27),"+8",IF(OR(J513=28,J513=29),"+9",IF(J513=30,"+10"," "))))))))))))))))</f>
        <v>+4</v>
      </c>
      <c r="L513" s="3" t="n">
        <v>13</v>
      </c>
      <c r="M513" s="1" t="str">
        <f aca="false">IF(L513=1,"-5",IF(OR(L513=2,L513=3),"-4",IF(OR(L513=4,L513=5),"-3",IF(OR(L513=6,L513=7),"-2",IF(OR(L513=8,L513=9),"-1",IF(OR(L513=10,L513=11),"0",IF(OR(L513=12,L513=13),"+1",IF(OR(L513=14,L513=15),"+2",IF(OR(L513=16,L513=17),"+3",IF(OR(L513=18,L513=19),"+4",IF(OR(L513=20,L513=21),"+5",IF(OR(L513=22,L513=23),"+6",IF(OR(L513=24,L513=25),"+7",IF(OR(L513=26,L513=27),"+8",IF(OR(L513=28,L513=29),"+9",IF(L513=30,"+10"," "))))))))))))))))</f>
        <v>+1</v>
      </c>
      <c r="N513" s="3" t="n">
        <v>17</v>
      </c>
      <c r="O513" s="1" t="str">
        <f aca="false">IF(N513=1,"-5",IF(OR(N513=2,N513=3),"-4",IF(OR(N513=4,N513=5),"-3",IF(OR(N513=6,N513=7),"-2",IF(OR(N513=8,N513=9),"-1",IF(OR(N513=10,N513=11),"0",IF(OR(N513=12,N513=13),"+1",IF(OR(N513=14,N513=15),"+2",IF(OR(N513=16,N513=17),"+3",IF(OR(N513=18,N513=19),"+4",IF(OR(N513=20,N513=21),"+5",IF(OR(N513=22,N513=23),"+6",IF(OR(N513=24,N513=25),"+7",IF(OR(N513=26,N513=27),"+8",IF(OR(N513=28,N513=29),"+9",IF(N513=30,"+10"," "))))))))))))))))</f>
        <v>+3</v>
      </c>
      <c r="P513" s="3" t="n">
        <v>7</v>
      </c>
      <c r="Q513" s="1" t="str">
        <f aca="false">IF(P513=1,"-5",IF(OR(P513=2,P513=3),"-4",IF(OR(P513=4,P513=5),"-3",IF(OR(P513=6,P513=7),"-2",IF(OR(P513=8,P513=9),"-1",IF(OR(P513=10,P513=11),"0",IF(OR(P513=12,P513=13),"+1",IF(OR(P513=14,P513=15),"+2",IF(OR(P513=16,P513=17),"+3",IF(OR(P513=18,P513=19),"+4",IF(OR(P513=20,P513=21),"+5",IF(OR(P513=22,P513=23),"+6",IF(OR(P513=24,P513=25),"+7",IF(OR(P513=26,P513=27),"+8",IF(OR(P513=28,P513=29),"+9",IF(P513=30,"+10"," "))))))))))))))))</f>
        <v>-2</v>
      </c>
      <c r="R513" s="3" t="n">
        <v>14</v>
      </c>
      <c r="S513" s="1" t="str">
        <f aca="false">IF(R513=1,"-5",IF(OR(R513=2,R513=3),"-4",IF(OR(R513=4,R513=5),"-3",IF(OR(R513=6,R513=7),"-2",IF(OR(R513=8,R513=9),"-1",IF(OR(R513=10,R513=11),"0",IF(OR(R513=12,R513=13),"+1",IF(OR(R513=14,R513=15),"+2",IF(OR(R513=16,R513=17),"+3",IF(OR(R513=18,R513=19),"+4",IF(OR(R513=20,R513=21),"+5",IF(OR(R513=22,R513=23),"+6",IF(OR(R513=24,R513=25),"+7",IF(OR(R513=26,R513=27),"+8",IF(OR(R513=28,R513=29),"+9",IF(R513=30,"+10"," "))))))))))))))))</f>
        <v>+2</v>
      </c>
      <c r="T513" s="3" t="n">
        <v>9</v>
      </c>
      <c r="U513" s="1" t="str">
        <f aca="false">IF(T513=1,"-5",IF(OR(T513=2,T513=3),"-4",IF(OR(T513=4,T513=5),"-3",IF(OR(T513=6,T513=7),"-2",IF(OR(T513=8,T513=9),"-1",IF(OR(T513=10,T513=11),"0",IF(OR(T513=12,T513=13),"+1",IF(OR(T513=14,T513=15),"+2",IF(OR(T513=16,T513=17),"+3",IF(OR(T513=18,T513=19),"+4",IF(OR(T513=20,T513=21),"+5",IF(OR(T513=22,T513=23),"+6",IF(OR(T513=24,T513=25),"+7",IF(OR(T513=26,T513=27),"+8",IF(OR(T513=28,T513=29),"+9",IF(T513=30,"+10"," "))))))))))))))))</f>
        <v>-1</v>
      </c>
      <c r="V513" s="3" t="s">
        <v>2448</v>
      </c>
      <c r="W513" s="3" t="s">
        <v>2449</v>
      </c>
      <c r="X513" s="11" t="s">
        <v>2450</v>
      </c>
      <c r="Y513" s="11" t="s">
        <v>2451</v>
      </c>
      <c r="Z513" s="11" t="s">
        <v>37</v>
      </c>
      <c r="AA513" s="12" t="s">
        <v>37</v>
      </c>
    </row>
    <row r="514" customFormat="false" ht="16.4" hidden="false" customHeight="false" outlineLevel="0" collapsed="false">
      <c r="A514" s="7" t="s">
        <v>2452</v>
      </c>
      <c r="B514" s="1" t="s">
        <v>221</v>
      </c>
      <c r="C514" s="1" t="s">
        <v>222</v>
      </c>
      <c r="D514" s="8" t="n">
        <v>18</v>
      </c>
      <c r="E514" s="9" t="n">
        <f aca="false">VLOOKUP(D514,'[1]REF Tables'!$A$2:$B$40,2)</f>
        <v>20000</v>
      </c>
      <c r="F514" s="1" t="s">
        <v>121</v>
      </c>
      <c r="G514" s="10" t="n">
        <v>19</v>
      </c>
      <c r="H514" s="1" t="s">
        <v>2453</v>
      </c>
      <c r="I514" s="1" t="s">
        <v>1314</v>
      </c>
      <c r="J514" s="10" t="n">
        <v>10</v>
      </c>
      <c r="K514" s="1" t="str">
        <f aca="false">IF(J514=1,"-5",IF(OR(J514=2,J514=3),"-4",IF(OR(J514=4,J514=5),"-3",IF(OR(J514=6,J514=7),"-2",IF(OR(J514=8,J514=9),"-1",IF(OR(J514=10,J514=11),"0",IF(OR(J514=12,J514=13),"+1",IF(OR(J514=14,J514=15),"+2",IF(OR(J514=16,J514=17),"+3",IF(OR(J514=18,J514=19),"+4",IF(OR(J514=20,J514=21),"+5",IF(OR(J514=22,J514=23),"+6",IF(OR(J514=24,J514=25),"+7",IF(OR(J514=26,J514=27),"+8",IF(OR(J514=28,J514=29),"+9",IF(J514=30,"+10"," "))))))))))))))))</f>
        <v>0</v>
      </c>
      <c r="L514" s="10" t="n">
        <v>3</v>
      </c>
      <c r="M514" s="1" t="str">
        <f aca="false">IF(L514=1,"-5",IF(OR(L514=2,L514=3),"-4",IF(OR(L514=4,L514=5),"-3",IF(OR(L514=6,L514=7),"-2",IF(OR(L514=8,L514=9),"-1",IF(OR(L514=10,L514=11),"0",IF(OR(L514=12,L514=13),"+1",IF(OR(L514=14,L514=15),"+2",IF(OR(L514=16,L514=17),"+3",IF(OR(L514=18,L514=19),"+4",IF(OR(L514=20,L514=21),"+5",IF(OR(L514=22,L514=23),"+6",IF(OR(L514=24,L514=25),"+7",IF(OR(L514=26,L514=27),"+8",IF(OR(L514=28,L514=29),"+9",IF(L514=30,"+10"," "))))))))))))))))</f>
        <v>-4</v>
      </c>
      <c r="N514" s="10" t="n">
        <v>23</v>
      </c>
      <c r="O514" s="1" t="str">
        <f aca="false">IF(N514=1,"-5",IF(OR(N514=2,N514=3),"-4",IF(OR(N514=4,N514=5),"-3",IF(OR(N514=6,N514=7),"-2",IF(OR(N514=8,N514=9),"-1",IF(OR(N514=10,N514=11),"0",IF(OR(N514=12,N514=13),"+1",IF(OR(N514=14,N514=15),"+2",IF(OR(N514=16,N514=17),"+3",IF(OR(N514=18,N514=19),"+4",IF(OR(N514=20,N514=21),"+5",IF(OR(N514=22,N514=23),"+6",IF(OR(N514=24,N514=25),"+7",IF(OR(N514=26,N514=27),"+8",IF(OR(N514=28,N514=29),"+9",IF(N514=30,"+10"," "))))))))))))))))</f>
        <v>+6</v>
      </c>
      <c r="P514" s="10" t="n">
        <v>25</v>
      </c>
      <c r="Q514" s="1" t="str">
        <f aca="false">IF(P514=1,"-5",IF(OR(P514=2,P514=3),"-4",IF(OR(P514=4,P514=5),"-3",IF(OR(P514=6,P514=7),"-2",IF(OR(P514=8,P514=9),"-1",IF(OR(P514=10,P514=11),"0",IF(OR(P514=12,P514=13),"+1",IF(OR(P514=14,P514=15),"+2",IF(OR(P514=16,P514=17),"+3",IF(OR(P514=18,P514=19),"+4",IF(OR(P514=20,P514=21),"+5",IF(OR(P514=22,P514=23),"+6",IF(OR(P514=24,P514=25),"+7",IF(OR(P514=26,P514=27),"+8",IF(OR(P514=28,P514=29),"+9",IF(P514=30,"+10"," "))))))))))))))))</f>
        <v>+7</v>
      </c>
      <c r="R514" s="10" t="n">
        <v>24</v>
      </c>
      <c r="S514" s="1" t="str">
        <f aca="false">IF(R514=1,"-5",IF(OR(R514=2,R514=3),"-4",IF(OR(R514=4,R514=5),"-3",IF(OR(R514=6,R514=7),"-2",IF(OR(R514=8,R514=9),"-1",IF(OR(R514=10,R514=11),"0",IF(OR(R514=12,R514=13),"+1",IF(OR(R514=14,R514=15),"+2",IF(OR(R514=16,R514=17),"+3",IF(OR(R514=18,R514=19),"+4",IF(OR(R514=20,R514=21),"+5",IF(OR(R514=22,R514=23),"+6",IF(OR(R514=24,R514=25),"+7",IF(OR(R514=26,R514=27),"+8",IF(OR(R514=28,R514=29),"+9",IF(R514=30,"+10"," "))))))))))))))))</f>
        <v>+7</v>
      </c>
      <c r="T514" s="10" t="n">
        <v>25</v>
      </c>
      <c r="U514" s="1" t="str">
        <f aca="false">IF(T514=1,"-5",IF(OR(T514=2,T514=3),"-4",IF(OR(T514=4,T514=5),"-3",IF(OR(T514=6,T514=7),"-2",IF(OR(T514=8,T514=9),"-1",IF(OR(T514=10,T514=11),"0",IF(OR(T514=12,T514=13),"+1",IF(OR(T514=14,T514=15),"+2",IF(OR(T514=16,T514=17),"+3",IF(OR(T514=18,T514=19),"+4",IF(OR(T514=20,T514=21),"+5",IF(OR(T514=22,T514=23),"+6",IF(OR(T514=24,T514=25),"+7",IF(OR(T514=26,T514=27),"+8",IF(OR(T514=28,T514=29),"+9",IF(T514=30,"+10"," "))))))))))))))))</f>
        <v>+7</v>
      </c>
      <c r="V514" s="1" t="s">
        <v>2454</v>
      </c>
      <c r="W514" s="1" t="s">
        <v>174</v>
      </c>
      <c r="X514" s="11" t="s">
        <v>2455</v>
      </c>
      <c r="Y514" s="11" t="s">
        <v>2456</v>
      </c>
      <c r="Z514" s="11" t="s">
        <v>37</v>
      </c>
      <c r="AA514" s="12" t="s">
        <v>2457</v>
      </c>
    </row>
    <row r="515" customFormat="false" ht="16.4" hidden="false" customHeight="false" outlineLevel="0" collapsed="false">
      <c r="A515" s="1" t="s">
        <v>2458</v>
      </c>
      <c r="B515" s="1" t="s">
        <v>641</v>
      </c>
      <c r="C515" s="1" t="s">
        <v>29</v>
      </c>
      <c r="D515" s="5" t="n">
        <v>1</v>
      </c>
      <c r="E515" s="3" t="n">
        <f aca="false">VLOOKUP(D515,'[1]REF Tables'!$A$2:$B$40,2)</f>
        <v>200</v>
      </c>
      <c r="F515" s="1" t="s">
        <v>30</v>
      </c>
      <c r="G515" s="1" t="n">
        <v>16</v>
      </c>
      <c r="H515" s="1" t="s">
        <v>1082</v>
      </c>
      <c r="I515" s="3" t="s">
        <v>42</v>
      </c>
      <c r="J515" s="1" t="n">
        <v>13</v>
      </c>
      <c r="K515" s="1" t="str">
        <f aca="false">IF(J515=1,"-5",IF(OR(J515=2,J515=3),"-4",IF(OR(J515=4,J515=5),"-3",IF(OR(J515=6,J515=7),"-2",IF(OR(J515=8,J515=9),"-1",IF(OR(J515=10,J515=11),"0",IF(OR(J515=12,J515=13),"+1",IF(OR(J515=14,J515=15),"+2",IF(OR(J515=16,J515=17),"+3",IF(OR(J515=18,J515=19),"+4",IF(OR(J515=20,J515=21),"+5",IF(OR(J515=22,J515=23),"+6",IF(OR(J515=24,J515=25),"+7",IF(OR(J515=26,J515=27),"+8",IF(OR(J515=28,J515=29),"+9",IF(J515=30,"+10"," "))))))))))))))))</f>
        <v>+1</v>
      </c>
      <c r="L515" s="1" t="n">
        <v>10</v>
      </c>
      <c r="M515" s="1" t="str">
        <f aca="false">IF(L515=1,"-5",IF(OR(L515=2,L515=3),"-4",IF(OR(L515=4,L515=5),"-3",IF(OR(L515=6,L515=7),"-2",IF(OR(L515=8,L515=9),"-1",IF(OR(L515=10,L515=11),"0",IF(OR(L515=12,L515=13),"+1",IF(OR(L515=14,L515=15),"+2",IF(OR(L515=16,L515=17),"+3",IF(OR(L515=18,L515=19),"+4",IF(OR(L515=20,L515=21),"+5",IF(OR(L515=22,L515=23),"+6",IF(OR(L515=24,L515=25),"+7",IF(OR(L515=26,L515=27),"+8",IF(OR(L515=28,L515=29),"+9",IF(L515=30,"+10"," "))))))))))))))))</f>
        <v>0</v>
      </c>
      <c r="N515" s="1" t="n">
        <v>12</v>
      </c>
      <c r="O515" s="1" t="str">
        <f aca="false">IF(N515=1,"-5",IF(OR(N515=2,N515=3),"-4",IF(OR(N515=4,N515=5),"-3",IF(OR(N515=6,N515=7),"-2",IF(OR(N515=8,N515=9),"-1",IF(OR(N515=10,N515=11),"0",IF(OR(N515=12,N515=13),"+1",IF(OR(N515=14,N515=15),"+2",IF(OR(N515=16,N515=17),"+3",IF(OR(N515=18,N515=19),"+4",IF(OR(N515=20,N515=21),"+5",IF(OR(N515=22,N515=23),"+6",IF(OR(N515=24,N515=25),"+7",IF(OR(N515=26,N515=27),"+8",IF(OR(N515=28,N515=29),"+9",IF(N515=30,"+10"," "))))))))))))))))</f>
        <v>+1</v>
      </c>
      <c r="P515" s="1" t="n">
        <v>10</v>
      </c>
      <c r="Q515" s="1" t="str">
        <f aca="false">IF(P515=1,"-5",IF(OR(P515=2,P515=3),"-4",IF(OR(P515=4,P515=5),"-3",IF(OR(P515=6,P515=7),"-2",IF(OR(P515=8,P515=9),"-1",IF(OR(P515=10,P515=11),"0",IF(OR(P515=12,P515=13),"+1",IF(OR(P515=14,P515=15),"+2",IF(OR(P515=16,P515=17),"+3",IF(OR(P515=18,P515=19),"+4",IF(OR(P515=20,P515=21),"+5",IF(OR(P515=22,P515=23),"+6",IF(OR(P515=24,P515=25),"+7",IF(OR(P515=26,P515=27),"+8",IF(OR(P515=28,P515=29),"+9",IF(P515=30,"+10"," "))))))))))))))))</f>
        <v>0</v>
      </c>
      <c r="R515" s="1" t="n">
        <v>11</v>
      </c>
      <c r="S515" s="1" t="str">
        <f aca="false">IF(R515=1,"-5",IF(OR(R515=2,R515=3),"-4",IF(OR(R515=4,R515=5),"-3",IF(OR(R515=6,R515=7),"-2",IF(OR(R515=8,R515=9),"-1",IF(OR(R515=10,R515=11),"0",IF(OR(R515=12,R515=13),"+1",IF(OR(R515=14,R515=15),"+2",IF(OR(R515=16,R515=17),"+3",IF(OR(R515=18,R515=19),"+4",IF(OR(R515=20,R515=21),"+5",IF(OR(R515=22,R515=23),"+6",IF(OR(R515=24,R515=25),"+7",IF(OR(R515=26,R515=27),"+8",IF(OR(R515=28,R515=29),"+9",IF(R515=30,"+10"," "))))))))))))))))</f>
        <v>0</v>
      </c>
      <c r="T515" s="1" t="n">
        <v>10</v>
      </c>
      <c r="U515" s="1" t="str">
        <f aca="false">IF(T515=1,"-5",IF(OR(T515=2,T515=3),"-4",IF(OR(T515=4,T515=5),"-3",IF(OR(T515=6,T515=7),"-2",IF(OR(T515=8,T515=9),"-1",IF(OR(T515=10,T515=11),"0",IF(OR(T515=12,T515=13),"+1",IF(OR(T515=14,T515=15),"+2",IF(OR(T515=16,T515=17),"+3",IF(OR(T515=18,T515=19),"+4",IF(OR(T515=20,T515=21),"+5",IF(OR(T515=22,T515=23),"+6",IF(OR(T515=24,T515=25),"+7",IF(OR(T515=26,T515=27),"+8",IF(OR(T515=28,T515=29),"+9",IF(T515=30,"+10"," "))))))))))))))))</f>
        <v>0</v>
      </c>
      <c r="V515" s="1" t="s">
        <v>2459</v>
      </c>
      <c r="W515" s="1" t="s">
        <v>271</v>
      </c>
      <c r="X515" s="2" t="s">
        <v>405</v>
      </c>
      <c r="Y515" s="2" t="s">
        <v>2460</v>
      </c>
      <c r="Z515" s="2" t="s">
        <v>2461</v>
      </c>
      <c r="AA515" s="1" t="s">
        <v>37</v>
      </c>
    </row>
    <row r="516" customFormat="false" ht="16.4" hidden="false" customHeight="false" outlineLevel="0" collapsed="false">
      <c r="A516" s="15" t="s">
        <v>2462</v>
      </c>
      <c r="B516" s="3" t="s">
        <v>59</v>
      </c>
      <c r="C516" s="3" t="s">
        <v>37</v>
      </c>
      <c r="D516" s="16" t="n">
        <v>7</v>
      </c>
      <c r="E516" s="6" t="n">
        <f aca="false">VLOOKUP(D516,'[1]REF Tables'!$A$2:$B$40,2)</f>
        <v>2900</v>
      </c>
      <c r="F516" s="3" t="s">
        <v>121</v>
      </c>
      <c r="G516" s="3" t="n">
        <v>12</v>
      </c>
      <c r="H516" s="3" t="s">
        <v>2463</v>
      </c>
      <c r="I516" s="3" t="s">
        <v>153</v>
      </c>
      <c r="J516" s="3" t="n">
        <v>23</v>
      </c>
      <c r="K516" s="1" t="str">
        <f aca="false">IF(J516=1,"-5",IF(OR(J516=2,J516=3),"-4",IF(OR(J516=4,J516=5),"-3",IF(OR(J516=6,J516=7),"-2",IF(OR(J516=8,J516=9),"-1",IF(OR(J516=10,J516=11),"0",IF(OR(J516=12,J516=13),"+1",IF(OR(J516=14,J516=15),"+2",IF(OR(J516=16,J516=17),"+3",IF(OR(J516=18,J516=19),"+4",IF(OR(J516=20,J516=21),"+5",IF(OR(J516=22,J516=23),"+6",IF(OR(J516=24,J516=25),"+7",IF(OR(J516=26,J516=27),"+8",IF(OR(J516=28,J516=29),"+9",IF(J516=30,"+10"," "))))))))))))))))</f>
        <v>+6</v>
      </c>
      <c r="L516" s="3" t="n">
        <v>14</v>
      </c>
      <c r="M516" s="1" t="str">
        <f aca="false">IF(L516=1,"-5",IF(OR(L516=2,L516=3),"-4",IF(OR(L516=4,L516=5),"-3",IF(OR(L516=6,L516=7),"-2",IF(OR(L516=8,L516=9),"-1",IF(OR(L516=10,L516=11),"0",IF(OR(L516=12,L516=13),"+1",IF(OR(L516=14,L516=15),"+2",IF(OR(L516=16,L516=17),"+3",IF(OR(L516=18,L516=19),"+4",IF(OR(L516=20,L516=21),"+5",IF(OR(L516=22,L516=23),"+6",IF(OR(L516=24,L516=25),"+7",IF(OR(L516=26,L516=27),"+8",IF(OR(L516=28,L516=29),"+9",IF(L516=30,"+10"," "))))))))))))))))</f>
        <v>+2</v>
      </c>
      <c r="N516" s="3" t="n">
        <v>18</v>
      </c>
      <c r="O516" s="1" t="str">
        <f aca="false">IF(N516=1,"-5",IF(OR(N516=2,N516=3),"-4",IF(OR(N516=4,N516=5),"-3",IF(OR(N516=6,N516=7),"-2",IF(OR(N516=8,N516=9),"-1",IF(OR(N516=10,N516=11),"0",IF(OR(N516=12,N516=13),"+1",IF(OR(N516=14,N516=15),"+2",IF(OR(N516=16,N516=17),"+3",IF(OR(N516=18,N516=19),"+4",IF(OR(N516=20,N516=21),"+5",IF(OR(N516=22,N516=23),"+6",IF(OR(N516=24,N516=25),"+7",IF(OR(N516=26,N516=27),"+8",IF(OR(N516=28,N516=29),"+9",IF(N516=30,"+10"," "))))))))))))))))</f>
        <v>+4</v>
      </c>
      <c r="P516" s="3" t="n">
        <v>7</v>
      </c>
      <c r="Q516" s="1" t="str">
        <f aca="false">IF(P516=1,"-5",IF(OR(P516=2,P516=3),"-4",IF(OR(P516=4,P516=5),"-3",IF(OR(P516=6,P516=7),"-2",IF(OR(P516=8,P516=9),"-1",IF(OR(P516=10,P516=11),"0",IF(OR(P516=12,P516=13),"+1",IF(OR(P516=14,P516=15),"+2",IF(OR(P516=16,P516=17),"+3",IF(OR(P516=18,P516=19),"+4",IF(OR(P516=20,P516=21),"+5",IF(OR(P516=22,P516=23),"+6",IF(OR(P516=24,P516=25),"+7",IF(OR(P516=26,P516=27),"+8",IF(OR(P516=28,P516=29),"+9",IF(P516=30,"+10"," "))))))))))))))))</f>
        <v>-2</v>
      </c>
      <c r="R516" s="3" t="n">
        <v>12</v>
      </c>
      <c r="S516" s="1" t="str">
        <f aca="false">IF(R516=1,"-5",IF(OR(R516=2,R516=3),"-4",IF(OR(R516=4,R516=5),"-3",IF(OR(R516=6,R516=7),"-2",IF(OR(R516=8,R516=9),"-1",IF(OR(R516=10,R516=11),"0",IF(OR(R516=12,R516=13),"+1",IF(OR(R516=14,R516=15),"+2",IF(OR(R516=16,R516=17),"+3",IF(OR(R516=18,R516=19),"+4",IF(OR(R516=20,R516=21),"+5",IF(OR(R516=22,R516=23),"+6",IF(OR(R516=24,R516=25),"+7",IF(OR(R516=26,R516=27),"+8",IF(OR(R516=28,R516=29),"+9",IF(R516=30,"+10"," "))))))))))))))))</f>
        <v>+1</v>
      </c>
      <c r="T516" s="3" t="n">
        <v>7</v>
      </c>
      <c r="U516" s="1" t="str">
        <f aca="false">IF(T516=1,"-5",IF(OR(T516=2,T516=3),"-4",IF(OR(T516=4,T516=5),"-3",IF(OR(T516=6,T516=7),"-2",IF(OR(T516=8,T516=9),"-1",IF(OR(T516=10,T516=11),"0",IF(OR(T516=12,T516=13),"+1",IF(OR(T516=14,T516=15),"+2",IF(OR(T516=16,T516=17),"+3",IF(OR(T516=18,T516=19),"+4",IF(OR(T516=20,T516=21),"+5",IF(OR(T516=22,T516=23),"+6",IF(OR(T516=24,T516=25),"+7",IF(OR(T516=26,T516=27),"+8",IF(OR(T516=28,T516=29),"+9",IF(T516=30,"+10"," "))))))))))))))))</f>
        <v>-2</v>
      </c>
      <c r="V516" s="3" t="s">
        <v>2464</v>
      </c>
      <c r="W516" s="3" t="s">
        <v>37</v>
      </c>
      <c r="X516" s="11" t="s">
        <v>2465</v>
      </c>
      <c r="Y516" s="11" t="s">
        <v>2466</v>
      </c>
      <c r="Z516" s="11" t="s">
        <v>37</v>
      </c>
      <c r="AA516" s="12" t="s">
        <v>37</v>
      </c>
    </row>
    <row r="517" customFormat="false" ht="16.4" hidden="false" customHeight="false" outlineLevel="0" collapsed="false">
      <c r="A517" s="15" t="s">
        <v>2467</v>
      </c>
      <c r="B517" s="3" t="s">
        <v>48</v>
      </c>
      <c r="C517" s="3" t="s">
        <v>590</v>
      </c>
      <c r="D517" s="16" t="n">
        <v>7</v>
      </c>
      <c r="E517" s="6" t="n">
        <f aca="false">VLOOKUP(D517,'[1]REF Tables'!$A$2:$B$40,2)</f>
        <v>2900</v>
      </c>
      <c r="F517" s="3" t="s">
        <v>50</v>
      </c>
      <c r="G517" s="3" t="n">
        <v>15</v>
      </c>
      <c r="H517" s="3" t="s">
        <v>770</v>
      </c>
      <c r="I517" s="3" t="s">
        <v>42</v>
      </c>
      <c r="J517" s="3" t="n">
        <v>20</v>
      </c>
      <c r="K517" s="1" t="str">
        <f aca="false">IF(J517=1,"-5",IF(OR(J517=2,J517=3),"-4",IF(OR(J517=4,J517=5),"-3",IF(OR(J517=6,J517=7),"-2",IF(OR(J517=8,J517=9),"-1",IF(OR(J517=10,J517=11),"0",IF(OR(J517=12,J517=13),"+1",IF(OR(J517=14,J517=15),"+2",IF(OR(J517=16,J517=17),"+3",IF(OR(J517=18,J517=19),"+4",IF(OR(J517=20,J517=21),"+5",IF(OR(J517=22,J517=23),"+6",IF(OR(J517=24,J517=25),"+7",IF(OR(J517=26,J517=27),"+8",IF(OR(J517=28,J517=29),"+9",IF(J517=30,"+10"," "))))))))))))))))</f>
        <v>+5</v>
      </c>
      <c r="L517" s="3" t="n">
        <v>15</v>
      </c>
      <c r="M517" s="1" t="str">
        <f aca="false">IF(L517=1,"-5",IF(OR(L517=2,L517=3),"-4",IF(OR(L517=4,L517=5),"-3",IF(OR(L517=6,L517=7),"-2",IF(OR(L517=8,L517=9),"-1",IF(OR(L517=10,L517=11),"0",IF(OR(L517=12,L517=13),"+1",IF(OR(L517=14,L517=15),"+2",IF(OR(L517=16,L517=17),"+3",IF(OR(L517=18,L517=19),"+4",IF(OR(L517=20,L517=21),"+5",IF(OR(L517=22,L517=23),"+6",IF(OR(L517=24,L517=25),"+7",IF(OR(L517=26,L517=27),"+8",IF(OR(L517=28,L517=29),"+9",IF(L517=30,"+10"," "))))))))))))))))</f>
        <v>+2</v>
      </c>
      <c r="N517" s="3" t="n">
        <v>18</v>
      </c>
      <c r="O517" s="1" t="str">
        <f aca="false">IF(N517=1,"-5",IF(OR(N517=2,N517=3),"-4",IF(OR(N517=4,N517=5),"-3",IF(OR(N517=6,N517=7),"-2",IF(OR(N517=8,N517=9),"-1",IF(OR(N517=10,N517=11),"0",IF(OR(N517=12,N517=13),"+1",IF(OR(N517=14,N517=15),"+2",IF(OR(N517=16,N517=17),"+3",IF(OR(N517=18,N517=19),"+4",IF(OR(N517=20,N517=21),"+5",IF(OR(N517=22,N517=23),"+6",IF(OR(N517=24,N517=25),"+7",IF(OR(N517=26,N517=27),"+8",IF(OR(N517=28,N517=29),"+9",IF(N517=30,"+10"," "))))))))))))))))</f>
        <v>+4</v>
      </c>
      <c r="P517" s="3" t="n">
        <v>7</v>
      </c>
      <c r="Q517" s="1" t="str">
        <f aca="false">IF(P517=1,"-5",IF(OR(P517=2,P517=3),"-4",IF(OR(P517=4,P517=5),"-3",IF(OR(P517=6,P517=7),"-2",IF(OR(P517=8,P517=9),"-1",IF(OR(P517=10,P517=11),"0",IF(OR(P517=12,P517=13),"+1",IF(OR(P517=14,P517=15),"+2",IF(OR(P517=16,P517=17),"+3",IF(OR(P517=18,P517=19),"+4",IF(OR(P517=20,P517=21),"+5",IF(OR(P517=22,P517=23),"+6",IF(OR(P517=24,P517=25),"+7",IF(OR(P517=26,P517=27),"+8",IF(OR(P517=28,P517=29),"+9",IF(P517=30,"+10"," "))))))))))))))))</f>
        <v>-2</v>
      </c>
      <c r="R517" s="3" t="n">
        <v>7</v>
      </c>
      <c r="S517" s="1" t="str">
        <f aca="false">IF(R517=1,"-5",IF(OR(R517=2,R517=3),"-4",IF(OR(R517=4,R517=5),"-3",IF(OR(R517=6,R517=7),"-2",IF(OR(R517=8,R517=9),"-1",IF(OR(R517=10,R517=11),"0",IF(OR(R517=12,R517=13),"+1",IF(OR(R517=14,R517=15),"+2",IF(OR(R517=16,R517=17),"+3",IF(OR(R517=18,R517=19),"+4",IF(OR(R517=20,R517=21),"+5",IF(OR(R517=22,R517=23),"+6",IF(OR(R517=24,R517=25),"+7",IF(OR(R517=26,R517=27),"+8",IF(OR(R517=28,R517=29),"+9",IF(R517=30,"+10"," "))))))))))))))))</f>
        <v>-2</v>
      </c>
      <c r="T517" s="3" t="n">
        <v>9</v>
      </c>
      <c r="U517" s="1" t="str">
        <f aca="false">IF(T517=1,"-5",IF(OR(T517=2,T517=3),"-4",IF(OR(T517=4,T517=5),"-3",IF(OR(T517=6,T517=7),"-2",IF(OR(T517=8,T517=9),"-1",IF(OR(T517=10,T517=11),"0",IF(OR(T517=12,T517=13),"+1",IF(OR(T517=14,T517=15),"+2",IF(OR(T517=16,T517=17),"+3",IF(OR(T517=18,T517=19),"+4",IF(OR(T517=20,T517=21),"+5",IF(OR(T517=22,T517=23),"+6",IF(OR(T517=24,T517=25),"+7",IF(OR(T517=26,T517=27),"+8",IF(OR(T517=28,T517=29),"+9",IF(T517=30,"+10"," "))))))))))))))))</f>
        <v>-1</v>
      </c>
      <c r="V517" s="3" t="s">
        <v>1491</v>
      </c>
      <c r="W517" s="3" t="s">
        <v>2468</v>
      </c>
      <c r="X517" s="11" t="s">
        <v>2469</v>
      </c>
      <c r="Y517" s="11" t="s">
        <v>2470</v>
      </c>
      <c r="Z517" s="11" t="s">
        <v>37</v>
      </c>
      <c r="AA517" s="12" t="s">
        <v>37</v>
      </c>
    </row>
    <row r="518" customFormat="false" ht="16.4" hidden="false" customHeight="false" outlineLevel="0" collapsed="false">
      <c r="A518" s="15" t="s">
        <v>2471</v>
      </c>
      <c r="B518" s="3" t="s">
        <v>2472</v>
      </c>
      <c r="C518" s="3" t="s">
        <v>222</v>
      </c>
      <c r="D518" s="16" t="n">
        <v>10</v>
      </c>
      <c r="E518" s="6" t="n">
        <f aca="false">VLOOKUP(D518,'[1]REF Tables'!$A$2:$B$40,2)</f>
        <v>5900</v>
      </c>
      <c r="F518" s="3" t="s">
        <v>30</v>
      </c>
      <c r="G518" s="3" t="n">
        <v>18</v>
      </c>
      <c r="H518" s="3" t="s">
        <v>2473</v>
      </c>
      <c r="I518" s="3" t="s">
        <v>42</v>
      </c>
      <c r="J518" s="3" t="n">
        <v>20</v>
      </c>
      <c r="K518" s="1" t="str">
        <f aca="false">IF(J518=1,"-5",IF(OR(J518=2,J518=3),"-4",IF(OR(J518=4,J518=5),"-3",IF(OR(J518=6,J518=7),"-2",IF(OR(J518=8,J518=9),"-1",IF(OR(J518=10,J518=11),"0",IF(OR(J518=12,J518=13),"+1",IF(OR(J518=14,J518=15),"+2",IF(OR(J518=16,J518=17),"+3",IF(OR(J518=18,J518=19),"+4",IF(OR(J518=20,J518=21),"+5",IF(OR(J518=22,J518=23),"+6",IF(OR(J518=24,J518=25),"+7",IF(OR(J518=26,J518=27),"+8",IF(OR(J518=28,J518=29),"+9",IF(J518=30,"+10"," "))))))))))))))))</f>
        <v>+5</v>
      </c>
      <c r="L518" s="3" t="n">
        <v>15</v>
      </c>
      <c r="M518" s="1" t="str">
        <f aca="false">IF(L518=1,"-5",IF(OR(L518=2,L518=3),"-4",IF(OR(L518=4,L518=5),"-3",IF(OR(L518=6,L518=7),"-2",IF(OR(L518=8,L518=9),"-1",IF(OR(L518=10,L518=11),"0",IF(OR(L518=12,L518=13),"+1",IF(OR(L518=14,L518=15),"+2",IF(OR(L518=16,L518=17),"+3",IF(OR(L518=18,L518=19),"+4",IF(OR(L518=20,L518=21),"+5",IF(OR(L518=22,L518=23),"+6",IF(OR(L518=24,L518=25),"+7",IF(OR(L518=26,L518=27),"+8",IF(OR(L518=28,L518=29),"+9",IF(L518=30,"+10"," "))))))))))))))))</f>
        <v>+2</v>
      </c>
      <c r="N518" s="3" t="n">
        <v>19</v>
      </c>
      <c r="O518" s="1" t="str">
        <f aca="false">IF(N518=1,"-5",IF(OR(N518=2,N518=3),"-4",IF(OR(N518=4,N518=5),"-3",IF(OR(N518=6,N518=7),"-2",IF(OR(N518=8,N518=9),"-1",IF(OR(N518=10,N518=11),"0",IF(OR(N518=12,N518=13),"+1",IF(OR(N518=14,N518=15),"+2",IF(OR(N518=16,N518=17),"+3",IF(OR(N518=18,N518=19),"+4",IF(OR(N518=20,N518=21),"+5",IF(OR(N518=22,N518=23),"+6",IF(OR(N518=24,N518=25),"+7",IF(OR(N518=26,N518=27),"+8",IF(OR(N518=28,N518=29),"+9",IF(N518=30,"+10"," "))))))))))))))))</f>
        <v>+4</v>
      </c>
      <c r="P518" s="3" t="n">
        <v>15</v>
      </c>
      <c r="Q518" s="1" t="str">
        <f aca="false">IF(P518=1,"-5",IF(OR(P518=2,P518=3),"-4",IF(OR(P518=4,P518=5),"-3",IF(OR(P518=6,P518=7),"-2",IF(OR(P518=8,P518=9),"-1",IF(OR(P518=10,P518=11),"0",IF(OR(P518=12,P518=13),"+1",IF(OR(P518=14,P518=15),"+2",IF(OR(P518=16,P518=17),"+3",IF(OR(P518=18,P518=19),"+4",IF(OR(P518=20,P518=21),"+5",IF(OR(P518=22,P518=23),"+6",IF(OR(P518=24,P518=25),"+7",IF(OR(P518=26,P518=27),"+8",IF(OR(P518=28,P518=29),"+9",IF(P518=30,"+10"," "))))))))))))))))</f>
        <v>+2</v>
      </c>
      <c r="R518" s="3" t="n">
        <v>10</v>
      </c>
      <c r="S518" s="1" t="str">
        <f aca="false">IF(R518=1,"-5",IF(OR(R518=2,R518=3),"-4",IF(OR(R518=4,R518=5),"-3",IF(OR(R518=6,R518=7),"-2",IF(OR(R518=8,R518=9),"-1",IF(OR(R518=10,R518=11),"0",IF(OR(R518=12,R518=13),"+1",IF(OR(R518=14,R518=15),"+2",IF(OR(R518=16,R518=17),"+3",IF(OR(R518=18,R518=19),"+4",IF(OR(R518=20,R518=21),"+5",IF(OR(R518=22,R518=23),"+6",IF(OR(R518=24,R518=25),"+7",IF(OR(R518=26,R518=27),"+8",IF(OR(R518=28,R518=29),"+9",IF(R518=30,"+10"," "))))))))))))))))</f>
        <v>0</v>
      </c>
      <c r="T518" s="3" t="n">
        <v>16</v>
      </c>
      <c r="U518" s="1" t="str">
        <f aca="false">IF(T518=1,"-5",IF(OR(T518=2,T518=3),"-4",IF(OR(T518=4,T518=5),"-3",IF(OR(T518=6,T518=7),"-2",IF(OR(T518=8,T518=9),"-1",IF(OR(T518=10,T518=11),"0",IF(OR(T518=12,T518=13),"+1",IF(OR(T518=14,T518=15),"+2",IF(OR(T518=16,T518=17),"+3",IF(OR(T518=18,T518=19),"+4",IF(OR(T518=20,T518=21),"+5",IF(OR(T518=22,T518=23),"+6",IF(OR(T518=24,T518=25),"+7",IF(OR(T518=26,T518=27),"+8",IF(OR(T518=28,T518=29),"+9",IF(T518=30,"+10"," "))))))))))))))))</f>
        <v>+3</v>
      </c>
      <c r="V518" s="3" t="s">
        <v>2474</v>
      </c>
      <c r="W518" s="3" t="s">
        <v>2468</v>
      </c>
      <c r="X518" s="11" t="s">
        <v>2475</v>
      </c>
      <c r="Y518" s="11" t="s">
        <v>2476</v>
      </c>
      <c r="Z518" s="11" t="s">
        <v>37</v>
      </c>
      <c r="AA518" s="12" t="s">
        <v>37</v>
      </c>
    </row>
    <row r="519" customFormat="false" ht="16.4" hidden="false" customHeight="false" outlineLevel="0" collapsed="false">
      <c r="A519" s="15" t="s">
        <v>2477</v>
      </c>
      <c r="B519" s="3" t="s">
        <v>2472</v>
      </c>
      <c r="C519" s="3" t="s">
        <v>590</v>
      </c>
      <c r="D519" s="16" t="n">
        <v>9</v>
      </c>
      <c r="E519" s="6" t="n">
        <f aca="false">VLOOKUP(D519,'[1]REF Tables'!$A$2:$B$40,2)</f>
        <v>5000</v>
      </c>
      <c r="F519" s="3" t="s">
        <v>30</v>
      </c>
      <c r="G519" s="3" t="n">
        <v>18</v>
      </c>
      <c r="H519" s="3" t="s">
        <v>1855</v>
      </c>
      <c r="I519" s="3" t="s">
        <v>42</v>
      </c>
      <c r="J519" s="3" t="n">
        <v>17</v>
      </c>
      <c r="K519" s="1" t="str">
        <f aca="false">IF(J519=1,"-5",IF(OR(J519=2,J519=3),"-4",IF(OR(J519=4,J519=5),"-3",IF(OR(J519=6,J519=7),"-2",IF(OR(J519=8,J519=9),"-1",IF(OR(J519=10,J519=11),"0",IF(OR(J519=12,J519=13),"+1",IF(OR(J519=14,J519=15),"+2",IF(OR(J519=16,J519=17),"+3",IF(OR(J519=18,J519=19),"+4",IF(OR(J519=20,J519=21),"+5",IF(OR(J519=22,J519=23),"+6",IF(OR(J519=24,J519=25),"+7",IF(OR(J519=26,J519=27),"+8",IF(OR(J519=28,J519=29),"+9",IF(J519=30,"+10"," "))))))))))))))))</f>
        <v>+3</v>
      </c>
      <c r="L519" s="3" t="n">
        <v>17</v>
      </c>
      <c r="M519" s="1" t="str">
        <f aca="false">IF(L519=1,"-5",IF(OR(L519=2,L519=3),"-4",IF(OR(L519=4,L519=5),"-3",IF(OR(L519=6,L519=7),"-2",IF(OR(L519=8,L519=9),"-1",IF(OR(L519=10,L519=11),"0",IF(OR(L519=12,L519=13),"+1",IF(OR(L519=14,L519=15),"+2",IF(OR(L519=16,L519=17),"+3",IF(OR(L519=18,L519=19),"+4",IF(OR(L519=20,L519=21),"+5",IF(OR(L519=22,L519=23),"+6",IF(OR(L519=24,L519=25),"+7",IF(OR(L519=26,L519=27),"+8",IF(OR(L519=28,L519=29),"+9",IF(L519=30,"+10"," "))))))))))))))))</f>
        <v>+3</v>
      </c>
      <c r="N519" s="3" t="n">
        <v>16</v>
      </c>
      <c r="O519" s="1" t="str">
        <f aca="false">IF(N519=1,"-5",IF(OR(N519=2,N519=3),"-4",IF(OR(N519=4,N519=5),"-3",IF(OR(N519=6,N519=7),"-2",IF(OR(N519=8,N519=9),"-1",IF(OR(N519=10,N519=11),"0",IF(OR(N519=12,N519=13),"+1",IF(OR(N519=14,N519=15),"+2",IF(OR(N519=16,N519=17),"+3",IF(OR(N519=18,N519=19),"+4",IF(OR(N519=20,N519=21),"+5",IF(OR(N519=22,N519=23),"+6",IF(OR(N519=24,N519=25),"+7",IF(OR(N519=26,N519=27),"+8",IF(OR(N519=28,N519=29),"+9",IF(N519=30,"+10"," "))))))))))))))))</f>
        <v>+3</v>
      </c>
      <c r="P519" s="3" t="n">
        <v>13</v>
      </c>
      <c r="Q519" s="1" t="str">
        <f aca="false">IF(P519=1,"-5",IF(OR(P519=2,P519=3),"-4",IF(OR(P519=4,P519=5),"-3",IF(OR(P519=6,P519=7),"-2",IF(OR(P519=8,P519=9),"-1",IF(OR(P519=10,P519=11),"0",IF(OR(P519=12,P519=13),"+1",IF(OR(P519=14,P519=15),"+2",IF(OR(P519=16,P519=17),"+3",IF(OR(P519=18,P519=19),"+4",IF(OR(P519=20,P519=21),"+5",IF(OR(P519=22,P519=23),"+6",IF(OR(P519=24,P519=25),"+7",IF(OR(P519=26,P519=27),"+8",IF(OR(P519=28,P519=29),"+9",IF(P519=30,"+10"," "))))))))))))))))</f>
        <v>+1</v>
      </c>
      <c r="R519" s="3" t="n">
        <v>8</v>
      </c>
      <c r="S519" s="1" t="str">
        <f aca="false">IF(R519=1,"-5",IF(OR(R519=2,R519=3),"-4",IF(OR(R519=4,R519=5),"-3",IF(OR(R519=6,R519=7),"-2",IF(OR(R519=8,R519=9),"-1",IF(OR(R519=10,R519=11),"0",IF(OR(R519=12,R519=13),"+1",IF(OR(R519=14,R519=15),"+2",IF(OR(R519=16,R519=17),"+3",IF(OR(R519=18,R519=19),"+4",IF(OR(R519=20,R519=21),"+5",IF(OR(R519=22,R519=23),"+6",IF(OR(R519=24,R519=25),"+7",IF(OR(R519=26,R519=27),"+8",IF(OR(R519=28,R519=29),"+9",IF(R519=30,"+10"," "))))))))))))))))</f>
        <v>-1</v>
      </c>
      <c r="T519" s="3" t="n">
        <v>14</v>
      </c>
      <c r="U519" s="1" t="str">
        <f aca="false">IF(T519=1,"-5",IF(OR(T519=2,T519=3),"-4",IF(OR(T519=4,T519=5),"-3",IF(OR(T519=6,T519=7),"-2",IF(OR(T519=8,T519=9),"-1",IF(OR(T519=10,T519=11),"0",IF(OR(T519=12,T519=13),"+1",IF(OR(T519=14,T519=15),"+2",IF(OR(T519=16,T519=17),"+3",IF(OR(T519=18,T519=19),"+4",IF(OR(T519=20,T519=21),"+5",IF(OR(T519=22,T519=23),"+6",IF(OR(T519=24,T519=25),"+7",IF(OR(T519=26,T519=27),"+8",IF(OR(T519=28,T519=29),"+9",IF(T519=30,"+10"," "))))))))))))))))</f>
        <v>+2</v>
      </c>
      <c r="V519" s="3" t="s">
        <v>2478</v>
      </c>
      <c r="W519" s="3" t="s">
        <v>2468</v>
      </c>
      <c r="X519" s="11" t="s">
        <v>2479</v>
      </c>
      <c r="Y519" s="11" t="s">
        <v>2480</v>
      </c>
      <c r="Z519" s="11" t="s">
        <v>37</v>
      </c>
      <c r="AA519" s="12" t="s">
        <v>37</v>
      </c>
    </row>
    <row r="520" customFormat="false" ht="16.4" hidden="false" customHeight="false" outlineLevel="0" collapsed="false">
      <c r="A520" s="15" t="s">
        <v>2481</v>
      </c>
      <c r="B520" s="3" t="s">
        <v>48</v>
      </c>
      <c r="C520" s="3" t="s">
        <v>590</v>
      </c>
      <c r="D520" s="16" t="n">
        <v>5</v>
      </c>
      <c r="E520" s="6" t="n">
        <f aca="false">VLOOKUP(D520,'[1]REF Tables'!$A$2:$B$40,2)</f>
        <v>1800</v>
      </c>
      <c r="F520" s="3" t="s">
        <v>50</v>
      </c>
      <c r="G520" s="3" t="n">
        <v>14</v>
      </c>
      <c r="H520" s="3" t="s">
        <v>533</v>
      </c>
      <c r="I520" s="3" t="s">
        <v>42</v>
      </c>
      <c r="J520" s="3" t="n">
        <v>16</v>
      </c>
      <c r="K520" s="1" t="str">
        <f aca="false">IF(J520=1,"-5",IF(OR(J520=2,J520=3),"-4",IF(OR(J520=4,J520=5),"-3",IF(OR(J520=6,J520=7),"-2",IF(OR(J520=8,J520=9),"-1",IF(OR(J520=10,J520=11),"0",IF(OR(J520=12,J520=13),"+1",IF(OR(J520=14,J520=15),"+2",IF(OR(J520=16,J520=17),"+3",IF(OR(J520=18,J520=19),"+4",IF(OR(J520=20,J520=21),"+5",IF(OR(J520=22,J520=23),"+6",IF(OR(J520=24,J520=25),"+7",IF(OR(J520=26,J520=27),"+8",IF(OR(J520=28,J520=29),"+9",IF(J520=30,"+10"," "))))))))))))))))</f>
        <v>+3</v>
      </c>
      <c r="L520" s="3" t="n">
        <v>12</v>
      </c>
      <c r="M520" s="1" t="str">
        <f aca="false">IF(L520=1,"-5",IF(OR(L520=2,L520=3),"-4",IF(OR(L520=4,L520=5),"-3",IF(OR(L520=6,L520=7),"-2",IF(OR(L520=8,L520=9),"-1",IF(OR(L520=10,L520=11),"0",IF(OR(L520=12,L520=13),"+1",IF(OR(L520=14,L520=15),"+2",IF(OR(L520=16,L520=17),"+3",IF(OR(L520=18,L520=19),"+4",IF(OR(L520=20,L520=21),"+5",IF(OR(L520=22,L520=23),"+6",IF(OR(L520=24,L520=25),"+7",IF(OR(L520=26,L520=27),"+8",IF(OR(L520=28,L520=29),"+9",IF(L520=30,"+10"," "))))))))))))))))</f>
        <v>+1</v>
      </c>
      <c r="N520" s="3" t="n">
        <v>16</v>
      </c>
      <c r="O520" s="1" t="str">
        <f aca="false">IF(N520=1,"-5",IF(OR(N520=2,N520=3),"-4",IF(OR(N520=4,N520=5),"-3",IF(OR(N520=6,N520=7),"-2",IF(OR(N520=8,N520=9),"-1",IF(OR(N520=10,N520=11),"0",IF(OR(N520=12,N520=13),"+1",IF(OR(N520=14,N520=15),"+2",IF(OR(N520=16,N520=17),"+3",IF(OR(N520=18,N520=19),"+4",IF(OR(N520=20,N520=21),"+5",IF(OR(N520=22,N520=23),"+6",IF(OR(N520=24,N520=25),"+7",IF(OR(N520=26,N520=27),"+8",IF(OR(N520=28,N520=29),"+9",IF(N520=30,"+10"," "))))))))))))))))</f>
        <v>+3</v>
      </c>
      <c r="P520" s="3" t="n">
        <v>6</v>
      </c>
      <c r="Q520" s="1" t="str">
        <f aca="false">IF(P520=1,"-5",IF(OR(P520=2,P520=3),"-4",IF(OR(P520=4,P520=5),"-3",IF(OR(P520=6,P520=7),"-2",IF(OR(P520=8,P520=9),"-1",IF(OR(P520=10,P520=11),"0",IF(OR(P520=12,P520=13),"+1",IF(OR(P520=14,P520=15),"+2",IF(OR(P520=16,P520=17),"+3",IF(OR(P520=18,P520=19),"+4",IF(OR(P520=20,P520=21),"+5",IF(OR(P520=22,P520=23),"+6",IF(OR(P520=24,P520=25),"+7",IF(OR(P520=26,P520=27),"+8",IF(OR(P520=28,P520=29),"+9",IF(P520=30,"+10"," "))))))))))))))))</f>
        <v>-2</v>
      </c>
      <c r="R520" s="3" t="n">
        <v>6</v>
      </c>
      <c r="S520" s="1" t="str">
        <f aca="false">IF(R520=1,"-5",IF(OR(R520=2,R520=3),"-4",IF(OR(R520=4,R520=5),"-3",IF(OR(R520=6,R520=7),"-2",IF(OR(R520=8,R520=9),"-1",IF(OR(R520=10,R520=11),"0",IF(OR(R520=12,R520=13),"+1",IF(OR(R520=14,R520=15),"+2",IF(OR(R520=16,R520=17),"+3",IF(OR(R520=18,R520=19),"+4",IF(OR(R520=20,R520=21),"+5",IF(OR(R520=22,R520=23),"+6",IF(OR(R520=24,R520=25),"+7",IF(OR(R520=26,R520=27),"+8",IF(OR(R520=28,R520=29),"+9",IF(R520=30,"+10"," "))))))))))))))))</f>
        <v>-2</v>
      </c>
      <c r="T520" s="3" t="n">
        <v>7</v>
      </c>
      <c r="U520" s="1" t="str">
        <f aca="false">IF(T520=1,"-5",IF(OR(T520=2,T520=3),"-4",IF(OR(T520=4,T520=5),"-3",IF(OR(T520=6,T520=7),"-2",IF(OR(T520=8,T520=9),"-1",IF(OR(T520=10,T520=11),"0",IF(OR(T520=12,T520=13),"+1",IF(OR(T520=14,T520=15),"+2",IF(OR(T520=16,T520=17),"+3",IF(OR(T520=18,T520=19),"+4",IF(OR(T520=20,T520=21),"+5",IF(OR(T520=22,T520=23),"+6",IF(OR(T520=24,T520=25),"+7",IF(OR(T520=26,T520=27),"+8",IF(OR(T520=28,T520=29),"+9",IF(T520=30,"+10"," "))))))))))))))))</f>
        <v>-2</v>
      </c>
      <c r="V520" s="3" t="s">
        <v>1491</v>
      </c>
      <c r="W520" s="3" t="s">
        <v>2468</v>
      </c>
      <c r="X520" s="11" t="s">
        <v>2469</v>
      </c>
      <c r="Y520" s="11" t="s">
        <v>2482</v>
      </c>
      <c r="Z520" s="11" t="s">
        <v>37</v>
      </c>
      <c r="AA520" s="12" t="s">
        <v>37</v>
      </c>
    </row>
    <row r="521" customFormat="false" ht="16.4" hidden="false" customHeight="false" outlineLevel="0" collapsed="false">
      <c r="A521" s="15" t="s">
        <v>2483</v>
      </c>
      <c r="B521" s="3" t="s">
        <v>2472</v>
      </c>
      <c r="C521" s="3" t="s">
        <v>590</v>
      </c>
      <c r="D521" s="16" t="n">
        <v>8</v>
      </c>
      <c r="E521" s="6" t="n">
        <f aca="false">VLOOKUP(D521,'[1]REF Tables'!$A$2:$B$40,2)</f>
        <v>3900</v>
      </c>
      <c r="F521" s="3" t="s">
        <v>50</v>
      </c>
      <c r="G521" s="3" t="n">
        <v>16</v>
      </c>
      <c r="H521" s="3" t="s">
        <v>984</v>
      </c>
      <c r="I521" s="3" t="s">
        <v>42</v>
      </c>
      <c r="J521" s="3" t="n">
        <v>18</v>
      </c>
      <c r="K521" s="1" t="str">
        <f aca="false">IF(J521=1,"-5",IF(OR(J521=2,J521=3),"-4",IF(OR(J521=4,J521=5),"-3",IF(OR(J521=6,J521=7),"-2",IF(OR(J521=8,J521=9),"-1",IF(OR(J521=10,J521=11),"0",IF(OR(J521=12,J521=13),"+1",IF(OR(J521=14,J521=15),"+2",IF(OR(J521=16,J521=17),"+3",IF(OR(J521=18,J521=19),"+4",IF(OR(J521=20,J521=21),"+5",IF(OR(J521=22,J521=23),"+6",IF(OR(J521=24,J521=25),"+7",IF(OR(J521=26,J521=27),"+8",IF(OR(J521=28,J521=29),"+9",IF(J521=30,"+10"," "))))))))))))))))</f>
        <v>+4</v>
      </c>
      <c r="L521" s="3" t="n">
        <v>15</v>
      </c>
      <c r="M521" s="1" t="str">
        <f aca="false">IF(L521=1,"-5",IF(OR(L521=2,L521=3),"-4",IF(OR(L521=4,L521=5),"-3",IF(OR(L521=6,L521=7),"-2",IF(OR(L521=8,L521=9),"-1",IF(OR(L521=10,L521=11),"0",IF(OR(L521=12,L521=13),"+1",IF(OR(L521=14,L521=15),"+2",IF(OR(L521=16,L521=17),"+3",IF(OR(L521=18,L521=19),"+4",IF(OR(L521=20,L521=21),"+5",IF(OR(L521=22,L521=23),"+6",IF(OR(L521=24,L521=25),"+7",IF(OR(L521=26,L521=27),"+8",IF(OR(L521=28,L521=29),"+9",IF(L521=30,"+10"," "))))))))))))))))</f>
        <v>+2</v>
      </c>
      <c r="N521" s="3" t="n">
        <v>16</v>
      </c>
      <c r="O521" s="1" t="str">
        <f aca="false">IF(N521=1,"-5",IF(OR(N521=2,N521=3),"-4",IF(OR(N521=4,N521=5),"-3",IF(OR(N521=6,N521=7),"-2",IF(OR(N521=8,N521=9),"-1",IF(OR(N521=10,N521=11),"0",IF(OR(N521=12,N521=13),"+1",IF(OR(N521=14,N521=15),"+2",IF(OR(N521=16,N521=17),"+3",IF(OR(N521=18,N521=19),"+4",IF(OR(N521=20,N521=21),"+5",IF(OR(N521=22,N521=23),"+6",IF(OR(N521=24,N521=25),"+7",IF(OR(N521=26,N521=27),"+8",IF(OR(N521=28,N521=29),"+9",IF(N521=30,"+10"," "))))))))))))))))</f>
        <v>+3</v>
      </c>
      <c r="P521" s="3" t="n">
        <v>11</v>
      </c>
      <c r="Q521" s="1" t="str">
        <f aca="false">IF(P521=1,"-5",IF(OR(P521=2,P521=3),"-4",IF(OR(P521=4,P521=5),"-3",IF(OR(P521=6,P521=7),"-2",IF(OR(P521=8,P521=9),"-1",IF(OR(P521=10,P521=11),"0",IF(OR(P521=12,P521=13),"+1",IF(OR(P521=14,P521=15),"+2",IF(OR(P521=16,P521=17),"+3",IF(OR(P521=18,P521=19),"+4",IF(OR(P521=20,P521=21),"+5",IF(OR(P521=22,P521=23),"+6",IF(OR(P521=24,P521=25),"+7",IF(OR(P521=26,P521=27),"+8",IF(OR(P521=28,P521=29),"+9",IF(P521=30,"+10"," "))))))))))))))))</f>
        <v>0</v>
      </c>
      <c r="R521" s="3" t="n">
        <v>8</v>
      </c>
      <c r="S521" s="1" t="str">
        <f aca="false">IF(R521=1,"-5",IF(OR(R521=2,R521=3),"-4",IF(OR(R521=4,R521=5),"-3",IF(OR(R521=6,R521=7),"-2",IF(OR(R521=8,R521=9),"-1",IF(OR(R521=10,R521=11),"0",IF(OR(R521=12,R521=13),"+1",IF(OR(R521=14,R521=15),"+2",IF(OR(R521=16,R521=17),"+3",IF(OR(R521=18,R521=19),"+4",IF(OR(R521=20,R521=21),"+5",IF(OR(R521=22,R521=23),"+6",IF(OR(R521=24,R521=25),"+7",IF(OR(R521=26,R521=27),"+8",IF(OR(R521=28,R521=29),"+9",IF(R521=30,"+10"," "))))))))))))))))</f>
        <v>-1</v>
      </c>
      <c r="T521" s="3" t="n">
        <v>12</v>
      </c>
      <c r="U521" s="1" t="str">
        <f aca="false">IF(T521=1,"-5",IF(OR(T521=2,T521=3),"-4",IF(OR(T521=4,T521=5),"-3",IF(OR(T521=6,T521=7),"-2",IF(OR(T521=8,T521=9),"-1",IF(OR(T521=10,T521=11),"0",IF(OR(T521=12,T521=13),"+1",IF(OR(T521=14,T521=15),"+2",IF(OR(T521=16,T521=17),"+3",IF(OR(T521=18,T521=19),"+4",IF(OR(T521=20,T521=21),"+5",IF(OR(T521=22,T521=23),"+6",IF(OR(T521=24,T521=25),"+7",IF(OR(T521=26,T521=27),"+8",IF(OR(T521=28,T521=29),"+9",IF(T521=30,"+10"," "))))))))))))))))</f>
        <v>+1</v>
      </c>
      <c r="V521" s="3" t="s">
        <v>2484</v>
      </c>
      <c r="W521" s="3" t="s">
        <v>2468</v>
      </c>
      <c r="X521" s="11" t="s">
        <v>2485</v>
      </c>
      <c r="Y521" s="11" t="s">
        <v>2486</v>
      </c>
      <c r="Z521" s="11" t="s">
        <v>37</v>
      </c>
      <c r="AA521" s="12" t="s">
        <v>37</v>
      </c>
    </row>
    <row r="522" customFormat="false" ht="16.4" hidden="false" customHeight="false" outlineLevel="0" collapsed="false">
      <c r="A522" s="15" t="s">
        <v>2487</v>
      </c>
      <c r="B522" s="3" t="s">
        <v>48</v>
      </c>
      <c r="C522" s="3" t="s">
        <v>590</v>
      </c>
      <c r="D522" s="16" t="n">
        <v>0.125</v>
      </c>
      <c r="E522" s="3" t="n">
        <f aca="false">VLOOKUP(D522,'[1]REF Tables'!$A$2:$B$40,2)</f>
        <v>25</v>
      </c>
      <c r="F522" s="3" t="s">
        <v>315</v>
      </c>
      <c r="G522" s="3" t="n">
        <v>12</v>
      </c>
      <c r="H522" s="3" t="s">
        <v>2488</v>
      </c>
      <c r="I522" s="3" t="s">
        <v>42</v>
      </c>
      <c r="J522" s="3" t="n">
        <v>7</v>
      </c>
      <c r="K522" s="1" t="str">
        <f aca="false">IF(J522=1,"-5",IF(OR(J522=2,J522=3),"-4",IF(OR(J522=4,J522=5),"-3",IF(OR(J522=6,J522=7),"-2",IF(OR(J522=8,J522=9),"-1",IF(OR(J522=10,J522=11),"0",IF(OR(J522=12,J522=13),"+1",IF(OR(J522=14,J522=15),"+2",IF(OR(J522=16,J522=17),"+3",IF(OR(J522=18,J522=19),"+4",IF(OR(J522=20,J522=21),"+5",IF(OR(J522=22,J522=23),"+6",IF(OR(J522=24,J522=25),"+7",IF(OR(J522=26,J522=27),"+8",IF(OR(J522=28,J522=29),"+9",IF(J522=30,"+10"," "))))))))))))))))</f>
        <v>-2</v>
      </c>
      <c r="L522" s="3" t="n">
        <v>15</v>
      </c>
      <c r="M522" s="1" t="str">
        <f aca="false">IF(L522=1,"-5",IF(OR(L522=2,L522=3),"-4",IF(OR(L522=4,L522=5),"-3",IF(OR(L522=6,L522=7),"-2",IF(OR(L522=8,L522=9),"-1",IF(OR(L522=10,L522=11),"0",IF(OR(L522=12,L522=13),"+1",IF(OR(L522=14,L522=15),"+2",IF(OR(L522=16,L522=17),"+3",IF(OR(L522=18,L522=19),"+4",IF(OR(L522=20,L522=21),"+5",IF(OR(L522=22,L522=23),"+6",IF(OR(L522=24,L522=25),"+7",IF(OR(L522=26,L522=27),"+8",IF(OR(L522=28,L522=29),"+9",IF(L522=30,"+10"," "))))))))))))))))</f>
        <v>+2</v>
      </c>
      <c r="N522" s="3" t="n">
        <v>10</v>
      </c>
      <c r="O522" s="1" t="str">
        <f aca="false">IF(N522=1,"-5",IF(OR(N522=2,N522=3),"-4",IF(OR(N522=4,N522=5),"-3",IF(OR(N522=6,N522=7),"-2",IF(OR(N522=8,N522=9),"-1",IF(OR(N522=10,N522=11),"0",IF(OR(N522=12,N522=13),"+1",IF(OR(N522=14,N522=15),"+2",IF(OR(N522=16,N522=17),"+3",IF(OR(N522=18,N522=19),"+4",IF(OR(N522=20,N522=21),"+5",IF(OR(N522=22,N522=23),"+6",IF(OR(N522=24,N522=25),"+7",IF(OR(N522=26,N522=27),"+8",IF(OR(N522=28,N522=29),"+9",IF(N522=30,"+10"," "))))))))))))))))</f>
        <v>0</v>
      </c>
      <c r="P522" s="3" t="n">
        <v>3</v>
      </c>
      <c r="Q522" s="1" t="str">
        <f aca="false">IF(P522=1,"-5",IF(OR(P522=2,P522=3),"-4",IF(OR(P522=4,P522=5),"-3",IF(OR(P522=6,P522=7),"-2",IF(OR(P522=8,P522=9),"-1",IF(OR(P522=10,P522=11),"0",IF(OR(P522=12,P522=13),"+1",IF(OR(P522=14,P522=15),"+2",IF(OR(P522=16,P522=17),"+3",IF(OR(P522=18,P522=19),"+4",IF(OR(P522=20,P522=21),"+5",IF(OR(P522=22,P522=23),"+6",IF(OR(P522=24,P522=25),"+7",IF(OR(P522=26,P522=27),"+8",IF(OR(P522=28,P522=29),"+9",IF(P522=30,"+10"," "))))))))))))))))</f>
        <v>-4</v>
      </c>
      <c r="R522" s="3" t="n">
        <v>5</v>
      </c>
      <c r="S522" s="1" t="str">
        <f aca="false">IF(R522=1,"-5",IF(OR(R522=2,R522=3),"-4",IF(OR(R522=4,R522=5),"-3",IF(OR(R522=6,R522=7),"-2",IF(OR(R522=8,R522=9),"-1",IF(OR(R522=10,R522=11),"0",IF(OR(R522=12,R522=13),"+1",IF(OR(R522=14,R522=15),"+2",IF(OR(R522=16,R522=17),"+3",IF(OR(R522=18,R522=19),"+4",IF(OR(R522=20,R522=21),"+5",IF(OR(R522=22,R522=23),"+6",IF(OR(R522=24,R522=25),"+7",IF(OR(R522=26,R522=27),"+8",IF(OR(R522=28,R522=29),"+9",IF(R522=30,"+10"," "))))))))))))))))</f>
        <v>-3</v>
      </c>
      <c r="T522" s="3" t="n">
        <v>3</v>
      </c>
      <c r="U522" s="1" t="str">
        <f aca="false">IF(T522=1,"-5",IF(OR(T522=2,T522=3),"-4",IF(OR(T522=4,T522=5),"-3",IF(OR(T522=6,T522=7),"-2",IF(OR(T522=8,T522=9),"-1",IF(OR(T522=10,T522=11),"0",IF(OR(T522=12,T522=13),"+1",IF(OR(T522=14,T522=15),"+2",IF(OR(T522=16,T522=17),"+3",IF(OR(T522=18,T522=19),"+4",IF(OR(T522=20,T522=21),"+5",IF(OR(T522=22,T522=23),"+6",IF(OR(T522=24,T522=25),"+7",IF(OR(T522=26,T522=27),"+8",IF(OR(T522=28,T522=29),"+9",IF(T522=30,"+10"," "))))))))))))))))</f>
        <v>-4</v>
      </c>
      <c r="V522" s="3" t="s">
        <v>560</v>
      </c>
      <c r="W522" s="3" t="s">
        <v>2489</v>
      </c>
      <c r="X522" s="11" t="s">
        <v>2490</v>
      </c>
      <c r="Y522" s="11" t="s">
        <v>2491</v>
      </c>
      <c r="Z522" s="11"/>
      <c r="AA522" s="12"/>
    </row>
    <row r="523" customFormat="false" ht="16.4" hidden="false" customHeight="false" outlineLevel="0" collapsed="false">
      <c r="A523" s="15" t="s">
        <v>2492</v>
      </c>
      <c r="B523" s="3" t="s">
        <v>548</v>
      </c>
      <c r="C523" s="3" t="s">
        <v>502</v>
      </c>
      <c r="D523" s="16" t="n">
        <v>21</v>
      </c>
      <c r="E523" s="6" t="n">
        <f aca="false">VLOOKUP(D523,'[1]REF Tables'!$A$2:$B$40,2)</f>
        <v>33000</v>
      </c>
      <c r="F523" s="3" t="s">
        <v>50</v>
      </c>
      <c r="G523" s="3" t="n">
        <v>21</v>
      </c>
      <c r="H523" s="3" t="s">
        <v>2493</v>
      </c>
      <c r="I523" s="3" t="s">
        <v>2494</v>
      </c>
      <c r="J523" s="3" t="n">
        <v>26</v>
      </c>
      <c r="K523" s="1" t="str">
        <f aca="false">IF(J523=1,"-5",IF(OR(J523=2,J523=3),"-4",IF(OR(J523=4,J523=5),"-3",IF(OR(J523=6,J523=7),"-2",IF(OR(J523=8,J523=9),"-1",IF(OR(J523=10,J523=11),"0",IF(OR(J523=12,J523=13),"+1",IF(OR(J523=14,J523=15),"+2",IF(OR(J523=16,J523=17),"+3",IF(OR(J523=18,J523=19),"+4",IF(OR(J523=20,J523=21),"+5",IF(OR(J523=22,J523=23),"+6",IF(OR(J523=24,J523=25),"+7",IF(OR(J523=26,J523=27),"+8",IF(OR(J523=28,J523=29),"+9",IF(J523=30,"+10"," "))))))))))))))))</f>
        <v>+8</v>
      </c>
      <c r="L523" s="3" t="n">
        <v>22</v>
      </c>
      <c r="M523" s="1" t="str">
        <f aca="false">IF(L523=1,"-5",IF(OR(L523=2,L523=3),"-4",IF(OR(L523=4,L523=5),"-3",IF(OR(L523=6,L523=7),"-2",IF(OR(L523=8,L523=9),"-1",IF(OR(L523=10,L523=11),"0",IF(OR(L523=12,L523=13),"+1",IF(OR(L523=14,L523=15),"+2",IF(OR(L523=16,L523=17),"+3",IF(OR(L523=18,L523=19),"+4",IF(OR(L523=20,L523=21),"+5",IF(OR(L523=22,L523=23),"+6",IF(OR(L523=24,L523=25),"+7",IF(OR(L523=26,L523=27),"+8",IF(OR(L523=28,L523=29),"+9",IF(L523=30,"+10"," "))))))))))))))))</f>
        <v>+6</v>
      </c>
      <c r="N523" s="3" t="n">
        <v>26</v>
      </c>
      <c r="O523" s="1" t="str">
        <f aca="false">IF(N523=1,"-5",IF(OR(N523=2,N523=3),"-4",IF(OR(N523=4,N523=5),"-3",IF(OR(N523=6,N523=7),"-2",IF(OR(N523=8,N523=9),"-1",IF(OR(N523=10,N523=11),"0",IF(OR(N523=12,N523=13),"+1",IF(OR(N523=14,N523=15),"+2",IF(OR(N523=16,N523=17),"+3",IF(OR(N523=18,N523=19),"+4",IF(OR(N523=20,N523=21),"+5",IF(OR(N523=22,N523=23),"+6",IF(OR(N523=24,N523=25),"+7",IF(OR(N523=26,N523=27),"+8",IF(OR(N523=28,N523=29),"+9",IF(N523=30,"+10"," "))))))))))))))))</f>
        <v>+8</v>
      </c>
      <c r="P523" s="3" t="n">
        <v>25</v>
      </c>
      <c r="Q523" s="1" t="str">
        <f aca="false">IF(P523=1,"-5",IF(OR(P523=2,P523=3),"-4",IF(OR(P523=4,P523=5),"-3",IF(OR(P523=6,P523=7),"-2",IF(OR(P523=8,P523=9),"-1",IF(OR(P523=10,P523=11),"0",IF(OR(P523=12,P523=13),"+1",IF(OR(P523=14,P523=15),"+2",IF(OR(P523=16,P523=17),"+3",IF(OR(P523=18,P523=19),"+4",IF(OR(P523=20,P523=21),"+5",IF(OR(P523=22,P523=23),"+6",IF(OR(P523=24,P523=25),"+7",IF(OR(P523=26,P523=27),"+8",IF(OR(P523=28,P523=29),"+9",IF(P523=30,"+10"," "))))))))))))))))</f>
        <v>+7</v>
      </c>
      <c r="R523" s="3" t="n">
        <v>25</v>
      </c>
      <c r="S523" s="1" t="str">
        <f aca="false">IF(R523=1,"-5",IF(OR(R523=2,R523=3),"-4",IF(OR(R523=4,R523=5),"-3",IF(OR(R523=6,R523=7),"-2",IF(OR(R523=8,R523=9),"-1",IF(OR(R523=10,R523=11),"0",IF(OR(R523=12,R523=13),"+1",IF(OR(R523=14,R523=15),"+2",IF(OR(R523=16,R523=17),"+3",IF(OR(R523=18,R523=19),"+4",IF(OR(R523=20,R523=21),"+5",IF(OR(R523=22,R523=23),"+6",IF(OR(R523=24,R523=25),"+7",IF(OR(R523=26,R523=27),"+8",IF(OR(R523=28,R523=29),"+9",IF(R523=30,"+10"," "))))))))))))))))</f>
        <v>+7</v>
      </c>
      <c r="T523" s="3" t="n">
        <v>30</v>
      </c>
      <c r="U523" s="1" t="str">
        <f aca="false">IF(T523=1,"-5",IF(OR(T523=2,T523=3),"-4",IF(OR(T523=4,T523=5),"-3",IF(OR(T523=6,T523=7),"-2",IF(OR(T523=8,T523=9),"-1",IF(OR(T523=10,T523=11),"0",IF(OR(T523=12,T523=13),"+1",IF(OR(T523=14,T523=15),"+2",IF(OR(T523=16,T523=17),"+3",IF(OR(T523=18,T523=19),"+4",IF(OR(T523=20,T523=21),"+5",IF(OR(T523=22,T523=23),"+6",IF(OR(T523=24,T523=25),"+7",IF(OR(T523=26,T523=27),"+8",IF(OR(T523=28,T523=29),"+9",IF(T523=30,"+10"," "))))))))))))))))</f>
        <v>+10</v>
      </c>
      <c r="V523" s="3" t="s">
        <v>2495</v>
      </c>
      <c r="W523" s="3" t="s">
        <v>174</v>
      </c>
      <c r="X523" s="11" t="s">
        <v>2496</v>
      </c>
      <c r="Y523" s="11" t="s">
        <v>2497</v>
      </c>
      <c r="Z523" s="11" t="s">
        <v>37</v>
      </c>
      <c r="AA523" s="12" t="s">
        <v>2498</v>
      </c>
    </row>
    <row r="524" customFormat="false" ht="16.4" hidden="false" customHeight="false" outlineLevel="0" collapsed="false">
      <c r="A524" s="15" t="s">
        <v>2499</v>
      </c>
      <c r="B524" s="3" t="s">
        <v>356</v>
      </c>
      <c r="C524" s="3" t="s">
        <v>590</v>
      </c>
      <c r="D524" s="16" t="n">
        <v>0.5</v>
      </c>
      <c r="E524" s="3" t="n">
        <f aca="false">VLOOKUP(D524,'[1]REF Tables'!$A$2:$B$40,2)</f>
        <v>100</v>
      </c>
      <c r="F524" s="3" t="s">
        <v>165</v>
      </c>
      <c r="G524" s="3" t="n">
        <v>14</v>
      </c>
      <c r="H524" s="3" t="s">
        <v>1706</v>
      </c>
      <c r="I524" s="3" t="s">
        <v>42</v>
      </c>
      <c r="J524" s="3" t="n">
        <v>9</v>
      </c>
      <c r="K524" s="1" t="str">
        <f aca="false">IF(J524=1,"-5",IF(OR(J524=2,J524=3),"-4",IF(OR(J524=4,J524=5),"-3",IF(OR(J524=6,J524=7),"-2",IF(OR(J524=8,J524=9),"-1",IF(OR(J524=10,J524=11),"0",IF(OR(J524=12,J524=13),"+1",IF(OR(J524=14,J524=15),"+2",IF(OR(J524=16,J524=17),"+3",IF(OR(J524=18,J524=19),"+4",IF(OR(J524=20,J524=21),"+5",IF(OR(J524=22,J524=23),"+6",IF(OR(J524=24,J524=25),"+7",IF(OR(J524=26,J524=27),"+8",IF(OR(J524=28,J524=29),"+9",IF(J524=30,"+10"," "))))))))))))))))</f>
        <v>-1</v>
      </c>
      <c r="L524" s="3" t="n">
        <v>16</v>
      </c>
      <c r="M524" s="1" t="str">
        <f aca="false">IF(L524=1,"-5",IF(OR(L524=2,L524=3),"-4",IF(OR(L524=4,L524=5),"-3",IF(OR(L524=6,L524=7),"-2",IF(OR(L524=8,L524=9),"-1",IF(OR(L524=10,L524=11),"0",IF(OR(L524=12,L524=13),"+1",IF(OR(L524=14,L524=15),"+2",IF(OR(L524=16,L524=17),"+3",IF(OR(L524=18,L524=19),"+4",IF(OR(L524=20,L524=21),"+5",IF(OR(L524=22,L524=23),"+6",IF(OR(L524=24,L524=25),"+7",IF(OR(L524=26,L524=27),"+8",IF(OR(L524=28,L524=29),"+9",IF(L524=30,"+10"," "))))))))))))))))</f>
        <v>+3</v>
      </c>
      <c r="N524" s="3" t="n">
        <v>12</v>
      </c>
      <c r="O524" s="1" t="str">
        <f aca="false">IF(N524=1,"-5",IF(OR(N524=2,N524=3),"-4",IF(OR(N524=4,N524=5),"-3",IF(OR(N524=6,N524=7),"-2",IF(OR(N524=8,N524=9),"-1",IF(OR(N524=10,N524=11),"0",IF(OR(N524=12,N524=13),"+1",IF(OR(N524=14,N524=15),"+2",IF(OR(N524=16,N524=17),"+3",IF(OR(N524=18,N524=19),"+4",IF(OR(N524=20,N524=21),"+5",IF(OR(N524=22,N524=23),"+6",IF(OR(N524=24,N524=25),"+7",IF(OR(N524=26,N524=27),"+8",IF(OR(N524=28,N524=29),"+9",IF(N524=30,"+10"," "))))))))))))))))</f>
        <v>+1</v>
      </c>
      <c r="P524" s="3" t="n">
        <v>10</v>
      </c>
      <c r="Q524" s="1" t="str">
        <f aca="false">IF(P524=1,"-5",IF(OR(P524=2,P524=3),"-4",IF(OR(P524=4,P524=5),"-3",IF(OR(P524=6,P524=7),"-2",IF(OR(P524=8,P524=9),"-1",IF(OR(P524=10,P524=11),"0",IF(OR(P524=12,P524=13),"+1",IF(OR(P524=14,P524=15),"+2",IF(OR(P524=16,P524=17),"+3",IF(OR(P524=18,P524=19),"+4",IF(OR(P524=20,P524=21),"+5",IF(OR(P524=22,P524=23),"+6",IF(OR(P524=24,P524=25),"+7",IF(OR(P524=26,P524=27),"+8",IF(OR(P524=28,P524=29),"+9",IF(P524=30,"+10"," "))))))))))))))))</f>
        <v>0</v>
      </c>
      <c r="R524" s="3" t="n">
        <v>12</v>
      </c>
      <c r="S524" s="1" t="str">
        <f aca="false">IF(R524=1,"-5",IF(OR(R524=2,R524=3),"-4",IF(OR(R524=4,R524=5),"-3",IF(OR(R524=6,R524=7),"-2",IF(OR(R524=8,R524=9),"-1",IF(OR(R524=10,R524=11),"0",IF(OR(R524=12,R524=13),"+1",IF(OR(R524=14,R524=15),"+2",IF(OR(R524=16,R524=17),"+3",IF(OR(R524=18,R524=19),"+4",IF(OR(R524=20,R524=21),"+5",IF(OR(R524=22,R524=23),"+6",IF(OR(R524=24,R524=25),"+7",IF(OR(R524=26,R524=27),"+8",IF(OR(R524=28,R524=29),"+9",IF(R524=30,"+10"," "))))))))))))))))</f>
        <v>+1</v>
      </c>
      <c r="T524" s="3" t="n">
        <v>10</v>
      </c>
      <c r="U524" s="1" t="str">
        <f aca="false">IF(T524=1,"-5",IF(OR(T524=2,T524=3),"-4",IF(OR(T524=4,T524=5),"-3",IF(OR(T524=6,T524=7),"-2",IF(OR(T524=8,T524=9),"-1",IF(OR(T524=10,T524=11),"0",IF(OR(T524=12,T524=13),"+1",IF(OR(T524=14,T524=15),"+2",IF(OR(T524=16,T524=17),"+3",IF(OR(T524=18,T524=19),"+4",IF(OR(T524=20,T524=21),"+5",IF(OR(T524=22,T524=23),"+6",IF(OR(T524=24,T524=25),"+7",IF(OR(T524=26,T524=27),"+8",IF(OR(T524=28,T524=29),"+9",IF(T524=30,"+10"," "))))))))))))))))</f>
        <v>0</v>
      </c>
      <c r="V524" s="3" t="s">
        <v>2500</v>
      </c>
      <c r="W524" s="3" t="s">
        <v>400</v>
      </c>
      <c r="X524" s="11" t="s">
        <v>2501</v>
      </c>
      <c r="Y524" s="11" t="s">
        <v>2502</v>
      </c>
      <c r="Z524" s="11" t="s">
        <v>37</v>
      </c>
      <c r="AA524" s="12" t="s">
        <v>37</v>
      </c>
    </row>
    <row r="525" customFormat="false" ht="16.4" hidden="false" customHeight="false" outlineLevel="0" collapsed="false">
      <c r="A525" s="15" t="s">
        <v>2503</v>
      </c>
      <c r="B525" s="3" t="s">
        <v>356</v>
      </c>
      <c r="C525" s="3" t="s">
        <v>590</v>
      </c>
      <c r="D525" s="16" t="n">
        <v>2</v>
      </c>
      <c r="E525" s="3" t="n">
        <f aca="false">VLOOKUP(D525,'[1]REF Tables'!$A$2:$B$40,2)</f>
        <v>450</v>
      </c>
      <c r="F525" s="3" t="s">
        <v>30</v>
      </c>
      <c r="G525" s="3" t="n">
        <v>15</v>
      </c>
      <c r="H525" s="3" t="s">
        <v>1082</v>
      </c>
      <c r="I525" s="3" t="s">
        <v>42</v>
      </c>
      <c r="J525" s="3" t="n">
        <v>13</v>
      </c>
      <c r="K525" s="1" t="str">
        <f aca="false">IF(J525=1,"-5",IF(OR(J525=2,J525=3),"-4",IF(OR(J525=4,J525=5),"-3",IF(OR(J525=6,J525=7),"-2",IF(OR(J525=8,J525=9),"-1",IF(OR(J525=10,J525=11),"0",IF(OR(J525=12,J525=13),"+1",IF(OR(J525=14,J525=15),"+2",IF(OR(J525=16,J525=17),"+3",IF(OR(J525=18,J525=19),"+4",IF(OR(J525=20,J525=21),"+5",IF(OR(J525=22,J525=23),"+6",IF(OR(J525=24,J525=25),"+7",IF(OR(J525=26,J525=27),"+8",IF(OR(J525=28,J525=29),"+9",IF(J525=30,"+10"," "))))))))))))))))</f>
        <v>+1</v>
      </c>
      <c r="L525" s="3" t="n">
        <v>17</v>
      </c>
      <c r="M525" s="1" t="str">
        <f aca="false">IF(L525=1,"-5",IF(OR(L525=2,L525=3),"-4",IF(OR(L525=4,L525=5),"-3",IF(OR(L525=6,L525=7),"-2",IF(OR(L525=8,L525=9),"-1",IF(OR(L525=10,L525=11),"0",IF(OR(L525=12,L525=13),"+1",IF(OR(L525=14,L525=15),"+2",IF(OR(L525=16,L525=17),"+3",IF(OR(L525=18,L525=19),"+4",IF(OR(L525=20,L525=21),"+5",IF(OR(L525=22,L525=23),"+6",IF(OR(L525=24,L525=25),"+7",IF(OR(L525=26,L525=27),"+8",IF(OR(L525=28,L525=29),"+9",IF(L525=30,"+10"," "))))))))))))))))</f>
        <v>+3</v>
      </c>
      <c r="N525" s="3" t="n">
        <v>12</v>
      </c>
      <c r="O525" s="1" t="str">
        <f aca="false">IF(N525=1,"-5",IF(OR(N525=2,N525=3),"-4",IF(OR(N525=4,N525=5),"-3",IF(OR(N525=6,N525=7),"-2",IF(OR(N525=8,N525=9),"-1",IF(OR(N525=10,N525=11),"0",IF(OR(N525=12,N525=13),"+1",IF(OR(N525=14,N525=15),"+2",IF(OR(N525=16,N525=17),"+3",IF(OR(N525=18,N525=19),"+4",IF(OR(N525=20,N525=21),"+5",IF(OR(N525=22,N525=23),"+6",IF(OR(N525=24,N525=25),"+7",IF(OR(N525=26,N525=27),"+8",IF(OR(N525=28,N525=29),"+9",IF(N525=30,"+10"," "))))))))))))))))</f>
        <v>+1</v>
      </c>
      <c r="P525" s="3" t="n">
        <v>10</v>
      </c>
      <c r="Q525" s="1" t="str">
        <f aca="false">IF(P525=1,"-5",IF(OR(P525=2,P525=3),"-4",IF(OR(P525=4,P525=5),"-3",IF(OR(P525=6,P525=7),"-2",IF(OR(P525=8,P525=9),"-1",IF(OR(P525=10,P525=11),"0",IF(OR(P525=12,P525=13),"+1",IF(OR(P525=14,P525=15),"+2",IF(OR(P525=16,P525=17),"+3",IF(OR(P525=18,P525=19),"+4",IF(OR(P525=20,P525=21),"+5",IF(OR(P525=22,P525=23),"+6",IF(OR(P525=24,P525=25),"+7",IF(OR(P525=26,P525=27),"+8",IF(OR(P525=28,P525=29),"+9",IF(P525=30,"+10"," "))))))))))))))))</f>
        <v>0</v>
      </c>
      <c r="R525" s="3" t="n">
        <v>14</v>
      </c>
      <c r="S525" s="1" t="str">
        <f aca="false">IF(R525=1,"-5",IF(OR(R525=2,R525=3),"-4",IF(OR(R525=4,R525=5),"-3",IF(OR(R525=6,R525=7),"-2",IF(OR(R525=8,R525=9),"-1",IF(OR(R525=10,R525=11),"0",IF(OR(R525=12,R525=13),"+1",IF(OR(R525=14,R525=15),"+2",IF(OR(R525=16,R525=17),"+3",IF(OR(R525=18,R525=19),"+4",IF(OR(R525=20,R525=21),"+5",IF(OR(R525=22,R525=23),"+6",IF(OR(R525=24,R525=25),"+7",IF(OR(R525=26,R525=27),"+8",IF(OR(R525=28,R525=29),"+9",IF(R525=30,"+10"," "))))))))))))))))</f>
        <v>+2</v>
      </c>
      <c r="T525" s="3" t="n">
        <v>13</v>
      </c>
      <c r="U525" s="1" t="str">
        <f aca="false">IF(T525=1,"-5",IF(OR(T525=2,T525=3),"-4",IF(OR(T525=4,T525=5),"-3",IF(OR(T525=6,T525=7),"-2",IF(OR(T525=8,T525=9),"-1",IF(OR(T525=10,T525=11),"0",IF(OR(T525=12,T525=13),"+1",IF(OR(T525=14,T525=15),"+2",IF(OR(T525=16,T525=17),"+3",IF(OR(T525=18,T525=19),"+4",IF(OR(T525=20,T525=21),"+5",IF(OR(T525=22,T525=23),"+6",IF(OR(T525=24,T525=25),"+7",IF(OR(T525=26,T525=27),"+8",IF(OR(T525=28,T525=29),"+9",IF(T525=30,"+10"," "))))))))))))))))</f>
        <v>+1</v>
      </c>
      <c r="V525" s="3" t="s">
        <v>2504</v>
      </c>
      <c r="W525" s="3" t="s">
        <v>400</v>
      </c>
      <c r="X525" s="11" t="s">
        <v>2505</v>
      </c>
      <c r="Y525" s="11" t="s">
        <v>2506</v>
      </c>
      <c r="Z525" s="11" t="s">
        <v>37</v>
      </c>
      <c r="AA525" s="12" t="s">
        <v>37</v>
      </c>
    </row>
    <row r="526" customFormat="false" ht="16.4" hidden="false" customHeight="false" outlineLevel="0" collapsed="false">
      <c r="A526" s="14" t="s">
        <v>2507</v>
      </c>
      <c r="B526" s="1" t="s">
        <v>48</v>
      </c>
      <c r="C526" s="1" t="s">
        <v>106</v>
      </c>
      <c r="D526" s="5" t="n">
        <v>3</v>
      </c>
      <c r="E526" s="3" t="n">
        <f aca="false">VLOOKUP(D526,'[1]REF Tables'!$A$2:$B$40,2)</f>
        <v>700</v>
      </c>
      <c r="F526" s="1" t="s">
        <v>30</v>
      </c>
      <c r="G526" s="1" t="n">
        <v>14</v>
      </c>
      <c r="H526" s="1" t="s">
        <v>215</v>
      </c>
      <c r="I526" s="3" t="s">
        <v>240</v>
      </c>
      <c r="J526" s="1" t="n">
        <v>8</v>
      </c>
      <c r="K526" s="1" t="str">
        <f aca="false">IF(J526=1,"-5",IF(OR(J526=2,J526=3),"-4",IF(OR(J526=4,J526=5),"-3",IF(OR(J526=6,J526=7),"-2",IF(OR(J526=8,J526=9),"-1",IF(OR(J526=10,J526=11),"0",IF(OR(J526=12,J526=13),"+1",IF(OR(J526=14,J526=15),"+2",IF(OR(J526=16,J526=17),"+3",IF(OR(J526=18,J526=19),"+4",IF(OR(J526=20,J526=21),"+5",IF(OR(J526=22,J526=23),"+6",IF(OR(J526=24,J526=25),"+7",IF(OR(J526=26,J526=27),"+8",IF(OR(J526=28,J526=29),"+9",IF(J526=30,"+10"," "))))))))))))))))</f>
        <v>-1</v>
      </c>
      <c r="L526" s="1" t="n">
        <v>14</v>
      </c>
      <c r="M526" s="1" t="str">
        <f aca="false">IF(L526=1,"-5",IF(OR(L526=2,L526=3),"-4",IF(OR(L526=4,L526=5),"-3",IF(OR(L526=6,L526=7),"-2",IF(OR(L526=8,L526=9),"-1",IF(OR(L526=10,L526=11),"0",IF(OR(L526=12,L526=13),"+1",IF(OR(L526=14,L526=15),"+2",IF(OR(L526=16,L526=17),"+3",IF(OR(L526=18,L526=19),"+4",IF(OR(L526=20,L526=21),"+5",IF(OR(L526=22,L526=23),"+6",IF(OR(L526=24,L526=25),"+7",IF(OR(L526=26,L526=27),"+8",IF(OR(L526=28,L526=29),"+9",IF(L526=30,"+10"," "))))))))))))))))</f>
        <v>+2</v>
      </c>
      <c r="N526" s="1" t="n">
        <v>14</v>
      </c>
      <c r="O526" s="1" t="str">
        <f aca="false">IF(N526=1,"-5",IF(OR(N526=2,N526=3),"-4",IF(OR(N526=4,N526=5),"-3",IF(OR(N526=6,N526=7),"-2",IF(OR(N526=8,N526=9),"-1",IF(OR(N526=10,N526=11),"0",IF(OR(N526=12,N526=13),"+1",IF(OR(N526=14,N526=15),"+2",IF(OR(N526=16,N526=17),"+3",IF(OR(N526=18,N526=19),"+4",IF(OR(N526=20,N526=21),"+5",IF(OR(N526=22,N526=23),"+6",IF(OR(N526=24,N526=25),"+7",IF(OR(N526=26,N526=27),"+8",IF(OR(N526=28,N526=29),"+9",IF(N526=30,"+10"," "))))))))))))))))</f>
        <v>+2</v>
      </c>
      <c r="P526" s="1" t="n">
        <v>13</v>
      </c>
      <c r="Q526" s="1" t="str">
        <f aca="false">IF(P526=1,"-5",IF(OR(P526=2,P526=3),"-4",IF(OR(P526=4,P526=5),"-3",IF(OR(P526=6,P526=7),"-2",IF(OR(P526=8,P526=9),"-1",IF(OR(P526=10,P526=11),"0",IF(OR(P526=12,P526=13),"+1",IF(OR(P526=14,P526=15),"+2",IF(OR(P526=16,P526=17),"+3",IF(OR(P526=18,P526=19),"+4",IF(OR(P526=20,P526=21),"+5",IF(OR(P526=22,P526=23),"+6",IF(OR(P526=24,P526=25),"+7",IF(OR(P526=26,P526=27),"+8",IF(OR(P526=28,P526=29),"+9",IF(P526=30,"+10"," "))))))))))))))))</f>
        <v>+1</v>
      </c>
      <c r="R526" s="1" t="n">
        <v>14</v>
      </c>
      <c r="S526" s="1" t="str">
        <f aca="false">IF(R526=1,"-5",IF(OR(R526=2,R526=3),"-4",IF(OR(R526=4,R526=5),"-3",IF(OR(R526=6,R526=7),"-2",IF(OR(R526=8,R526=9),"-1",IF(OR(R526=10,R526=11),"0",IF(OR(R526=12,R526=13),"+1",IF(OR(R526=14,R526=15),"+2",IF(OR(R526=16,R526=17),"+3",IF(OR(R526=18,R526=19),"+4",IF(OR(R526=20,R526=21),"+5",IF(OR(R526=22,R526=23),"+6",IF(OR(R526=24,R526=25),"+7",IF(OR(R526=26,R526=27),"+8",IF(OR(R526=28,R526=29),"+9",IF(R526=30,"+10"," "))))))))))))))))</f>
        <v>+2</v>
      </c>
      <c r="T526" s="1" t="n">
        <v>11</v>
      </c>
      <c r="U526" s="1" t="str">
        <f aca="false">IF(T526=1,"-5",IF(OR(T526=2,T526=3),"-4",IF(OR(T526=4,T526=5),"-3",IF(OR(T526=6,T526=7),"-2",IF(OR(T526=8,T526=9),"-1",IF(OR(T526=10,T526=11),"0",IF(OR(T526=12,T526=13),"+1",IF(OR(T526=14,T526=15),"+2",IF(OR(T526=16,T526=17),"+3",IF(OR(T526=18,T526=19),"+4",IF(OR(T526=20,T526=21),"+5",IF(OR(T526=22,T526=23),"+6",IF(OR(T526=24,T526=25),"+7",IF(OR(T526=26,T526=27),"+8",IF(OR(T526=28,T526=29),"+9",IF(T526=30,"+10"," "))))))))))))))))</f>
        <v>0</v>
      </c>
      <c r="V526" s="1" t="s">
        <v>382</v>
      </c>
      <c r="W526" s="1" t="s">
        <v>81</v>
      </c>
      <c r="X526" s="2" t="s">
        <v>2508</v>
      </c>
      <c r="Y526" s="2" t="s">
        <v>2509</v>
      </c>
      <c r="Z526" s="2" t="s">
        <v>2510</v>
      </c>
      <c r="AA526" s="1" t="s">
        <v>37</v>
      </c>
    </row>
    <row r="527" customFormat="false" ht="16.4" hidden="false" customHeight="false" outlineLevel="0" collapsed="false">
      <c r="A527" s="15" t="s">
        <v>2511</v>
      </c>
      <c r="B527" s="3" t="s">
        <v>77</v>
      </c>
      <c r="C527" s="3" t="s">
        <v>222</v>
      </c>
      <c r="D527" s="16" t="n">
        <v>1</v>
      </c>
      <c r="E527" s="3" t="n">
        <f aca="false">VLOOKUP(D527,'[1]REF Tables'!$A$2:$B$40,2)</f>
        <v>200</v>
      </c>
      <c r="F527" s="3" t="s">
        <v>30</v>
      </c>
      <c r="G527" s="3" t="n">
        <v>12</v>
      </c>
      <c r="H527" s="3" t="s">
        <v>1087</v>
      </c>
      <c r="I527" s="3" t="s">
        <v>1188</v>
      </c>
      <c r="J527" s="3" t="n">
        <v>1</v>
      </c>
      <c r="K527" s="1" t="str">
        <f aca="false">IF(J527=1,"-5",IF(OR(J527=2,J527=3),"-4",IF(OR(J527=4,J527=5),"-3",IF(OR(J527=6,J527=7),"-2",IF(OR(J527=8,J527=9),"-1",IF(OR(J527=10,J527=11),"0",IF(OR(J527=12,J527=13),"+1",IF(OR(J527=14,J527=15),"+2",IF(OR(J527=16,J527=17),"+3",IF(OR(J527=18,J527=19),"+4",IF(OR(J527=20,J527=21),"+5",IF(OR(J527=22,J527=23),"+6",IF(OR(J527=24,J527=25),"+7",IF(OR(J527=26,J527=27),"+8",IF(OR(J527=28,J527=29),"+9",IF(J527=30,"+10"," "))))))))))))))))</f>
        <v>-5</v>
      </c>
      <c r="L527" s="3" t="n">
        <v>14</v>
      </c>
      <c r="M527" s="1" t="str">
        <f aca="false">IF(L527=1,"-5",IF(OR(L527=2,L527=3),"-4",IF(OR(L527=4,L527=5),"-3",IF(OR(L527=6,L527=7),"-2",IF(OR(L527=8,L527=9),"-1",IF(OR(L527=10,L527=11),"0",IF(OR(L527=12,L527=13),"+1",IF(OR(L527=14,L527=15),"+2",IF(OR(L527=16,L527=17),"+3",IF(OR(L527=18,L527=19),"+4",IF(OR(L527=20,L527=21),"+5",IF(OR(L527=22,L527=23),"+6",IF(OR(L527=24,L527=25),"+7",IF(OR(L527=26,L527=27),"+8",IF(OR(L527=28,L527=29),"+9",IF(L527=30,"+10"," "))))))))))))))))</f>
        <v>+2</v>
      </c>
      <c r="N527" s="3" t="n">
        <v>11</v>
      </c>
      <c r="O527" s="1" t="str">
        <f aca="false">IF(N527=1,"-5",IF(OR(N527=2,N527=3),"-4",IF(OR(N527=4,N527=5),"-3",IF(OR(N527=6,N527=7),"-2",IF(OR(N527=8,N527=9),"-1",IF(OR(N527=10,N527=11),"0",IF(OR(N527=12,N527=13),"+1",IF(OR(N527=14,N527=15),"+2",IF(OR(N527=16,N527=17),"+3",IF(OR(N527=18,N527=19),"+4",IF(OR(N527=20,N527=21),"+5",IF(OR(N527=22,N527=23),"+6",IF(OR(N527=24,N527=25),"+7",IF(OR(N527=26,N527=27),"+8",IF(OR(N527=28,N527=29),"+9",IF(N527=30,"+10"," "))))))))))))))))</f>
        <v>0</v>
      </c>
      <c r="P527" s="3" t="n">
        <v>10</v>
      </c>
      <c r="Q527" s="1" t="str">
        <f aca="false">IF(P527=1,"-5",IF(OR(P527=2,P527=3),"-4",IF(OR(P527=4,P527=5),"-3",IF(OR(P527=6,P527=7),"-2",IF(OR(P527=8,P527=9),"-1",IF(OR(P527=10,P527=11),"0",IF(OR(P527=12,P527=13),"+1",IF(OR(P527=14,P527=15),"+2",IF(OR(P527=16,P527=17),"+3",IF(OR(P527=18,P527=19),"+4",IF(OR(P527=20,P527=21),"+5",IF(OR(P527=22,P527=23),"+6",IF(OR(P527=24,P527=25),"+7",IF(OR(P527=26,P527=27),"+8",IF(OR(P527=28,P527=29),"+9",IF(P527=30,"+10"," "))))))))))))))))</f>
        <v>0</v>
      </c>
      <c r="R527" s="3" t="n">
        <v>10</v>
      </c>
      <c r="S527" s="1" t="str">
        <f aca="false">IF(R527=1,"-5",IF(OR(R527=2,R527=3),"-4",IF(OR(R527=4,R527=5),"-3",IF(OR(R527=6,R527=7),"-2",IF(OR(R527=8,R527=9),"-1",IF(OR(R527=10,R527=11),"0",IF(OR(R527=12,R527=13),"+1",IF(OR(R527=14,R527=15),"+2",IF(OR(R527=16,R527=17),"+3",IF(OR(R527=18,R527=19),"+4",IF(OR(R527=20,R527=21),"+5",IF(OR(R527=22,R527=23),"+6",IF(OR(R527=24,R527=25),"+7",IF(OR(R527=26,R527=27),"+8",IF(OR(R527=28,R527=29),"+9",IF(R527=30,"+10"," "))))))))))))))))</f>
        <v>0</v>
      </c>
      <c r="T527" s="3" t="n">
        <v>11</v>
      </c>
      <c r="U527" s="1" t="str">
        <f aca="false">IF(T527=1,"-5",IF(OR(T527=2,T527=3),"-4",IF(OR(T527=4,T527=5),"-3",IF(OR(T527=6,T527=7),"-2",IF(OR(T527=8,T527=9),"-1",IF(OR(T527=10,T527=11),"0",IF(OR(T527=12,T527=13),"+1",IF(OR(T527=14,T527=15),"+2",IF(OR(T527=16,T527=17),"+3",IF(OR(T527=18,T527=19),"+4",IF(OR(T527=20,T527=21),"+5",IF(OR(T527=22,T527=23),"+6",IF(OR(T527=24,T527=25),"+7",IF(OR(T527=26,T527=27),"+8",IF(OR(T527=28,T527=29),"+9",IF(T527=30,"+10"," "))))))))))))))))</f>
        <v>0</v>
      </c>
      <c r="V527" s="3" t="s">
        <v>37</v>
      </c>
      <c r="W527" s="3" t="s">
        <v>2512</v>
      </c>
      <c r="X527" s="11" t="s">
        <v>2513</v>
      </c>
      <c r="Y527" s="11" t="s">
        <v>2514</v>
      </c>
      <c r="Z527" s="11" t="s">
        <v>37</v>
      </c>
      <c r="AA527" s="12" t="s">
        <v>37</v>
      </c>
    </row>
    <row r="528" customFormat="false" ht="16.4" hidden="false" customHeight="false" outlineLevel="0" collapsed="false">
      <c r="A528" s="15" t="s">
        <v>2515</v>
      </c>
      <c r="B528" s="3" t="s">
        <v>158</v>
      </c>
      <c r="C528" s="3" t="s">
        <v>37</v>
      </c>
      <c r="D528" s="16" t="n">
        <v>0.5</v>
      </c>
      <c r="E528" s="3" t="n">
        <f aca="false">VLOOKUP(D528,'[1]REF Tables'!$A$2:$B$40,2)</f>
        <v>100</v>
      </c>
      <c r="F528" s="3" t="s">
        <v>50</v>
      </c>
      <c r="G528" s="3" t="n">
        <v>5</v>
      </c>
      <c r="H528" s="3" t="s">
        <v>2516</v>
      </c>
      <c r="I528" s="3" t="s">
        <v>2517</v>
      </c>
      <c r="J528" s="3" t="n">
        <v>5</v>
      </c>
      <c r="K528" s="1" t="str">
        <f aca="false">IF(J528=1,"-5",IF(OR(J528=2,J528=3),"-4",IF(OR(J528=4,J528=5),"-3",IF(OR(J528=6,J528=7),"-2",IF(OR(J528=8,J528=9),"-1",IF(OR(J528=10,J528=11),"0",IF(OR(J528=12,J528=13),"+1",IF(OR(J528=14,J528=15),"+2",IF(OR(J528=16,J528=17),"+3",IF(OR(J528=18,J528=19),"+4",IF(OR(J528=20,J528=21),"+5",IF(OR(J528=22,J528=23),"+6",IF(OR(J528=24,J528=25),"+7",IF(OR(J528=26,J528=27),"+8",IF(OR(J528=28,J528=29),"+9",IF(J528=30,"+10"," "))))))))))))))))</f>
        <v>-3</v>
      </c>
      <c r="L528" s="3" t="n">
        <v>1</v>
      </c>
      <c r="M528" s="1" t="str">
        <f aca="false">IF(L528=1,"-5",IF(OR(L528=2,L528=3),"-4",IF(OR(L528=4,L528=5),"-3",IF(OR(L528=6,L528=7),"-2",IF(OR(L528=8,L528=9),"-1",IF(OR(L528=10,L528=11),"0",IF(OR(L528=12,L528=13),"+1",IF(OR(L528=14,L528=15),"+2",IF(OR(L528=16,L528=17),"+3",IF(OR(L528=18,L528=19),"+4",IF(OR(L528=20,L528=21),"+5",IF(OR(L528=22,L528=23),"+6",IF(OR(L528=24,L528=25),"+7",IF(OR(L528=26,L528=27),"+8",IF(OR(L528=28,L528=29),"+9",IF(L528=30,"+10"," "))))))))))))))))</f>
        <v>-5</v>
      </c>
      <c r="N528" s="3" t="n">
        <v>3</v>
      </c>
      <c r="O528" s="1" t="str">
        <f aca="false">IF(N528=1,"-5",IF(OR(N528=2,N528=3),"-4",IF(OR(N528=4,N528=5),"-3",IF(OR(N528=6,N528=7),"-2",IF(OR(N528=8,N528=9),"-1",IF(OR(N528=10,N528=11),"0",IF(OR(N528=12,N528=13),"+1",IF(OR(N528=14,N528=15),"+2",IF(OR(N528=16,N528=17),"+3",IF(OR(N528=18,N528=19),"+4",IF(OR(N528=20,N528=21),"+5",IF(OR(N528=22,N528=23),"+6",IF(OR(N528=24,N528=25),"+7",IF(OR(N528=26,N528=27),"+8",IF(OR(N528=28,N528=29),"+9",IF(N528=30,"+10"," "))))))))))))))))</f>
        <v>-4</v>
      </c>
      <c r="P528" s="3" t="n">
        <v>1</v>
      </c>
      <c r="Q528" s="1" t="str">
        <f aca="false">IF(P528=1,"-5",IF(OR(P528=2,P528=3),"-4",IF(OR(P528=4,P528=5),"-3",IF(OR(P528=6,P528=7),"-2",IF(OR(P528=8,P528=9),"-1",IF(OR(P528=10,P528=11),"0",IF(OR(P528=12,P528=13),"+1",IF(OR(P528=14,P528=15),"+2",IF(OR(P528=16,P528=17),"+3",IF(OR(P528=18,P528=19),"+4",IF(OR(P528=20,P528=21),"+5",IF(OR(P528=22,P528=23),"+6",IF(OR(P528=24,P528=25),"+7",IF(OR(P528=26,P528=27),"+8",IF(OR(P528=28,P528=29),"+9",IF(P528=30,"+10"," "))))))))))))))))</f>
        <v>-5</v>
      </c>
      <c r="R528" s="3" t="n">
        <v>1</v>
      </c>
      <c r="S528" s="1" t="str">
        <f aca="false">IF(R528=1,"-5",IF(OR(R528=2,R528=3),"-4",IF(OR(R528=4,R528=5),"-3",IF(OR(R528=6,R528=7),"-2",IF(OR(R528=8,R528=9),"-1",IF(OR(R528=10,R528=11),"0",IF(OR(R528=12,R528=13),"+1",IF(OR(R528=14,R528=15),"+2",IF(OR(R528=16,R528=17),"+3",IF(OR(R528=18,R528=19),"+4",IF(OR(R528=20,R528=21),"+5",IF(OR(R528=22,R528=23),"+6",IF(OR(R528=24,R528=25),"+7",IF(OR(R528=26,R528=27),"+8",IF(OR(R528=28,R528=29),"+9",IF(R528=30,"+10"," "))))))))))))))))</f>
        <v>-5</v>
      </c>
      <c r="T528" s="3" t="n">
        <v>1</v>
      </c>
      <c r="U528" s="1" t="str">
        <f aca="false">IF(T528=1,"-5",IF(OR(T528=2,T528=3),"-4",IF(OR(T528=4,T528=5),"-3",IF(OR(T528=6,T528=7),"-2",IF(OR(T528=8,T528=9),"-1",IF(OR(T528=10,T528=11),"0",IF(OR(T528=12,T528=13),"+1",IF(OR(T528=14,T528=15),"+2",IF(OR(T528=16,T528=17),"+3",IF(OR(T528=18,T528=19),"+4",IF(OR(T528=20,T528=21),"+5",IF(OR(T528=22,T528=23),"+6",IF(OR(T528=24,T528=25),"+7",IF(OR(T528=26,T528=27),"+8",IF(OR(T528=28,T528=29),"+9",IF(T528=30,"+10"," "))))))))))))))))</f>
        <v>-5</v>
      </c>
      <c r="V528" s="3" t="s">
        <v>37</v>
      </c>
      <c r="W528" s="3" t="s">
        <v>37</v>
      </c>
      <c r="X528" s="11" t="s">
        <v>2518</v>
      </c>
      <c r="Y528" s="11" t="s">
        <v>2519</v>
      </c>
      <c r="Z528" s="11" t="s">
        <v>37</v>
      </c>
      <c r="AA528" s="12" t="s">
        <v>37</v>
      </c>
    </row>
    <row r="529" customFormat="false" ht="16.4" hidden="false" customHeight="false" outlineLevel="0" collapsed="false">
      <c r="A529" s="14" t="s">
        <v>2520</v>
      </c>
      <c r="B529" s="1" t="s">
        <v>77</v>
      </c>
      <c r="C529" s="1" t="s">
        <v>49</v>
      </c>
      <c r="D529" s="5" t="n">
        <v>0.25</v>
      </c>
      <c r="E529" s="3" t="n">
        <f aca="false">VLOOKUP(D529,'[1]REF Tables'!$A$2:$B$40,2)</f>
        <v>50</v>
      </c>
      <c r="F529" s="1" t="s">
        <v>30</v>
      </c>
      <c r="G529" s="1" t="n">
        <v>13</v>
      </c>
      <c r="H529" s="1" t="s">
        <v>136</v>
      </c>
      <c r="I529" s="3" t="s">
        <v>42</v>
      </c>
      <c r="J529" s="1" t="n">
        <v>10</v>
      </c>
      <c r="K529" s="1" t="str">
        <f aca="false">IF(J529=1,"-5",IF(OR(J529=2,J529=3),"-4",IF(OR(J529=4,J529=5),"-3",IF(OR(J529=6,J529=7),"-2",IF(OR(J529=8,J529=9),"-1",IF(OR(J529=10,J529=11),"0",IF(OR(J529=12,J529=13),"+1",IF(OR(J529=14,J529=15),"+2",IF(OR(J529=16,J529=17),"+3",IF(OR(J529=18,J529=19),"+4",IF(OR(J529=20,J529=21),"+5",IF(OR(J529=22,J529=23),"+6",IF(OR(J529=24,J529=25),"+7",IF(OR(J529=26,J529=27),"+8",IF(OR(J529=28,J529=29),"+9",IF(J529=30,"+10"," "))))))))))))))))</f>
        <v>0</v>
      </c>
      <c r="L529" s="1" t="n">
        <v>14</v>
      </c>
      <c r="M529" s="1" t="str">
        <f aca="false">IF(L529=1,"-5",IF(OR(L529=2,L529=3),"-4",IF(OR(L529=4,L529=5),"-3",IF(OR(L529=6,L529=7),"-2",IF(OR(L529=8,L529=9),"-1",IF(OR(L529=10,L529=11),"0",IF(OR(L529=12,L529=13),"+1",IF(OR(L529=14,L529=15),"+2",IF(OR(L529=16,L529=17),"+3",IF(OR(L529=18,L529=19),"+4",IF(OR(L529=20,L529=21),"+5",IF(OR(L529=22,L529=23),"+6",IF(OR(L529=24,L529=25),"+7",IF(OR(L529=26,L529=27),"+8",IF(OR(L529=28,L529=29),"+9",IF(L529=30,"+10"," "))))))))))))))))</f>
        <v>+2</v>
      </c>
      <c r="N529" s="1" t="n">
        <v>15</v>
      </c>
      <c r="O529" s="1" t="str">
        <f aca="false">IF(N529=1,"-5",IF(OR(N529=2,N529=3),"-4",IF(OR(N529=4,N529=5),"-3",IF(OR(N529=6,N529=7),"-2",IF(OR(N529=8,N529=9),"-1",IF(OR(N529=10,N529=11),"0",IF(OR(N529=12,N529=13),"+1",IF(OR(N529=14,N529=15),"+2",IF(OR(N529=16,N529=17),"+3",IF(OR(N529=18,N529=19),"+4",IF(OR(N529=20,N529=21),"+5",IF(OR(N529=22,N529=23),"+6",IF(OR(N529=24,N529=25),"+7",IF(OR(N529=26,N529=27),"+8",IF(OR(N529=28,N529=29),"+9",IF(N529=30,"+10"," "))))))))))))))))</f>
        <v>+2</v>
      </c>
      <c r="P529" s="1" t="n">
        <v>6</v>
      </c>
      <c r="Q529" s="1" t="str">
        <f aca="false">IF(P529=1,"-5",IF(OR(P529=2,P529=3),"-4",IF(OR(P529=4,P529=5),"-3",IF(OR(P529=6,P529=7),"-2",IF(OR(P529=8,P529=9),"-1",IF(OR(P529=10,P529=11),"0",IF(OR(P529=12,P529=13),"+1",IF(OR(P529=14,P529=15),"+2",IF(OR(P529=16,P529=17),"+3",IF(OR(P529=18,P529=19),"+4",IF(OR(P529=20,P529=21),"+5",IF(OR(P529=22,P529=23),"+6",IF(OR(P529=24,P529=25),"+7",IF(OR(P529=26,P529=27),"+8",IF(OR(P529=28,P529=29),"+9",IF(P529=30,"+10"," "))))))))))))))))</f>
        <v>-2</v>
      </c>
      <c r="R529" s="1" t="n">
        <v>8</v>
      </c>
      <c r="S529" s="1" t="str">
        <f aca="false">IF(R529=1,"-5",IF(OR(R529=2,R529=3),"-4",IF(OR(R529=4,R529=5),"-3",IF(OR(R529=6,R529=7),"-2",IF(OR(R529=8,R529=9),"-1",IF(OR(R529=10,R529=11),"0",IF(OR(R529=12,R529=13),"+1",IF(OR(R529=14,R529=15),"+2",IF(OR(R529=16,R529=17),"+3",IF(OR(R529=18,R529=19),"+4",IF(OR(R529=20,R529=21),"+5",IF(OR(R529=22,R529=23),"+6",IF(OR(R529=24,R529=25),"+7",IF(OR(R529=26,R529=27),"+8",IF(OR(R529=28,R529=29),"+9",IF(R529=30,"+10"," "))))))))))))))))</f>
        <v>-1</v>
      </c>
      <c r="T529" s="1" t="n">
        <v>5</v>
      </c>
      <c r="U529" s="1" t="str">
        <f aca="false">IF(T529=1,"-5",IF(OR(T529=2,T529=3),"-4",IF(OR(T529=4,T529=5),"-3",IF(OR(T529=6,T529=7),"-2",IF(OR(T529=8,T529=9),"-1",IF(OR(T529=10,T529=11),"0",IF(OR(T529=12,T529=13),"+1",IF(OR(T529=14,T529=15),"+2",IF(OR(T529=16,T529=17),"+3",IF(OR(T529=18,T529=19),"+4",IF(OR(T529=20,T529=21),"+5",IF(OR(T529=22,T529=23),"+6",IF(OR(T529=24,T529=25),"+7",IF(OR(T529=26,T529=27),"+8",IF(OR(T529=28,T529=29),"+9",IF(T529=30,"+10"," "))))))))))))))))</f>
        <v>-3</v>
      </c>
      <c r="V529" s="1" t="s">
        <v>37</v>
      </c>
      <c r="W529" s="1" t="s">
        <v>2521</v>
      </c>
      <c r="X529" s="1" t="s">
        <v>2522</v>
      </c>
      <c r="Y529" s="2" t="s">
        <v>2523</v>
      </c>
      <c r="Z529" s="2" t="s">
        <v>37</v>
      </c>
      <c r="AA529" s="1" t="s">
        <v>37</v>
      </c>
    </row>
    <row r="530" customFormat="false" ht="16.4" hidden="false" customHeight="false" outlineLevel="0" collapsed="false">
      <c r="A530" s="15" t="s">
        <v>2524</v>
      </c>
      <c r="B530" s="3" t="s">
        <v>77</v>
      </c>
      <c r="C530" s="3" t="s">
        <v>49</v>
      </c>
      <c r="D530" s="16" t="n">
        <v>0.5</v>
      </c>
      <c r="E530" s="3" t="n">
        <f aca="false">VLOOKUP(D530,'[1]REF Tables'!$A$2:$B$40,2)</f>
        <v>100</v>
      </c>
      <c r="F530" s="3" t="s">
        <v>50</v>
      </c>
      <c r="G530" s="3" t="n">
        <v>13</v>
      </c>
      <c r="H530" s="3" t="s">
        <v>2396</v>
      </c>
      <c r="I530" s="3" t="s">
        <v>94</v>
      </c>
      <c r="J530" s="3" t="n">
        <v>18</v>
      </c>
      <c r="K530" s="1" t="str">
        <f aca="false">IF(J530=1,"-5",IF(OR(J530=2,J530=3),"-4",IF(OR(J530=4,J530=5),"-3",IF(OR(J530=6,J530=7),"-2",IF(OR(J530=8,J530=9),"-1",IF(OR(J530=10,J530=11),"0",IF(OR(J530=12,J530=13),"+1",IF(OR(J530=14,J530=15),"+2",IF(OR(J530=16,J530=17),"+3",IF(OR(J530=18,J530=19),"+4",IF(OR(J530=20,J530=21),"+5",IF(OR(J530=22,J530=23),"+6",IF(OR(J530=24,J530=25),"+7",IF(OR(J530=26,J530=27),"+8",IF(OR(J530=28,J530=29),"+9",IF(J530=30,"+10"," "))))))))))))))))</f>
        <v>+4</v>
      </c>
      <c r="L530" s="3" t="n">
        <v>12</v>
      </c>
      <c r="M530" s="1" t="str">
        <f aca="false">IF(L530=1,"-5",IF(OR(L530=2,L530=3),"-4",IF(OR(L530=4,L530=5),"-3",IF(OR(L530=6,L530=7),"-2",IF(OR(L530=8,L530=9),"-1",IF(OR(L530=10,L530=11),"0",IF(OR(L530=12,L530=13),"+1",IF(OR(L530=14,L530=15),"+2",IF(OR(L530=16,L530=17),"+3",IF(OR(L530=18,L530=19),"+4",IF(OR(L530=20,L530=21),"+5",IF(OR(L530=22,L530=23),"+6",IF(OR(L530=24,L530=25),"+7",IF(OR(L530=26,L530=27),"+8",IF(OR(L530=28,L530=29),"+9",IF(L530=30,"+10"," "))))))))))))))))</f>
        <v>+1</v>
      </c>
      <c r="N530" s="3" t="n">
        <v>15</v>
      </c>
      <c r="O530" s="1" t="str">
        <f aca="false">IF(N530=1,"-5",IF(OR(N530=2,N530=3),"-4",IF(OR(N530=4,N530=5),"-3",IF(OR(N530=6,N530=7),"-2",IF(OR(N530=8,N530=9),"-1",IF(OR(N530=10,N530=11),"0",IF(OR(N530=12,N530=13),"+1",IF(OR(N530=14,N530=15),"+2",IF(OR(N530=16,N530=17),"+3",IF(OR(N530=18,N530=19),"+4",IF(OR(N530=20,N530=21),"+5",IF(OR(N530=22,N530=23),"+6",IF(OR(N530=24,N530=25),"+7",IF(OR(N530=26,N530=27),"+8",IF(OR(N530=28,N530=29),"+9",IF(N530=30,"+10"," "))))))))))))))))</f>
        <v>+2</v>
      </c>
      <c r="P530" s="3" t="n">
        <v>2</v>
      </c>
      <c r="Q530" s="1" t="str">
        <f aca="false">IF(P530=1,"-5",IF(OR(P530=2,P530=3),"-4",IF(OR(P530=4,P530=5),"-3",IF(OR(P530=6,P530=7),"-2",IF(OR(P530=8,P530=9),"-1",IF(OR(P530=10,P530=11),"0",IF(OR(P530=12,P530=13),"+1",IF(OR(P530=14,P530=15),"+2",IF(OR(P530=16,P530=17),"+3",IF(OR(P530=18,P530=19),"+4",IF(OR(P530=20,P530=21),"+5",IF(OR(P530=22,P530=23),"+6",IF(OR(P530=24,P530=25),"+7",IF(OR(P530=26,P530=27),"+8",IF(OR(P530=28,P530=29),"+9",IF(P530=30,"+10"," "))))))))))))))))</f>
        <v>-4</v>
      </c>
      <c r="R530" s="3" t="n">
        <v>8</v>
      </c>
      <c r="S530" s="1" t="str">
        <f aca="false">IF(R530=1,"-5",IF(OR(R530=2,R530=3),"-4",IF(OR(R530=4,R530=5),"-3",IF(OR(R530=6,R530=7),"-2",IF(OR(R530=8,R530=9),"-1",IF(OR(R530=10,R530=11),"0",IF(OR(R530=12,R530=13),"+1",IF(OR(R530=14,R530=15),"+2",IF(OR(R530=16,R530=17),"+3",IF(OR(R530=18,R530=19),"+4",IF(OR(R530=20,R530=21),"+5",IF(OR(R530=22,R530=23),"+6",IF(OR(R530=24,R530=25),"+7",IF(OR(R530=26,R530=27),"+8",IF(OR(R530=28,R530=29),"+9",IF(R530=30,"+10"," "))))))))))))))))</f>
        <v>-1</v>
      </c>
      <c r="T530" s="3" t="n">
        <v>5</v>
      </c>
      <c r="U530" s="1" t="str">
        <f aca="false">IF(T530=1,"-5",IF(OR(T530=2,T530=3),"-4",IF(OR(T530=4,T530=5),"-3",IF(OR(T530=6,T530=7),"-2",IF(OR(T530=8,T530=9),"-1",IF(OR(T530=10,T530=11),"0",IF(OR(T530=12,T530=13),"+1",IF(OR(T530=14,T530=15),"+2",IF(OR(T530=16,T530=17),"+3",IF(OR(T530=18,T530=19),"+4",IF(OR(T530=20,T530=21),"+5",IF(OR(T530=22,T530=23),"+6",IF(OR(T530=24,T530=25),"+7",IF(OR(T530=26,T530=27),"+8",IF(OR(T530=28,T530=29),"+9",IF(T530=30,"+10"," "))))))))))))))))</f>
        <v>-3</v>
      </c>
      <c r="V530" s="3" t="s">
        <v>37</v>
      </c>
      <c r="W530" s="3" t="s">
        <v>37</v>
      </c>
      <c r="X530" s="11" t="s">
        <v>2525</v>
      </c>
      <c r="Y530" s="11" t="s">
        <v>453</v>
      </c>
      <c r="Z530" s="11" t="s">
        <v>37</v>
      </c>
      <c r="AA530" s="12" t="s">
        <v>37</v>
      </c>
    </row>
    <row r="531" customFormat="false" ht="16.4" hidden="false" customHeight="false" outlineLevel="0" collapsed="false">
      <c r="A531" s="15" t="s">
        <v>2526</v>
      </c>
      <c r="B531" s="3" t="s">
        <v>77</v>
      </c>
      <c r="C531" s="3" t="s">
        <v>49</v>
      </c>
      <c r="D531" s="16" t="n">
        <v>2</v>
      </c>
      <c r="E531" s="3" t="n">
        <f aca="false">VLOOKUP(D531,'[1]REF Tables'!$A$2:$B$40,2)</f>
        <v>450</v>
      </c>
      <c r="F531" s="3" t="s">
        <v>50</v>
      </c>
      <c r="G531" s="3" t="n">
        <v>12</v>
      </c>
      <c r="H531" s="3" t="s">
        <v>1747</v>
      </c>
      <c r="I531" s="3" t="s">
        <v>224</v>
      </c>
      <c r="J531" s="3" t="n">
        <v>18</v>
      </c>
      <c r="K531" s="1" t="str">
        <f aca="false">IF(J531=1,"-5",IF(OR(J531=2,J531=3),"-4",IF(OR(J531=4,J531=5),"-3",IF(OR(J531=6,J531=7),"-2",IF(OR(J531=8,J531=9),"-1",IF(OR(J531=10,J531=11),"0",IF(OR(J531=12,J531=13),"+1",IF(OR(J531=14,J531=15),"+2",IF(OR(J531=16,J531=17),"+3",IF(OR(J531=18,J531=19),"+4",IF(OR(J531=20,J531=21),"+5",IF(OR(J531=22,J531=23),"+6",IF(OR(J531=24,J531=25),"+7",IF(OR(J531=26,J531=27),"+8",IF(OR(J531=28,J531=29),"+9",IF(J531=30,"+10"," "))))))))))))))))</f>
        <v>+4</v>
      </c>
      <c r="L531" s="3" t="n">
        <v>11</v>
      </c>
      <c r="M531" s="1" t="str">
        <f aca="false">IF(L531=1,"-5",IF(OR(L531=2,L531=3),"-4",IF(OR(L531=4,L531=5),"-3",IF(OR(L531=6,L531=7),"-2",IF(OR(L531=8,L531=9),"-1",IF(OR(L531=10,L531=11),"0",IF(OR(L531=12,L531=13),"+1",IF(OR(L531=14,L531=15),"+2",IF(OR(L531=16,L531=17),"+3",IF(OR(L531=18,L531=19),"+4",IF(OR(L531=20,L531=21),"+5",IF(OR(L531=22,L531=23),"+6",IF(OR(L531=24,L531=25),"+7",IF(OR(L531=26,L531=27),"+8",IF(OR(L531=28,L531=29),"+9",IF(L531=30,"+10"," "))))))))))))))))</f>
        <v>0</v>
      </c>
      <c r="N531" s="3" t="n">
        <v>15</v>
      </c>
      <c r="O531" s="1" t="str">
        <f aca="false">IF(N531=1,"-5",IF(OR(N531=2,N531=3),"-4",IF(OR(N531=4,N531=5),"-3",IF(OR(N531=6,N531=7),"-2",IF(OR(N531=8,N531=9),"-1",IF(OR(N531=10,N531=11),"0",IF(OR(N531=12,N531=13),"+1",IF(OR(N531=14,N531=15),"+2",IF(OR(N531=16,N531=17),"+3",IF(OR(N531=18,N531=19),"+4",IF(OR(N531=20,N531=21),"+5",IF(OR(N531=22,N531=23),"+6",IF(OR(N531=24,N531=25),"+7",IF(OR(N531=26,N531=27),"+8",IF(OR(N531=28,N531=29),"+9",IF(N531=30,"+10"," "))))))))))))))))</f>
        <v>+2</v>
      </c>
      <c r="P531" s="3" t="n">
        <v>6</v>
      </c>
      <c r="Q531" s="1" t="str">
        <f aca="false">IF(P531=1,"-5",IF(OR(P531=2,P531=3),"-4",IF(OR(P531=4,P531=5),"-3",IF(OR(P531=6,P531=7),"-2",IF(OR(P531=8,P531=9),"-1",IF(OR(P531=10,P531=11),"0",IF(OR(P531=12,P531=13),"+1",IF(OR(P531=14,P531=15),"+2",IF(OR(P531=16,P531=17),"+3",IF(OR(P531=18,P531=19),"+4",IF(OR(P531=20,P531=21),"+5",IF(OR(P531=22,P531=23),"+6",IF(OR(P531=24,P531=25),"+7",IF(OR(P531=26,P531=27),"+8",IF(OR(P531=28,P531=29),"+9",IF(P531=30,"+10"," "))))))))))))))))</f>
        <v>-2</v>
      </c>
      <c r="R531" s="3" t="n">
        <v>8</v>
      </c>
      <c r="S531" s="1" t="str">
        <f aca="false">IF(R531=1,"-5",IF(OR(R531=2,R531=3),"-4",IF(OR(R531=4,R531=5),"-3",IF(OR(R531=6,R531=7),"-2",IF(OR(R531=8,R531=9),"-1",IF(OR(R531=10,R531=11),"0",IF(OR(R531=12,R531=13),"+1",IF(OR(R531=14,R531=15),"+2",IF(OR(R531=16,R531=17),"+3",IF(OR(R531=18,R531=19),"+4",IF(OR(R531=20,R531=21),"+5",IF(OR(R531=22,R531=23),"+6",IF(OR(R531=24,R531=25),"+7",IF(OR(R531=26,R531=27),"+8",IF(OR(R531=28,R531=29),"+9",IF(R531=30,"+10"," "))))))))))))))))</f>
        <v>-1</v>
      </c>
      <c r="T531" s="3" t="n">
        <v>5</v>
      </c>
      <c r="U531" s="1" t="str">
        <f aca="false">IF(T531=1,"-5",IF(OR(T531=2,T531=3),"-4",IF(OR(T531=4,T531=5),"-3",IF(OR(T531=6,T531=7),"-2",IF(OR(T531=8,T531=9),"-1",IF(OR(T531=10,T531=11),"0",IF(OR(T531=12,T531=13),"+1",IF(OR(T531=14,T531=15),"+2",IF(OR(T531=16,T531=17),"+3",IF(OR(T531=18,T531=19),"+4",IF(OR(T531=20,T531=21),"+5",IF(OR(T531=22,T531=23),"+6",IF(OR(T531=24,T531=25),"+7",IF(OR(T531=26,T531=27),"+8",IF(OR(T531=28,T531=29),"+9",IF(T531=30,"+10"," "))))))))))))))))</f>
        <v>-3</v>
      </c>
      <c r="V531" s="3" t="s">
        <v>37</v>
      </c>
      <c r="W531" s="3" t="s">
        <v>670</v>
      </c>
      <c r="X531" s="11" t="s">
        <v>2527</v>
      </c>
      <c r="Y531" s="11" t="s">
        <v>1906</v>
      </c>
      <c r="Z531" s="11" t="s">
        <v>37</v>
      </c>
      <c r="AA531" s="12" t="s">
        <v>37</v>
      </c>
    </row>
    <row r="532" customFormat="false" ht="1001.45" hidden="false" customHeight="false" outlineLevel="0" collapsed="false">
      <c r="A532" s="14" t="s">
        <v>2528</v>
      </c>
      <c r="B532" s="1" t="s">
        <v>59</v>
      </c>
      <c r="C532" s="1" t="s">
        <v>37</v>
      </c>
      <c r="D532" s="5" t="n">
        <v>0.125</v>
      </c>
      <c r="E532" s="3" t="n">
        <f aca="false">VLOOKUP(D532,'[1]REF Tables'!$A$2:$B$40,2)</f>
        <v>25</v>
      </c>
      <c r="F532" s="1" t="s">
        <v>315</v>
      </c>
      <c r="G532" s="1" t="n">
        <v>14</v>
      </c>
      <c r="H532" s="1" t="s">
        <v>438</v>
      </c>
      <c r="I532" s="3" t="s">
        <v>1215</v>
      </c>
      <c r="J532" s="1" t="n">
        <v>4</v>
      </c>
      <c r="K532" s="1" t="str">
        <f aca="false">IF(J532=1,"-5",IF(OR(J532=2,J532=3),"-4",IF(OR(J532=4,J532=5),"-3",IF(OR(J532=6,J532=7),"-2",IF(OR(J532=8,J532=9),"-1",IF(OR(J532=10,J532=11),"0",IF(OR(J532=12,J532=13),"+1",IF(OR(J532=14,J532=15),"+2",IF(OR(J532=16,J532=17),"+3",IF(OR(J532=18,J532=19),"+4",IF(OR(J532=20,J532=21),"+5",IF(OR(J532=22,J532=23),"+6",IF(OR(J532=24,J532=25),"+7",IF(OR(J532=26,J532=27),"+8",IF(OR(J532=28,J532=29),"+9",IF(J532=30,"+10"," "))))))))))))))))</f>
        <v>-3</v>
      </c>
      <c r="L532" s="1" t="n">
        <v>16</v>
      </c>
      <c r="M532" s="1" t="str">
        <f aca="false">IF(L532=1,"-5",IF(OR(L532=2,L532=3),"-4",IF(OR(L532=4,L532=5),"-3",IF(OR(L532=6,L532=7),"-2",IF(OR(L532=8,L532=9),"-1",IF(OR(L532=10,L532=11),"0",IF(OR(L532=12,L532=13),"+1",IF(OR(L532=14,L532=15),"+2",IF(OR(L532=16,L532=17),"+3",IF(OR(L532=18,L532=19),"+4",IF(OR(L532=20,L532=21),"+5",IF(OR(L532=22,L532=23),"+6",IF(OR(L532=24,L532=25),"+7",IF(OR(L532=26,L532=27),"+8",IF(OR(L532=28,L532=29),"+9",IF(L532=30,"+10"," "))))))))))))))))</f>
        <v>+3</v>
      </c>
      <c r="N532" s="1" t="n">
        <v>11</v>
      </c>
      <c r="O532" s="1" t="str">
        <f aca="false">IF(N532=1,"-5",IF(OR(N532=2,N532=3),"-4",IF(OR(N532=4,N532=5),"-3",IF(OR(N532=6,N532=7),"-2",IF(OR(N532=8,N532=9),"-1",IF(OR(N532=10,N532=11),"0",IF(OR(N532=12,N532=13),"+1",IF(OR(N532=14,N532=15),"+2",IF(OR(N532=16,N532=17),"+3",IF(OR(N532=18,N532=19),"+4",IF(OR(N532=20,N532=21),"+5",IF(OR(N532=22,N532=23),"+6",IF(OR(N532=24,N532=25),"+7",IF(OR(N532=26,N532=27),"+8",IF(OR(N532=28,N532=29),"+9",IF(N532=30,"+10"," "))))))))))))))))</f>
        <v>0</v>
      </c>
      <c r="P532" s="1" t="n">
        <v>2</v>
      </c>
      <c r="Q532" s="1" t="str">
        <f aca="false">IF(P532=1,"-5",IF(OR(P532=2,P532=3),"-4",IF(OR(P532=4,P532=5),"-3",IF(OR(P532=6,P532=7),"-2",IF(OR(P532=8,P532=9),"-1",IF(OR(P532=10,P532=11),"0",IF(OR(P532=12,P532=13),"+1",IF(OR(P532=14,P532=15),"+2",IF(OR(P532=16,P532=17),"+3",IF(OR(P532=18,P532=19),"+4",IF(OR(P532=20,P532=21),"+5",IF(OR(P532=22,P532=23),"+6",IF(OR(P532=24,P532=25),"+7",IF(OR(P532=26,P532=27),"+8",IF(OR(P532=28,P532=29),"+9",IF(P532=30,"+10"," "))))))))))))))))</f>
        <v>-4</v>
      </c>
      <c r="R532" s="1" t="n">
        <v>8</v>
      </c>
      <c r="S532" s="1" t="str">
        <f aca="false">IF(R532=1,"-5",IF(OR(R532=2,R532=3),"-4",IF(OR(R532=4,R532=5),"-3",IF(OR(R532=6,R532=7),"-2",IF(OR(R532=8,R532=9),"-1",IF(OR(R532=10,R532=11),"0",IF(OR(R532=12,R532=13),"+1",IF(OR(R532=14,R532=15),"+2",IF(OR(R532=16,R532=17),"+3",IF(OR(R532=18,R532=19),"+4",IF(OR(R532=20,R532=21),"+5",IF(OR(R532=22,R532=23),"+6",IF(OR(R532=24,R532=25),"+7",IF(OR(R532=26,R532=27),"+8",IF(OR(R532=28,R532=29),"+9",IF(R532=30,"+10"," "))))))))))))))))</f>
        <v>-1</v>
      </c>
      <c r="T532" s="1" t="n">
        <v>6</v>
      </c>
      <c r="U532" s="1" t="str">
        <f aca="false">IF(T532=1,"-5",IF(OR(T532=2,T532=3),"-4",IF(OR(T532=4,T532=5),"-3",IF(OR(T532=6,T532=7),"-2",IF(OR(T532=8,T532=9),"-1",IF(OR(T532=10,T532=11),"0",IF(OR(T532=12,T532=13),"+1",IF(OR(T532=14,T532=15),"+2",IF(OR(T532=16,T532=17),"+3",IF(OR(T532=18,T532=19),"+4",IF(OR(T532=20,T532=21),"+5",IF(OR(T532=22,T532=23),"+6",IF(OR(T532=24,T532=25),"+7",IF(OR(T532=26,T532=27),"+8",IF(OR(T532=28,T532=29),"+9",IF(T532=30,"+10"," "))))))))))))))))</f>
        <v>-2</v>
      </c>
      <c r="V532" s="1" t="s">
        <v>37</v>
      </c>
      <c r="W532" s="1" t="s">
        <v>37</v>
      </c>
      <c r="X532" s="2" t="s">
        <v>2529</v>
      </c>
      <c r="Y532" s="13" t="s">
        <v>2530</v>
      </c>
      <c r="Z532" s="2" t="s">
        <v>37</v>
      </c>
      <c r="AA532" s="1" t="s">
        <v>37</v>
      </c>
    </row>
    <row r="533" customFormat="false" ht="16.4" hidden="false" customHeight="false" outlineLevel="0" collapsed="false">
      <c r="A533" s="15" t="s">
        <v>2531</v>
      </c>
      <c r="B533" s="3" t="s">
        <v>287</v>
      </c>
      <c r="C533" s="3" t="s">
        <v>85</v>
      </c>
      <c r="D533" s="16" t="n">
        <v>4</v>
      </c>
      <c r="E533" s="6" t="n">
        <f aca="false">VLOOKUP(D533,'[1]REF Tables'!$A$2:$B$40,2)</f>
        <v>1100</v>
      </c>
      <c r="F533" s="3" t="s">
        <v>30</v>
      </c>
      <c r="G533" s="3" t="n">
        <v>15</v>
      </c>
      <c r="H533" s="3" t="s">
        <v>365</v>
      </c>
      <c r="I533" s="3" t="s">
        <v>388</v>
      </c>
      <c r="J533" s="3" t="n">
        <v>8</v>
      </c>
      <c r="K533" s="1" t="str">
        <f aca="false">IF(J533=1,"-5",IF(OR(J533=2,J533=3),"-4",IF(OR(J533=4,J533=5),"-3",IF(OR(J533=6,J533=7),"-2",IF(OR(J533=8,J533=9),"-1",IF(OR(J533=10,J533=11),"0",IF(OR(J533=12,J533=13),"+1",IF(OR(J533=14,J533=15),"+2",IF(OR(J533=16,J533=17),"+3",IF(OR(J533=18,J533=19),"+4",IF(OR(J533=20,J533=21),"+5",IF(OR(J533=22,J533=23),"+6",IF(OR(J533=24,J533=25),"+7",IF(OR(J533=26,J533=27),"+8",IF(OR(J533=28,J533=29),"+9",IF(J533=30,"+10"," "))))))))))))))))</f>
        <v>-1</v>
      </c>
      <c r="L533" s="3" t="n">
        <v>17</v>
      </c>
      <c r="M533" s="1" t="str">
        <f aca="false">IF(L533=1,"-5",IF(OR(L533=2,L533=3),"-4",IF(OR(L533=4,L533=5),"-3",IF(OR(L533=6,L533=7),"-2",IF(OR(L533=8,L533=9),"-1",IF(OR(L533=10,L533=11),"0",IF(OR(L533=12,L533=13),"+1",IF(OR(L533=14,L533=15),"+2",IF(OR(L533=16,L533=17),"+3",IF(OR(L533=18,L533=19),"+4",IF(OR(L533=20,L533=21),"+5",IF(OR(L533=22,L533=23),"+6",IF(OR(L533=24,L533=25),"+7",IF(OR(L533=26,L533=27),"+8",IF(OR(L533=28,L533=29),"+9",IF(L533=30,"+10"," "))))))))))))))))</f>
        <v>+3</v>
      </c>
      <c r="N533" s="3" t="n">
        <v>13</v>
      </c>
      <c r="O533" s="1" t="str">
        <f aca="false">IF(N533=1,"-5",IF(OR(N533=2,N533=3),"-4",IF(OR(N533=4,N533=5),"-3",IF(OR(N533=6,N533=7),"-2",IF(OR(N533=8,N533=9),"-1",IF(OR(N533=10,N533=11),"0",IF(OR(N533=12,N533=13),"+1",IF(OR(N533=14,N533=15),"+2",IF(OR(N533=16,N533=17),"+3",IF(OR(N533=18,N533=19),"+4",IF(OR(N533=20,N533=21),"+5",IF(OR(N533=22,N533=23),"+6",IF(OR(N533=24,N533=25),"+7",IF(OR(N533=26,N533=27),"+8",IF(OR(N533=28,N533=29),"+9",IF(N533=30,"+10"," "))))))))))))))))</f>
        <v>+1</v>
      </c>
      <c r="P533" s="3" t="n">
        <v>15</v>
      </c>
      <c r="Q533" s="1" t="str">
        <f aca="false">IF(P533=1,"-5",IF(OR(P533=2,P533=3),"-4",IF(OR(P533=4,P533=5),"-3",IF(OR(P533=6,P533=7),"-2",IF(OR(P533=8,P533=9),"-1",IF(OR(P533=10,P533=11),"0",IF(OR(P533=12,P533=13),"+1",IF(OR(P533=14,P533=15),"+2",IF(OR(P533=16,P533=17),"+3",IF(OR(P533=18,P533=19),"+4",IF(OR(P533=20,P533=21),"+5",IF(OR(P533=22,P533=23),"+6",IF(OR(P533=24,P533=25),"+7",IF(OR(P533=26,P533=27),"+8",IF(OR(P533=28,P533=29),"+9",IF(P533=30,"+10"," "))))))))))))))))</f>
        <v>+2</v>
      </c>
      <c r="R533" s="3" t="n">
        <v>12</v>
      </c>
      <c r="S533" s="1" t="str">
        <f aca="false">IF(R533=1,"-5",IF(OR(R533=2,R533=3),"-4",IF(OR(R533=4,R533=5),"-3",IF(OR(R533=6,R533=7),"-2",IF(OR(R533=8,R533=9),"-1",IF(OR(R533=10,R533=11),"0",IF(OR(R533=12,R533=13),"+1",IF(OR(R533=14,R533=15),"+2",IF(OR(R533=16,R533=17),"+3",IF(OR(R533=18,R533=19),"+4",IF(OR(R533=20,R533=21),"+5",IF(OR(R533=22,R533=23),"+6",IF(OR(R533=24,R533=25),"+7",IF(OR(R533=26,R533=27),"+8",IF(OR(R533=28,R533=29),"+9",IF(R533=30,"+10"," "))))))))))))))))</f>
        <v>+1</v>
      </c>
      <c r="T533" s="3" t="n">
        <v>20</v>
      </c>
      <c r="U533" s="1" t="str">
        <f aca="false">IF(T533=1,"-5",IF(OR(T533=2,T533=3),"-4",IF(OR(T533=4,T533=5),"-3",IF(OR(T533=6,T533=7),"-2",IF(OR(T533=8,T533=9),"-1",IF(OR(T533=10,T533=11),"0",IF(OR(T533=12,T533=13),"+1",IF(OR(T533=14,T533=15),"+2",IF(OR(T533=16,T533=17),"+3",IF(OR(T533=18,T533=19),"+4",IF(OR(T533=20,T533=21),"+5",IF(OR(T533=22,T533=23),"+6",IF(OR(T533=24,T533=25),"+7",IF(OR(T533=26,T533=27),"+8",IF(OR(T533=28,T533=29),"+9",IF(T533=30,"+10"," "))))))))))))))))</f>
        <v>+5</v>
      </c>
      <c r="V533" s="3" t="s">
        <v>2532</v>
      </c>
      <c r="W533" s="3" t="s">
        <v>2533</v>
      </c>
      <c r="X533" s="11" t="s">
        <v>2534</v>
      </c>
      <c r="Y533" s="11" t="s">
        <v>2535</v>
      </c>
      <c r="Z533" s="11" t="s">
        <v>37</v>
      </c>
      <c r="AA533" s="12" t="s">
        <v>37</v>
      </c>
    </row>
    <row r="534" customFormat="false" ht="16.4" hidden="false" customHeight="false" outlineLevel="0" collapsed="false">
      <c r="A534" s="15" t="s">
        <v>2536</v>
      </c>
      <c r="B534" s="3" t="s">
        <v>158</v>
      </c>
      <c r="C534" s="3" t="s">
        <v>748</v>
      </c>
      <c r="D534" s="16" t="n">
        <v>9</v>
      </c>
      <c r="E534" s="6" t="n">
        <f aca="false">VLOOKUP(D534,'[1]REF Tables'!$A$2:$B$40,2)</f>
        <v>5000</v>
      </c>
      <c r="F534" s="3" t="s">
        <v>121</v>
      </c>
      <c r="G534" s="3" t="n">
        <v>16</v>
      </c>
      <c r="H534" s="3" t="s">
        <v>615</v>
      </c>
      <c r="I534" s="3" t="s">
        <v>42</v>
      </c>
      <c r="J534" s="3" t="n">
        <v>23</v>
      </c>
      <c r="K534" s="1" t="str">
        <f aca="false">IF(J534=1,"-5",IF(OR(J534=2,J534=3),"-4",IF(OR(J534=4,J534=5),"-3",IF(OR(J534=6,J534=7),"-2",IF(OR(J534=8,J534=9),"-1",IF(OR(J534=10,J534=11),"0",IF(OR(J534=12,J534=13),"+1",IF(OR(J534=14,J534=15),"+2",IF(OR(J534=16,J534=17),"+3",IF(OR(J534=18,J534=19),"+4",IF(OR(J534=20,J534=21),"+5",IF(OR(J534=22,J534=23),"+6",IF(OR(J534=24,J534=25),"+7",IF(OR(J534=26,J534=27),"+8",IF(OR(J534=28,J534=29),"+9",IF(J534=30,"+10"," "))))))))))))))))</f>
        <v>+6</v>
      </c>
      <c r="L534" s="3" t="n">
        <v>8</v>
      </c>
      <c r="M534" s="1" t="str">
        <f aca="false">IF(L534=1,"-5",IF(OR(L534=2,L534=3),"-4",IF(OR(L534=4,L534=5),"-3",IF(OR(L534=6,L534=7),"-2",IF(OR(L534=8,L534=9),"-1",IF(OR(L534=10,L534=11),"0",IF(OR(L534=12,L534=13),"+1",IF(OR(L534=14,L534=15),"+2",IF(OR(L534=16,L534=17),"+3",IF(OR(L534=18,L534=19),"+4",IF(OR(L534=20,L534=21),"+5",IF(OR(L534=22,L534=23),"+6",IF(OR(L534=24,L534=25),"+7",IF(OR(L534=26,L534=27),"+8",IF(OR(L534=28,L534=29),"+9",IF(L534=30,"+10"," "))))))))))))))))</f>
        <v>-1</v>
      </c>
      <c r="N534" s="3" t="n">
        <v>21</v>
      </c>
      <c r="O534" s="1" t="str">
        <f aca="false">IF(N534=1,"-5",IF(OR(N534=2,N534=3),"-4",IF(OR(N534=4,N534=5),"-3",IF(OR(N534=6,N534=7),"-2",IF(OR(N534=8,N534=9),"-1",IF(OR(N534=10,N534=11),"0",IF(OR(N534=12,N534=13),"+1",IF(OR(N534=14,N534=15),"+2",IF(OR(N534=16,N534=17),"+3",IF(OR(N534=18,N534=19),"+4",IF(OR(N534=20,N534=21),"+5",IF(OR(N534=22,N534=23),"+6",IF(OR(N534=24,N534=25),"+7",IF(OR(N534=26,N534=27),"+8",IF(OR(N534=28,N534=29),"+9",IF(N534=30,"+10"," "))))))))))))))))</f>
        <v>+5</v>
      </c>
      <c r="P534" s="3" t="n">
        <v>12</v>
      </c>
      <c r="Q534" s="1" t="str">
        <f aca="false">IF(P534=1,"-5",IF(OR(P534=2,P534=3),"-4",IF(OR(P534=4,P534=5),"-3",IF(OR(P534=6,P534=7),"-2",IF(OR(P534=8,P534=9),"-1",IF(OR(P534=10,P534=11),"0",IF(OR(P534=12,P534=13),"+1",IF(OR(P534=14,P534=15),"+2",IF(OR(P534=16,P534=17),"+3",IF(OR(P534=18,P534=19),"+4",IF(OR(P534=20,P534=21),"+5",IF(OR(P534=22,P534=23),"+6",IF(OR(P534=24,P534=25),"+7",IF(OR(P534=26,P534=27),"+8",IF(OR(P534=28,P534=29),"+9",IF(P534=30,"+10"," "))))))))))))))))</f>
        <v>+1</v>
      </c>
      <c r="R534" s="3" t="n">
        <v>16</v>
      </c>
      <c r="S534" s="1" t="str">
        <f aca="false">IF(R534=1,"-5",IF(OR(R534=2,R534=3),"-4",IF(OR(R534=4,R534=5),"-3",IF(OR(R534=6,R534=7),"-2",IF(OR(R534=8,R534=9),"-1",IF(OR(R534=10,R534=11),"0",IF(OR(R534=12,R534=13),"+1",IF(OR(R534=14,R534=15),"+2",IF(OR(R534=16,R534=17),"+3",IF(OR(R534=18,R534=19),"+4",IF(OR(R534=20,R534=21),"+5",IF(OR(R534=22,R534=23),"+6",IF(OR(R534=24,R534=25),"+7",IF(OR(R534=26,R534=27),"+8",IF(OR(R534=28,R534=29),"+9",IF(R534=30,"+10"," "))))))))))))))))</f>
        <v>+3</v>
      </c>
      <c r="T534" s="3" t="n">
        <v>12</v>
      </c>
      <c r="U534" s="1" t="str">
        <f aca="false">IF(T534=1,"-5",IF(OR(T534=2,T534=3),"-4",IF(OR(T534=4,T534=5),"-3",IF(OR(T534=6,T534=7),"-2",IF(OR(T534=8,T534=9),"-1",IF(OR(T534=10,T534=11),"0",IF(OR(T534=12,T534=13),"+1",IF(OR(T534=14,T534=15),"+2",IF(OR(T534=16,T534=17),"+3",IF(OR(T534=18,T534=19),"+4",IF(OR(T534=20,T534=21),"+5",IF(OR(T534=22,T534=23),"+6",IF(OR(T534=24,T534=25),"+7",IF(OR(T534=26,T534=27),"+8",IF(OR(T534=28,T534=29),"+9",IF(T534=30,"+10"," "))))))))))))))))</f>
        <v>+1</v>
      </c>
      <c r="V534" s="3" t="s">
        <v>37</v>
      </c>
      <c r="W534" s="3" t="s">
        <v>2537</v>
      </c>
      <c r="X534" s="11" t="s">
        <v>2538</v>
      </c>
      <c r="Y534" s="11" t="s">
        <v>2539</v>
      </c>
      <c r="Z534" s="11" t="s">
        <v>37</v>
      </c>
      <c r="AA534" s="12" t="s">
        <v>37</v>
      </c>
    </row>
    <row r="535" customFormat="false" ht="16.4" hidden="false" customHeight="false" outlineLevel="0" collapsed="false">
      <c r="A535" s="15" t="s">
        <v>2540</v>
      </c>
      <c r="B535" s="3" t="s">
        <v>2541</v>
      </c>
      <c r="C535" s="3" t="s">
        <v>222</v>
      </c>
      <c r="D535" s="16" t="n">
        <v>5</v>
      </c>
      <c r="E535" s="6" t="n">
        <f aca="false">VLOOKUP(D535,'[1]REF Tables'!$A$2:$B$40,2)</f>
        <v>1800</v>
      </c>
      <c r="F535" s="3" t="s">
        <v>30</v>
      </c>
      <c r="G535" s="3" t="n">
        <v>14</v>
      </c>
      <c r="H535" s="3" t="s">
        <v>2542</v>
      </c>
      <c r="I535" s="3" t="s">
        <v>42</v>
      </c>
      <c r="J535" s="3" t="n">
        <v>18</v>
      </c>
      <c r="K535" s="1" t="str">
        <f aca="false">IF(J535=1,"-5",IF(OR(J535=2,J535=3),"-4",IF(OR(J535=4,J535=5),"-3",IF(OR(J535=6,J535=7),"-2",IF(OR(J535=8,J535=9),"-1",IF(OR(J535=10,J535=11),"0",IF(OR(J535=12,J535=13),"+1",IF(OR(J535=14,J535=15),"+2",IF(OR(J535=16,J535=17),"+3",IF(OR(J535=18,J535=19),"+4",IF(OR(J535=20,J535=21),"+5",IF(OR(J535=22,J535=23),"+6",IF(OR(J535=24,J535=25),"+7",IF(OR(J535=26,J535=27),"+8",IF(OR(J535=28,J535=29),"+9",IF(J535=30,"+10"," "))))))))))))))))</f>
        <v>+4</v>
      </c>
      <c r="L535" s="3" t="n">
        <v>13</v>
      </c>
      <c r="M535" s="1" t="str">
        <f aca="false">IF(L535=1,"-5",IF(OR(L535=2,L535=3),"-4",IF(OR(L535=4,L535=5),"-3",IF(OR(L535=6,L535=7),"-2",IF(OR(L535=8,L535=9),"-1",IF(OR(L535=10,L535=11),"0",IF(OR(L535=12,L535=13),"+1",IF(OR(L535=14,L535=15),"+2",IF(OR(L535=16,L535=17),"+3",IF(OR(L535=18,L535=19),"+4",IF(OR(L535=20,L535=21),"+5",IF(OR(L535=22,L535=23),"+6",IF(OR(L535=24,L535=25),"+7",IF(OR(L535=26,L535=27),"+8",IF(OR(L535=28,L535=29),"+9",IF(L535=30,"+10"," "))))))))))))))))</f>
        <v>+1</v>
      </c>
      <c r="N535" s="3" t="n">
        <v>20</v>
      </c>
      <c r="O535" s="1" t="str">
        <f aca="false">IF(N535=1,"-5",IF(OR(N535=2,N535=3),"-4",IF(OR(N535=4,N535=5),"-3",IF(OR(N535=6,N535=7),"-2",IF(OR(N535=8,N535=9),"-1",IF(OR(N535=10,N535=11),"0",IF(OR(N535=12,N535=13),"+1",IF(OR(N535=14,N535=15),"+2",IF(OR(N535=16,N535=17),"+3",IF(OR(N535=18,N535=19),"+4",IF(OR(N535=20,N535=21),"+5",IF(OR(N535=22,N535=23),"+6",IF(OR(N535=24,N535=25),"+7",IF(OR(N535=26,N535=27),"+8",IF(OR(N535=28,N535=29),"+9",IF(N535=30,"+10"," "))))))))))))))))</f>
        <v>+5</v>
      </c>
      <c r="P535" s="3" t="n">
        <v>9</v>
      </c>
      <c r="Q535" s="1" t="str">
        <f aca="false">IF(P535=1,"-5",IF(OR(P535=2,P535=3),"-4",IF(OR(P535=4,P535=5),"-3",IF(OR(P535=6,P535=7),"-2",IF(OR(P535=8,P535=9),"-1",IF(OR(P535=10,P535=11),"0",IF(OR(P535=12,P535=13),"+1",IF(OR(P535=14,P535=15),"+2",IF(OR(P535=16,P535=17),"+3",IF(OR(P535=18,P535=19),"+4",IF(OR(P535=20,P535=21),"+5",IF(OR(P535=22,P535=23),"+6",IF(OR(P535=24,P535=25),"+7",IF(OR(P535=26,P535=27),"+8",IF(OR(P535=28,P535=29),"+9",IF(P535=30,"+10"," "))))))))))))))))</f>
        <v>-1</v>
      </c>
      <c r="R535" s="3" t="n">
        <v>9</v>
      </c>
      <c r="S535" s="1" t="str">
        <f aca="false">IF(R535=1,"-5",IF(OR(R535=2,R535=3),"-4",IF(OR(R535=4,R535=5),"-3",IF(OR(R535=6,R535=7),"-2",IF(OR(R535=8,R535=9),"-1",IF(OR(R535=10,R535=11),"0",IF(OR(R535=12,R535=13),"+1",IF(OR(R535=14,R535=15),"+2",IF(OR(R535=16,R535=17),"+3",IF(OR(R535=18,R535=19),"+4",IF(OR(R535=20,R535=21),"+5",IF(OR(R535=22,R535=23),"+6",IF(OR(R535=24,R535=25),"+7",IF(OR(R535=26,R535=27),"+8",IF(OR(R535=28,R535=29),"+9",IF(R535=30,"+10"," "))))))))))))))))</f>
        <v>-1</v>
      </c>
      <c r="T535" s="3" t="n">
        <v>9</v>
      </c>
      <c r="U535" s="1" t="str">
        <f aca="false">IF(T535=1,"-5",IF(OR(T535=2,T535=3),"-4",IF(OR(T535=4,T535=5),"-3",IF(OR(T535=6,T535=7),"-2",IF(OR(T535=8,T535=9),"-1",IF(OR(T535=10,T535=11),"0",IF(OR(T535=12,T535=13),"+1",IF(OR(T535=14,T535=15),"+2",IF(OR(T535=16,T535=17),"+3",IF(OR(T535=18,T535=19),"+4",IF(OR(T535=20,T535=21),"+5",IF(OR(T535=22,T535=23),"+6",IF(OR(T535=24,T535=25),"+7",IF(OR(T535=26,T535=27),"+8",IF(OR(T535=28,T535=29),"+9",IF(T535=30,"+10"," "))))))))))))))))</f>
        <v>-1</v>
      </c>
      <c r="V535" s="3" t="s">
        <v>2543</v>
      </c>
      <c r="W535" s="3" t="s">
        <v>2544</v>
      </c>
      <c r="X535" s="11" t="s">
        <v>2545</v>
      </c>
      <c r="Y535" s="11" t="s">
        <v>2546</v>
      </c>
      <c r="Z535" s="11" t="s">
        <v>2547</v>
      </c>
      <c r="AA535" s="12" t="s">
        <v>37</v>
      </c>
    </row>
    <row r="536" customFormat="false" ht="16.4" hidden="false" customHeight="false" outlineLevel="0" collapsed="false">
      <c r="A536" s="15" t="s">
        <v>2548</v>
      </c>
      <c r="B536" s="3" t="s">
        <v>197</v>
      </c>
      <c r="C536" s="3" t="s">
        <v>37</v>
      </c>
      <c r="D536" s="16" t="n">
        <v>2</v>
      </c>
      <c r="E536" s="3" t="n">
        <f aca="false">VLOOKUP(D536,'[1]REF Tables'!$A$2:$B$40,2)</f>
        <v>450</v>
      </c>
      <c r="F536" s="3" t="s">
        <v>50</v>
      </c>
      <c r="G536" s="3" t="n">
        <v>12</v>
      </c>
      <c r="H536" s="3" t="s">
        <v>2549</v>
      </c>
      <c r="I536" s="3" t="s">
        <v>1770</v>
      </c>
      <c r="J536" s="3" t="n">
        <v>17</v>
      </c>
      <c r="K536" s="1" t="str">
        <f aca="false">IF(J536=1,"-5",IF(OR(J536=2,J536=3),"-4",IF(OR(J536=4,J536=5),"-3",IF(OR(J536=6,J536=7),"-2",IF(OR(J536=8,J536=9),"-1",IF(OR(J536=10,J536=11),"0",IF(OR(J536=12,J536=13),"+1",IF(OR(J536=14,J536=15),"+2",IF(OR(J536=16,J536=17),"+3",IF(OR(J536=18,J536=19),"+4",IF(OR(J536=20,J536=21),"+5",IF(OR(J536=22,J536=23),"+6",IF(OR(J536=24,J536=25),"+7",IF(OR(J536=26,J536=27),"+8",IF(OR(J536=28,J536=29),"+9",IF(J536=30,"+10"," "))))))))))))))))</f>
        <v>+3</v>
      </c>
      <c r="L536" s="3" t="n">
        <v>14</v>
      </c>
      <c r="M536" s="1" t="str">
        <f aca="false">IF(L536=1,"-5",IF(OR(L536=2,L536=3),"-4",IF(OR(L536=4,L536=5),"-3",IF(OR(L536=6,L536=7),"-2",IF(OR(L536=8,L536=9),"-1",IF(OR(L536=10,L536=11),"0",IF(OR(L536=12,L536=13),"+1",IF(OR(L536=14,L536=15),"+2",IF(OR(L536=16,L536=17),"+3",IF(OR(L536=18,L536=19),"+4",IF(OR(L536=20,L536=21),"+5",IF(OR(L536=22,L536=23),"+6",IF(OR(L536=24,L536=25),"+7",IF(OR(L536=26,L536=27),"+8",IF(OR(L536=28,L536=29),"+9",IF(L536=30,"+10"," "))))))))))))))))</f>
        <v>+2</v>
      </c>
      <c r="N536" s="3" t="n">
        <v>10</v>
      </c>
      <c r="O536" s="1" t="str">
        <f aca="false">IF(N536=1,"-5",IF(OR(N536=2,N536=3),"-4",IF(OR(N536=4,N536=5),"-3",IF(OR(N536=6,N536=7),"-2",IF(OR(N536=8,N536=9),"-1",IF(OR(N536=10,N536=11),"0",IF(OR(N536=12,N536=13),"+1",IF(OR(N536=14,N536=15),"+2",IF(OR(N536=16,N536=17),"+3",IF(OR(N536=18,N536=19),"+4",IF(OR(N536=20,N536=21),"+5",IF(OR(N536=22,N536=23),"+6",IF(OR(N536=24,N536=25),"+7",IF(OR(N536=26,N536=27),"+8",IF(OR(N536=28,N536=29),"+9",IF(N536=30,"+10"," "))))))))))))))))</f>
        <v>0</v>
      </c>
      <c r="P536" s="3" t="n">
        <v>1</v>
      </c>
      <c r="Q536" s="1" t="str">
        <f aca="false">IF(P536=1,"-5",IF(OR(P536=2,P536=3),"-4",IF(OR(P536=4,P536=5),"-3",IF(OR(P536=6,P536=7),"-2",IF(OR(P536=8,P536=9),"-1",IF(OR(P536=10,P536=11),"0",IF(OR(P536=12,P536=13),"+1",IF(OR(P536=14,P536=15),"+2",IF(OR(P536=16,P536=17),"+3",IF(OR(P536=18,P536=19),"+4",IF(OR(P536=20,P536=21),"+5",IF(OR(P536=22,P536=23),"+6",IF(OR(P536=24,P536=25),"+7",IF(OR(P536=26,P536=27),"+8",IF(OR(P536=28,P536=29),"+9",IF(P536=30,"+10"," "))))))))))))))))</f>
        <v>-5</v>
      </c>
      <c r="R536" s="3" t="n">
        <v>3</v>
      </c>
      <c r="S536" s="1" t="str">
        <f aca="false">IF(R536=1,"-5",IF(OR(R536=2,R536=3),"-4",IF(OR(R536=4,R536=5),"-3",IF(OR(R536=6,R536=7),"-2",IF(OR(R536=8,R536=9),"-1",IF(OR(R536=10,R536=11),"0",IF(OR(R536=12,R536=13),"+1",IF(OR(R536=14,R536=15),"+2",IF(OR(R536=16,R536=17),"+3",IF(OR(R536=18,R536=19),"+4",IF(OR(R536=20,R536=21),"+5",IF(OR(R536=22,R536=23),"+6",IF(OR(R536=24,R536=25),"+7",IF(OR(R536=26,R536=27),"+8",IF(OR(R536=28,R536=29),"+9",IF(R536=30,"+10"," "))))))))))))))))</f>
        <v>-4</v>
      </c>
      <c r="T536" s="3" t="n">
        <v>1</v>
      </c>
      <c r="U536" s="1" t="str">
        <f aca="false">IF(T536=1,"-5",IF(OR(T536=2,T536=3),"-4",IF(OR(T536=4,T536=5),"-3",IF(OR(T536=6,T536=7),"-2",IF(OR(T536=8,T536=9),"-1",IF(OR(T536=10,T536=11),"0",IF(OR(T536=12,T536=13),"+1",IF(OR(T536=14,T536=15),"+2",IF(OR(T536=16,T536=17),"+3",IF(OR(T536=18,T536=19),"+4",IF(OR(T536=20,T536=21),"+5",IF(OR(T536=22,T536=23),"+6",IF(OR(T536=24,T536=25),"+7",IF(OR(T536=26,T536=27),"+8",IF(OR(T536=28,T536=29),"+9",IF(T536=30,"+10"," "))))))))))))))))</f>
        <v>-5</v>
      </c>
      <c r="V536" s="3" t="s">
        <v>37</v>
      </c>
      <c r="W536" s="3" t="s">
        <v>37</v>
      </c>
      <c r="X536" s="11" t="s">
        <v>2550</v>
      </c>
      <c r="Y536" s="11" t="s">
        <v>2551</v>
      </c>
      <c r="Z536" s="11" t="s">
        <v>37</v>
      </c>
      <c r="AA536" s="12" t="s">
        <v>37</v>
      </c>
    </row>
    <row r="537" customFormat="false" ht="16.4" hidden="false" customHeight="false" outlineLevel="0" collapsed="false">
      <c r="A537" s="15" t="s">
        <v>2552</v>
      </c>
      <c r="B537" s="3" t="s">
        <v>600</v>
      </c>
      <c r="C537" s="3" t="s">
        <v>37</v>
      </c>
      <c r="D537" s="16" t="n">
        <v>30</v>
      </c>
      <c r="E537" s="6" t="n">
        <f aca="false">VLOOKUP(D537,'[1]REF Tables'!$A$2:$B$40,2)</f>
        <v>155000</v>
      </c>
      <c r="F537" s="3" t="s">
        <v>601</v>
      </c>
      <c r="G537" s="3" t="n">
        <v>25</v>
      </c>
      <c r="H537" s="3" t="s">
        <v>2553</v>
      </c>
      <c r="I537" s="3" t="s">
        <v>224</v>
      </c>
      <c r="J537" s="3" t="n">
        <v>30</v>
      </c>
      <c r="K537" s="1" t="str">
        <f aca="false">IF(J537=1,"-5",IF(OR(J537=2,J537=3),"-4",IF(OR(J537=4,J537=5),"-3",IF(OR(J537=6,J537=7),"-2",IF(OR(J537=8,J537=9),"-1",IF(OR(J537=10,J537=11),"0",IF(OR(J537=12,J537=13),"+1",IF(OR(J537=14,J537=15),"+2",IF(OR(J537=16,J537=17),"+3",IF(OR(J537=18,J537=19),"+4",IF(OR(J537=20,J537=21),"+5",IF(OR(J537=22,J537=23),"+6",IF(OR(J537=24,J537=25),"+7",IF(OR(J537=26,J537=27),"+8",IF(OR(J537=28,J537=29),"+9",IF(J537=30,"+10"," "))))))))))))))))</f>
        <v>+10</v>
      </c>
      <c r="L537" s="3" t="n">
        <v>11</v>
      </c>
      <c r="M537" s="1" t="str">
        <f aca="false">IF(L537=1,"-5",IF(OR(L537=2,L537=3),"-4",IF(OR(L537=4,L537=5),"-3",IF(OR(L537=6,L537=7),"-2",IF(OR(L537=8,L537=9),"-1",IF(OR(L537=10,L537=11),"0",IF(OR(L537=12,L537=13),"+1",IF(OR(L537=14,L537=15),"+2",IF(OR(L537=16,L537=17),"+3",IF(OR(L537=18,L537=19),"+4",IF(OR(L537=20,L537=21),"+5",IF(OR(L537=22,L537=23),"+6",IF(OR(L537=24,L537=25),"+7",IF(OR(L537=26,L537=27),"+8",IF(OR(L537=28,L537=29),"+9",IF(L537=30,"+10"," "))))))))))))))))</f>
        <v>0</v>
      </c>
      <c r="N537" s="3" t="n">
        <v>30</v>
      </c>
      <c r="O537" s="1" t="str">
        <f aca="false">IF(N537=1,"-5",IF(OR(N537=2,N537=3),"-4",IF(OR(N537=4,N537=5),"-3",IF(OR(N537=6,N537=7),"-2",IF(OR(N537=8,N537=9),"-1",IF(OR(N537=10,N537=11),"0",IF(OR(N537=12,N537=13),"+1",IF(OR(N537=14,N537=15),"+2",IF(OR(N537=16,N537=17),"+3",IF(OR(N537=18,N537=19),"+4",IF(OR(N537=20,N537=21),"+5",IF(OR(N537=22,N537=23),"+6",IF(OR(N537=24,N537=25),"+7",IF(OR(N537=26,N537=27),"+8",IF(OR(N537=28,N537=29),"+9",IF(N537=30,"+10"," "))))))))))))))))</f>
        <v>+10</v>
      </c>
      <c r="P537" s="3" t="n">
        <v>3</v>
      </c>
      <c r="Q537" s="1" t="str">
        <f aca="false">IF(P537=1,"-5",IF(OR(P537=2,P537=3),"-4",IF(OR(P537=4,P537=5),"-3",IF(OR(P537=6,P537=7),"-2",IF(OR(P537=8,P537=9),"-1",IF(OR(P537=10,P537=11),"0",IF(OR(P537=12,P537=13),"+1",IF(OR(P537=14,P537=15),"+2",IF(OR(P537=16,P537=17),"+3",IF(OR(P537=18,P537=19),"+4",IF(OR(P537=20,P537=21),"+5",IF(OR(P537=22,P537=23),"+6",IF(OR(P537=24,P537=25),"+7",IF(OR(P537=26,P537=27),"+8",IF(OR(P537=28,P537=29),"+9",IF(P537=30,"+10"," "))))))))))))))))</f>
        <v>-4</v>
      </c>
      <c r="R537" s="3" t="n">
        <v>11</v>
      </c>
      <c r="S537" s="1" t="str">
        <f aca="false">IF(R537=1,"-5",IF(OR(R537=2,R537=3),"-4",IF(OR(R537=4,R537=5),"-3",IF(OR(R537=6,R537=7),"-2",IF(OR(R537=8,R537=9),"-1",IF(OR(R537=10,R537=11),"0",IF(OR(R537=12,R537=13),"+1",IF(OR(R537=14,R537=15),"+2",IF(OR(R537=16,R537=17),"+3",IF(OR(R537=18,R537=19),"+4",IF(OR(R537=20,R537=21),"+5",IF(OR(R537=22,R537=23),"+6",IF(OR(R537=24,R537=25),"+7",IF(OR(R537=26,R537=27),"+8",IF(OR(R537=28,R537=29),"+9",IF(R537=30,"+10"," "))))))))))))))))</f>
        <v>0</v>
      </c>
      <c r="T537" s="3" t="n">
        <v>11</v>
      </c>
      <c r="U537" s="1" t="str">
        <f aca="false">IF(T537=1,"-5",IF(OR(T537=2,T537=3),"-4",IF(OR(T537=4,T537=5),"-3",IF(OR(T537=6,T537=7),"-2",IF(OR(T537=8,T537=9),"-1",IF(OR(T537=10,T537=11),"0",IF(OR(T537=12,T537=13),"+1",IF(OR(T537=14,T537=15),"+2",IF(OR(T537=16,T537=17),"+3",IF(OR(T537=18,T537=19),"+4",IF(OR(T537=20,T537=21),"+5",IF(OR(T537=22,T537=23),"+6",IF(OR(T537=24,T537=25),"+7",IF(OR(T537=26,T537=27),"+8",IF(OR(T537=28,T537=29),"+9",IF(T537=30,"+10"," "))))))))))))))))</f>
        <v>0</v>
      </c>
      <c r="V537" s="3" t="s">
        <v>2554</v>
      </c>
      <c r="W537" s="3" t="s">
        <v>37</v>
      </c>
      <c r="X537" s="11" t="s">
        <v>2555</v>
      </c>
      <c r="Y537" s="11" t="s">
        <v>2556</v>
      </c>
      <c r="Z537" s="11" t="s">
        <v>37</v>
      </c>
      <c r="AA537" s="12" t="s">
        <v>2557</v>
      </c>
    </row>
    <row r="538" customFormat="false" ht="837.3" hidden="false" customHeight="false" outlineLevel="0" collapsed="false">
      <c r="A538" s="22" t="s">
        <v>2558</v>
      </c>
      <c r="B538" s="3" t="s">
        <v>1091</v>
      </c>
      <c r="C538" s="3" t="s">
        <v>49</v>
      </c>
      <c r="D538" s="16" t="n">
        <v>2</v>
      </c>
      <c r="E538" s="3" t="n">
        <f aca="false">VLOOKUP(D538,'[1]REF Tables'!$A$2:$B$40,2)</f>
        <v>450</v>
      </c>
      <c r="F538" s="3" t="s">
        <v>30</v>
      </c>
      <c r="G538" s="3" t="n">
        <v>13</v>
      </c>
      <c r="H538" s="3" t="s">
        <v>790</v>
      </c>
      <c r="I538" s="3" t="s">
        <v>358</v>
      </c>
      <c r="J538" s="3" t="n">
        <v>10</v>
      </c>
      <c r="K538" s="3" t="str">
        <f aca="false">IF(J538=1,"-5",IF(OR(J538=2,J538=3),"-4",IF(OR(J538=4,J538=5),"-3",IF(OR(J538=6,J538=7),"-2",IF(OR(J538=8,J538=9),"-1",IF(OR(J538=10,J538=11),"0",IF(OR(J538=12,J538=13),"+1",IF(OR(J538=14,J538=15),"+2",IF(OR(J538=16,J538=17),"+3",IF(OR(J538=18,J538=19),"+4",IF(OR(J538=20,J538=21),"+5",IF(OR(J538=22,J538=23),"+6",IF(OR(J538=24,J538=25),"+7",IF(OR(J538=26,J538=27),"+8",IF(OR(J538=28,J538=29),"+9",IF(J538=30,"+10"," "))))))))))))))))</f>
        <v>0</v>
      </c>
      <c r="L538" s="3" t="n">
        <v>10</v>
      </c>
      <c r="M538" s="3" t="str">
        <f aca="false">IF(L538=1,"-5",IF(OR(L538=2,L538=3),"-4",IF(OR(L538=4,L538=5),"-3",IF(OR(L538=6,L538=7),"-2",IF(OR(L538=8,L538=9),"-1",IF(OR(L538=10,L538=11),"0",IF(OR(L538=12,L538=13),"+1",IF(OR(L538=14,L538=15),"+2",IF(OR(L538=16,L538=17),"+3",IF(OR(L538=18,L538=19),"+4",IF(OR(L538=20,L538=21),"+5",IF(OR(L538=22,L538=23),"+6",IF(OR(L538=24,L538=25),"+7",IF(OR(L538=26,L538=27),"+8",IF(OR(L538=28,L538=29),"+9",IF(L538=30,"+10"," "))))))))))))))))</f>
        <v>0</v>
      </c>
      <c r="N538" s="3" t="n">
        <v>14</v>
      </c>
      <c r="O538" s="3" t="str">
        <f aca="false">IF(N538=1,"-5",IF(OR(N538=2,N538=3),"-4",IF(OR(N538=4,N538=5),"-3",IF(OR(N538=6,N538=7),"-2",IF(OR(N538=8,N538=9),"-1",IF(OR(N538=10,N538=11),"0",IF(OR(N538=12,N538=13),"+1",IF(OR(N538=14,N538=15),"+2",IF(OR(N538=16,N538=17),"+3",IF(OR(N538=18,N538=19),"+4",IF(OR(N538=20,N538=21),"+5",IF(OR(N538=22,N538=23),"+6",IF(OR(N538=24,N538=25),"+7",IF(OR(N538=26,N538=27),"+8",IF(OR(N538=28,N538=29),"+9",IF(N538=30,"+10"," "))))))))))))))))</f>
        <v>+2</v>
      </c>
      <c r="P538" s="3" t="n">
        <v>13</v>
      </c>
      <c r="Q538" s="3" t="str">
        <f aca="false">IF(P538=1,"-5",IF(OR(P538=2,P538=3),"-4",IF(OR(P538=4,P538=5),"-3",IF(OR(P538=6,P538=7),"-2",IF(OR(P538=8,P538=9),"-1",IF(OR(P538=10,P538=11),"0",IF(OR(P538=12,P538=13),"+1",IF(OR(P538=14,P538=15),"+2",IF(OR(P538=16,P538=17),"+3",IF(OR(P538=18,P538=19),"+4",IF(OR(P538=20,P538=21),"+5",IF(OR(P538=22,P538=23),"+6",IF(OR(P538=24,P538=25),"+7",IF(OR(P538=26,P538=27),"+8",IF(OR(P538=28,P538=29),"+9",IF(P538=30,"+10"," "))))))))))))))))</f>
        <v>+1</v>
      </c>
      <c r="R538" s="3" t="n">
        <v>16</v>
      </c>
      <c r="S538" s="3" t="str">
        <f aca="false">IF(R538=1,"-5",IF(OR(R538=2,R538=3),"-4",IF(OR(R538=4,R538=5),"-3",IF(OR(R538=6,R538=7),"-2",IF(OR(R538=8,R538=9),"-1",IF(OR(R538=10,R538=11),"0",IF(OR(R538=12,R538=13),"+1",IF(OR(R538=14,R538=15),"+2",IF(OR(R538=16,R538=17),"+3",IF(OR(R538=18,R538=19),"+4",IF(OR(R538=20,R538=21),"+5",IF(OR(R538=22,R538=23),"+6",IF(OR(R538=24,R538=25),"+7",IF(OR(R538=26,R538=27),"+8",IF(OR(R538=28,R538=29),"+9",IF(R538=30,"+10"," "))))))))))))))))</f>
        <v>+3</v>
      </c>
      <c r="T538" s="3" t="n">
        <v>13</v>
      </c>
      <c r="U538" s="3" t="str">
        <f aca="false">IF(T538=1,"-5",IF(OR(T538=2,T538=3),"-4",IF(OR(T538=4,T538=5),"-3",IF(OR(T538=6,T538=7),"-2",IF(OR(T538=8,T538=9),"-1",IF(OR(T538=10,T538=11),"0",IF(OR(T538=12,T538=13),"+1",IF(OR(T538=14,T538=15),"+2",IF(OR(T538=16,T538=17),"+3",IF(OR(T538=18,T538=19),"+4",IF(OR(T538=20,T538=21),"+5",IF(OR(T538=22,T538=23),"+6",IF(OR(T538=24,T538=25),"+7",IF(OR(T538=26,T538=27),"+8",IF(OR(T538=28,T538=29),"+9",IF(T538=30,"+10"," "))))))))))))))))</f>
        <v>+1</v>
      </c>
      <c r="V538" s="20" t="s">
        <v>2559</v>
      </c>
      <c r="W538" s="3" t="s">
        <v>2560</v>
      </c>
      <c r="X538" s="19" t="s">
        <v>2561</v>
      </c>
      <c r="Y538" s="11" t="s">
        <v>2562</v>
      </c>
      <c r="Z538" s="11" t="s">
        <v>37</v>
      </c>
      <c r="AA538" s="12" t="s">
        <v>37</v>
      </c>
    </row>
    <row r="539" customFormat="false" ht="16.4" hidden="false" customHeight="false" outlineLevel="0" collapsed="false">
      <c r="A539" s="15" t="s">
        <v>2563</v>
      </c>
      <c r="B539" s="3" t="s">
        <v>48</v>
      </c>
      <c r="C539" s="3" t="s">
        <v>49</v>
      </c>
      <c r="D539" s="16" t="n">
        <v>5</v>
      </c>
      <c r="E539" s="6" t="n">
        <f aca="false">VLOOKUP(D539,'[1]REF Tables'!$A$2:$B$40,2)</f>
        <v>1800</v>
      </c>
      <c r="F539" s="3" t="s">
        <v>50</v>
      </c>
      <c r="G539" s="3" t="n">
        <v>15</v>
      </c>
      <c r="H539" s="3" t="s">
        <v>1527</v>
      </c>
      <c r="I539" s="3" t="s">
        <v>1314</v>
      </c>
      <c r="J539" s="3" t="n">
        <v>10</v>
      </c>
      <c r="K539" s="1" t="str">
        <f aca="false">IF(J539=1,"-5",IF(OR(J539=2,J539=3),"-4",IF(OR(J539=4,J539=5),"-3",IF(OR(J539=6,J539=7),"-2",IF(OR(J539=8,J539=9),"-1",IF(OR(J539=10,J539=11),"0",IF(OR(J539=12,J539=13),"+1",IF(OR(J539=14,J539=15),"+2",IF(OR(J539=16,J539=17),"+3",IF(OR(J539=18,J539=19),"+4",IF(OR(J539=20,J539=21),"+5",IF(OR(J539=22,J539=23),"+6",IF(OR(J539=24,J539=25),"+7",IF(OR(J539=26,J539=27),"+8",IF(OR(J539=28,J539=29),"+9",IF(J539=30,"+10"," "))))))))))))))))</f>
        <v>0</v>
      </c>
      <c r="L539" s="3" t="n">
        <v>14</v>
      </c>
      <c r="M539" s="1" t="str">
        <f aca="false">IF(L539=1,"-5",IF(OR(L539=2,L539=3),"-4",IF(OR(L539=4,L539=5),"-3",IF(OR(L539=6,L539=7),"-2",IF(OR(L539=8,L539=9),"-1",IF(OR(L539=10,L539=11),"0",IF(OR(L539=12,L539=13),"+1",IF(OR(L539=14,L539=15),"+2",IF(OR(L539=16,L539=17),"+3",IF(OR(L539=18,L539=19),"+4",IF(OR(L539=20,L539=21),"+5",IF(OR(L539=22,L539=23),"+6",IF(OR(L539=24,L539=25),"+7",IF(OR(L539=26,L539=27),"+8",IF(OR(L539=28,L539=29),"+9",IF(L539=30,"+10"," "))))))))))))))))</f>
        <v>+2</v>
      </c>
      <c r="N539" s="3" t="n">
        <v>14</v>
      </c>
      <c r="O539" s="1" t="str">
        <f aca="false">IF(N539=1,"-5",IF(OR(N539=2,N539=3),"-4",IF(OR(N539=4,N539=5),"-3",IF(OR(N539=6,N539=7),"-2",IF(OR(N539=8,N539=9),"-1",IF(OR(N539=10,N539=11),"0",IF(OR(N539=12,N539=13),"+1",IF(OR(N539=14,N539=15),"+2",IF(OR(N539=16,N539=17),"+3",IF(OR(N539=18,N539=19),"+4",IF(OR(N539=20,N539=21),"+5",IF(OR(N539=22,N539=23),"+6",IF(OR(N539=24,N539=25),"+7",IF(OR(N539=26,N539=27),"+8",IF(OR(N539=28,N539=29),"+9",IF(N539=30,"+10"," "))))))))))))))))</f>
        <v>+2</v>
      </c>
      <c r="P539" s="3" t="n">
        <v>15</v>
      </c>
      <c r="Q539" s="1" t="str">
        <f aca="false">IF(P539=1,"-5",IF(OR(P539=2,P539=3),"-4",IF(OR(P539=4,P539=5),"-3",IF(OR(P539=6,P539=7),"-2",IF(OR(P539=8,P539=9),"-1",IF(OR(P539=10,P539=11),"0",IF(OR(P539=12,P539=13),"+1",IF(OR(P539=14,P539=15),"+2",IF(OR(P539=16,P539=17),"+3",IF(OR(P539=18,P539=19),"+4",IF(OR(P539=20,P539=21),"+5",IF(OR(P539=22,P539=23),"+6",IF(OR(P539=24,P539=25),"+7",IF(OR(P539=26,P539=27),"+8",IF(OR(P539=28,P539=29),"+9",IF(P539=30,"+10"," "))))))))))))))))</f>
        <v>+2</v>
      </c>
      <c r="R539" s="3" t="n">
        <v>15</v>
      </c>
      <c r="S539" s="1" t="str">
        <f aca="false">IF(R539=1,"-5",IF(OR(R539=2,R539=3),"-4",IF(OR(R539=4,R539=5),"-3",IF(OR(R539=6,R539=7),"-2",IF(OR(R539=8,R539=9),"-1",IF(OR(R539=10,R539=11),"0",IF(OR(R539=12,R539=13),"+1",IF(OR(R539=14,R539=15),"+2",IF(OR(R539=16,R539=17),"+3",IF(OR(R539=18,R539=19),"+4",IF(OR(R539=20,R539=21),"+5",IF(OR(R539=22,R539=23),"+6",IF(OR(R539=24,R539=25),"+7",IF(OR(R539=26,R539=27),"+8",IF(OR(R539=28,R539=29),"+9",IF(R539=30,"+10"," "))))))))))))))))</f>
        <v>+2</v>
      </c>
      <c r="T539" s="3" t="n">
        <v>10</v>
      </c>
      <c r="U539" s="1" t="str">
        <f aca="false">IF(T539=1,"-5",IF(OR(T539=2,T539=3),"-4",IF(OR(T539=4,T539=5),"-3",IF(OR(T539=6,T539=7),"-2",IF(OR(T539=8,T539=9),"-1",IF(OR(T539=10,T539=11),"0",IF(OR(T539=12,T539=13),"+1",IF(OR(T539=14,T539=15),"+2",IF(OR(T539=16,T539=17),"+3",IF(OR(T539=18,T539=19),"+4",IF(OR(T539=20,T539=21),"+5",IF(OR(T539=22,T539=23),"+6",IF(OR(T539=24,T539=25),"+7",IF(OR(T539=26,T539=27),"+8",IF(OR(T539=28,T539=29),"+9",IF(T539=30,"+10"," "))))))))))))))))</f>
        <v>0</v>
      </c>
      <c r="V539" s="3" t="s">
        <v>2564</v>
      </c>
      <c r="W539" s="1" t="s">
        <v>2565</v>
      </c>
      <c r="X539" s="3" t="s">
        <v>2566</v>
      </c>
      <c r="Y539" s="11" t="s">
        <v>2567</v>
      </c>
      <c r="Z539" s="11" t="s">
        <v>37</v>
      </c>
      <c r="AA539" s="12" t="s">
        <v>37</v>
      </c>
    </row>
    <row r="540" customFormat="false" ht="16.4" hidden="false" customHeight="false" outlineLevel="0" collapsed="false">
      <c r="A540" s="15" t="s">
        <v>2568</v>
      </c>
      <c r="B540" s="3" t="s">
        <v>158</v>
      </c>
      <c r="C540" s="3" t="s">
        <v>37</v>
      </c>
      <c r="D540" s="16" t="n">
        <v>5</v>
      </c>
      <c r="E540" s="6" t="n">
        <f aca="false">VLOOKUP(D540,'[1]REF Tables'!$A$2:$B$40,2)</f>
        <v>1800</v>
      </c>
      <c r="F540" s="3" t="s">
        <v>50</v>
      </c>
      <c r="G540" s="3" t="n">
        <v>15</v>
      </c>
      <c r="H540" s="3" t="s">
        <v>1026</v>
      </c>
      <c r="I540" s="3" t="s">
        <v>555</v>
      </c>
      <c r="J540" s="3" t="n">
        <v>18</v>
      </c>
      <c r="K540" s="1" t="str">
        <f aca="false">IF(J540=1,"-5",IF(OR(J540=2,J540=3),"-4",IF(OR(J540=4,J540=5),"-3",IF(OR(J540=6,J540=7),"-2",IF(OR(J540=8,J540=9),"-1",IF(OR(J540=10,J540=11),"0",IF(OR(J540=12,J540=13),"+1",IF(OR(J540=14,J540=15),"+2",IF(OR(J540=16,J540=17),"+3",IF(OR(J540=18,J540=19),"+4",IF(OR(J540=20,J540=21),"+5",IF(OR(J540=22,J540=23),"+6",IF(OR(J540=24,J540=25),"+7",IF(OR(J540=26,J540=27),"+8",IF(OR(J540=28,J540=29),"+9",IF(J540=30,"+10"," "))))))))))))))))</f>
        <v>+4</v>
      </c>
      <c r="L540" s="3" t="n">
        <v>8</v>
      </c>
      <c r="M540" s="1" t="str">
        <f aca="false">IF(L540=1,"-5",IF(OR(L540=2,L540=3),"-4",IF(OR(L540=4,L540=5),"-3",IF(OR(L540=6,L540=7),"-2",IF(OR(L540=8,L540=9),"-1",IF(OR(L540=10,L540=11),"0",IF(OR(L540=12,L540=13),"+1",IF(OR(L540=14,L540=15),"+2",IF(OR(L540=16,L540=17),"+3",IF(OR(L540=18,L540=19),"+4",IF(OR(L540=20,L540=21),"+5",IF(OR(L540=22,L540=23),"+6",IF(OR(L540=24,L540=25),"+7",IF(OR(L540=26,L540=27),"+8",IF(OR(L540=28,L540=29),"+9",IF(L540=30,"+10"," "))))))))))))))))</f>
        <v>-1</v>
      </c>
      <c r="N540" s="3" t="n">
        <v>16</v>
      </c>
      <c r="O540" s="1" t="str">
        <f aca="false">IF(N540=1,"-5",IF(OR(N540=2,N540=3),"-4",IF(OR(N540=4,N540=5),"-3",IF(OR(N540=6,N540=7),"-2",IF(OR(N540=8,N540=9),"-1",IF(OR(N540=10,N540=11),"0",IF(OR(N540=12,N540=13),"+1",IF(OR(N540=14,N540=15),"+2",IF(OR(N540=16,N540=17),"+3",IF(OR(N540=18,N540=19),"+4",IF(OR(N540=20,N540=21),"+5",IF(OR(N540=22,N540=23),"+6",IF(OR(N540=24,N540=25),"+7",IF(OR(N540=26,N540=27),"+8",IF(OR(N540=28,N540=29),"+9",IF(N540=30,"+10"," "))))))))))))))))</f>
        <v>+3</v>
      </c>
      <c r="P540" s="3" t="n">
        <v>5</v>
      </c>
      <c r="Q540" s="1" t="str">
        <f aca="false">IF(P540=1,"-5",IF(OR(P540=2,P540=3),"-4",IF(OR(P540=4,P540=5),"-3",IF(OR(P540=6,P540=7),"-2",IF(OR(P540=8,P540=9),"-1",IF(OR(P540=10,P540=11),"0",IF(OR(P540=12,P540=13),"+1",IF(OR(P540=14,P540=15),"+2",IF(OR(P540=16,P540=17),"+3",IF(OR(P540=18,P540=19),"+4",IF(OR(P540=20,P540=21),"+5",IF(OR(P540=22,P540=23),"+6",IF(OR(P540=24,P540=25),"+7",IF(OR(P540=26,P540=27),"+8",IF(OR(P540=28,P540=29),"+9",IF(P540=30,"+10"," "))))))))))))))))</f>
        <v>-3</v>
      </c>
      <c r="R540" s="3" t="n">
        <v>10</v>
      </c>
      <c r="S540" s="1" t="str">
        <f aca="false">IF(R540=1,"-5",IF(OR(R540=2,R540=3),"-4",IF(OR(R540=4,R540=5),"-3",IF(OR(R540=6,R540=7),"-2",IF(OR(R540=8,R540=9),"-1",IF(OR(R540=10,R540=11),"0",IF(OR(R540=12,R540=13),"+1",IF(OR(R540=14,R540=15),"+2",IF(OR(R540=16,R540=17),"+3",IF(OR(R540=18,R540=19),"+4",IF(OR(R540=20,R540=21),"+5",IF(OR(R540=22,R540=23),"+6",IF(OR(R540=24,R540=25),"+7",IF(OR(R540=26,R540=27),"+8",IF(OR(R540=28,R540=29),"+9",IF(R540=30,"+10"," "))))))))))))))))</f>
        <v>0</v>
      </c>
      <c r="T540" s="3" t="n">
        <v>5</v>
      </c>
      <c r="U540" s="1" t="str">
        <f aca="false">IF(T540=1,"-5",IF(OR(T540=2,T540=3),"-4",IF(OR(T540=4,T540=5),"-3",IF(OR(T540=6,T540=7),"-2",IF(OR(T540=8,T540=9),"-1",IF(OR(T540=10,T540=11),"0",IF(OR(T540=12,T540=13),"+1",IF(OR(T540=14,T540=15),"+2",IF(OR(T540=16,T540=17),"+3",IF(OR(T540=18,T540=19),"+4",IF(OR(T540=20,T540=21),"+5",IF(OR(T540=22,T540=23),"+6",IF(OR(T540=24,T540=25),"+7",IF(OR(T540=26,T540=27),"+8",IF(OR(T540=28,T540=29),"+9",IF(T540=30,"+10"," "))))))))))))))))</f>
        <v>-3</v>
      </c>
      <c r="V540" s="3" t="s">
        <v>556</v>
      </c>
      <c r="W540" s="3" t="s">
        <v>37</v>
      </c>
      <c r="X540" s="11" t="s">
        <v>2569</v>
      </c>
      <c r="Y540" s="11" t="s">
        <v>2570</v>
      </c>
      <c r="Z540" s="11" t="s">
        <v>37</v>
      </c>
      <c r="AA540" s="12" t="s">
        <v>37</v>
      </c>
    </row>
    <row r="541" customFormat="false" ht="822.35" hidden="false" customHeight="false" outlineLevel="0" collapsed="false">
      <c r="A541" s="15" t="s">
        <v>2571</v>
      </c>
      <c r="B541" s="3" t="s">
        <v>2572</v>
      </c>
      <c r="C541" s="3" t="s">
        <v>85</v>
      </c>
      <c r="D541" s="16" t="n">
        <v>2</v>
      </c>
      <c r="E541" s="3" t="n">
        <f aca="false">VLOOKUP(D541,'[1]REF Tables'!$A$2:$B$40,2)</f>
        <v>450</v>
      </c>
      <c r="F541" s="3" t="s">
        <v>30</v>
      </c>
      <c r="G541" s="3" t="n">
        <v>15</v>
      </c>
      <c r="H541" s="3" t="s">
        <v>2573</v>
      </c>
      <c r="I541" s="3" t="s">
        <v>42</v>
      </c>
      <c r="J541" s="3" t="n">
        <v>15</v>
      </c>
      <c r="K541" s="3" t="str">
        <f aca="false">IF(J541=1,"-5",IF(OR(J541=2,J541=3),"-4",IF(OR(J541=4,J541=5),"-3",IF(OR(J541=6,J541=7),"-2",IF(OR(J541=8,J541=9),"-1",IF(OR(J541=10,J541=11),"0",IF(OR(J541=12,J541=13),"+1",IF(OR(J541=14,J541=15),"+2",IF(OR(J541=16,J541=17),"+3",IF(OR(J541=18,J541=19),"+4",IF(OR(J541=20,J541=21),"+5",IF(OR(J541=22,J541=23),"+6",IF(OR(J541=24,J541=25),"+7",IF(OR(J541=26,J541=27),"+8",IF(OR(J541=28,J541=29),"+9",IF(J541=30,"+10"," "))))))))))))))))</f>
        <v>+2</v>
      </c>
      <c r="L541" s="3" t="n">
        <v>16</v>
      </c>
      <c r="M541" s="3" t="str">
        <f aca="false">IF(L541=1,"-5",IF(OR(L541=2,L541=3),"-4",IF(OR(L541=4,L541=5),"-3",IF(OR(L541=6,L541=7),"-2",IF(OR(L541=8,L541=9),"-1",IF(OR(L541=10,L541=11),"0",IF(OR(L541=12,L541=13),"+1",IF(OR(L541=14,L541=15),"+2",IF(OR(L541=16,L541=17),"+3",IF(OR(L541=18,L541=19),"+4",IF(OR(L541=20,L541=21),"+5",IF(OR(L541=22,L541=23),"+6",IF(OR(L541=24,L541=25),"+7",IF(OR(L541=26,L541=27),"+8",IF(OR(L541=28,L541=29),"+9",IF(L541=30,"+10"," "))))))))))))))))</f>
        <v>+3</v>
      </c>
      <c r="N541" s="3" t="n">
        <v>14</v>
      </c>
      <c r="O541" s="3" t="str">
        <f aca="false">IF(N541=1,"-5",IF(OR(N541=2,N541=3),"-4",IF(OR(N541=4,N541=5),"-3",IF(OR(N541=6,N541=7),"-2",IF(OR(N541=8,N541=9),"-1",IF(OR(N541=10,N541=11),"0",IF(OR(N541=12,N541=13),"+1",IF(OR(N541=14,N541=15),"+2",IF(OR(N541=16,N541=17),"+3",IF(OR(N541=18,N541=19),"+4",IF(OR(N541=20,N541=21),"+5",IF(OR(N541=22,N541=23),"+6",IF(OR(N541=24,N541=25),"+7",IF(OR(N541=26,N541=27),"+8",IF(OR(N541=28,N541=29),"+9",IF(N541=30,"+10"," "))))))))))))))))</f>
        <v>+2</v>
      </c>
      <c r="P541" s="3" t="n">
        <v>14</v>
      </c>
      <c r="Q541" s="3" t="str">
        <f aca="false">IF(P541=1,"-5",IF(OR(P541=2,P541=3),"-4",IF(OR(P541=4,P541=5),"-3",IF(OR(P541=6,P541=7),"-2",IF(OR(P541=8,P541=9),"-1",IF(OR(P541=10,P541=11),"0",IF(OR(P541=12,P541=13),"+1",IF(OR(P541=14,P541=15),"+2",IF(OR(P541=16,P541=17),"+3",IF(OR(P541=18,P541=19),"+4",IF(OR(P541=20,P541=21),"+5",IF(OR(P541=22,P541=23),"+6",IF(OR(P541=24,P541=25),"+7",IF(OR(P541=26,P541=27),"+8",IF(OR(P541=28,P541=29),"+9",IF(P541=30,"+10"," "))))))))))))))))</f>
        <v>+2</v>
      </c>
      <c r="R541" s="3" t="n">
        <v>11</v>
      </c>
      <c r="S541" s="3" t="str">
        <f aca="false">IF(R541=1,"-5",IF(OR(R541=2,R541=3),"-4",IF(OR(R541=4,R541=5),"-3",IF(OR(R541=6,R541=7),"-2",IF(OR(R541=8,R541=9),"-1",IF(OR(R541=10,R541=11),"0",IF(OR(R541=12,R541=13),"+1",IF(OR(R541=14,R541=15),"+2",IF(OR(R541=16,R541=17),"+3",IF(OR(R541=18,R541=19),"+4",IF(OR(R541=20,R541=21),"+5",IF(OR(R541=22,R541=23),"+6",IF(OR(R541=24,R541=25),"+7",IF(OR(R541=26,R541=27),"+8",IF(OR(R541=28,R541=29),"+9",IF(R541=30,"+10"," "))))))))))))))))</f>
        <v>0</v>
      </c>
      <c r="T541" s="3" t="n">
        <v>14</v>
      </c>
      <c r="U541" s="3" t="str">
        <f aca="false">IF(T541=1,"-5",IF(OR(T541=2,T541=3),"-4",IF(OR(T541=4,T541=5),"-3",IF(OR(T541=6,T541=7),"-2",IF(OR(T541=8,T541=9),"-1",IF(OR(T541=10,T541=11),"0",IF(OR(T541=12,T541=13),"+1",IF(OR(T541=14,T541=15),"+2",IF(OR(T541=16,T541=17),"+3",IF(OR(T541=18,T541=19),"+4",IF(OR(T541=20,T541=21),"+5",IF(OR(T541=22,T541=23),"+6",IF(OR(T541=24,T541=25),"+7",IF(OR(T541=26,T541=27),"+8",IF(OR(T541=28,T541=29),"+9",IF(T541=30,"+10"," "))))))))))))))))</f>
        <v>+2</v>
      </c>
      <c r="V541" s="20" t="s">
        <v>2574</v>
      </c>
      <c r="W541" s="3" t="s">
        <v>265</v>
      </c>
      <c r="X541" s="11" t="s">
        <v>2575</v>
      </c>
      <c r="Y541" s="19" t="s">
        <v>2576</v>
      </c>
      <c r="Z541" s="19" t="s">
        <v>2577</v>
      </c>
      <c r="AA541" s="12"/>
    </row>
    <row r="542" customFormat="false" ht="16.4" hidden="false" customHeight="false" outlineLevel="0" collapsed="false">
      <c r="A542" s="15" t="s">
        <v>2578</v>
      </c>
      <c r="B542" s="3" t="s">
        <v>2579</v>
      </c>
      <c r="C542" s="3" t="s">
        <v>590</v>
      </c>
      <c r="D542" s="16" t="n">
        <v>1</v>
      </c>
      <c r="E542" s="3" t="n">
        <f aca="false">VLOOKUP(D542,'[1]REF Tables'!$A$2:$B$40,2)</f>
        <v>200</v>
      </c>
      <c r="F542" s="3" t="s">
        <v>30</v>
      </c>
      <c r="G542" s="3" t="n">
        <v>15</v>
      </c>
      <c r="H542" s="3" t="s">
        <v>198</v>
      </c>
      <c r="I542" s="3" t="s">
        <v>224</v>
      </c>
      <c r="J542" s="3" t="n">
        <v>12</v>
      </c>
      <c r="K542" s="1" t="str">
        <f aca="false">IF(J542=1,"-5",IF(OR(J542=2,J542=3),"-4",IF(OR(J542=4,J542=5),"-3",IF(OR(J542=6,J542=7),"-2",IF(OR(J542=8,J542=9),"-1",IF(OR(J542=10,J542=11),"0",IF(OR(J542=12,J542=13),"+1",IF(OR(J542=14,J542=15),"+2",IF(OR(J542=16,J542=17),"+3",IF(OR(J542=18,J542=19),"+4",IF(OR(J542=20,J542=21),"+5",IF(OR(J542=22,J542=23),"+6",IF(OR(J542=24,J542=25),"+7",IF(OR(J542=26,J542=27),"+8",IF(OR(J542=28,J542=29),"+9",IF(J542=30,"+10"," "))))))))))))))))</f>
        <v>+1</v>
      </c>
      <c r="L542" s="3" t="n">
        <v>15</v>
      </c>
      <c r="M542" s="1" t="str">
        <f aca="false">IF(L542=1,"-5",IF(OR(L542=2,L542=3),"-4",IF(OR(L542=4,L542=5),"-3",IF(OR(L542=6,L542=7),"-2",IF(OR(L542=8,L542=9),"-1",IF(OR(L542=10,L542=11),"0",IF(OR(L542=12,L542=13),"+1",IF(OR(L542=14,L542=15),"+2",IF(OR(L542=16,L542=17),"+3",IF(OR(L542=18,L542=19),"+4",IF(OR(L542=20,L542=21),"+5",IF(OR(L542=22,L542=23),"+6",IF(OR(L542=24,L542=25),"+7",IF(OR(L542=26,L542=27),"+8",IF(OR(L542=28,L542=29),"+9",IF(L542=30,"+10"," "))))))))))))))))</f>
        <v>+2</v>
      </c>
      <c r="N542" s="3" t="n">
        <v>13</v>
      </c>
      <c r="O542" s="1" t="str">
        <f aca="false">IF(N542=1,"-5",IF(OR(N542=2,N542=3),"-4",IF(OR(N542=4,N542=5),"-3",IF(OR(N542=6,N542=7),"-2",IF(OR(N542=8,N542=9),"-1",IF(OR(N542=10,N542=11),"0",IF(OR(N542=12,N542=13),"+1",IF(OR(N542=14,N542=15),"+2",IF(OR(N542=16,N542=17),"+3",IF(OR(N542=18,N542=19),"+4",IF(OR(N542=20,N542=21),"+5",IF(OR(N542=22,N542=23),"+6",IF(OR(N542=24,N542=25),"+7",IF(OR(N542=26,N542=27),"+8",IF(OR(N542=28,N542=29),"+9",IF(N542=30,"+10"," "))))))))))))))))</f>
        <v>+1</v>
      </c>
      <c r="P542" s="3" t="n">
        <v>8</v>
      </c>
      <c r="Q542" s="1" t="str">
        <f aca="false">IF(P542=1,"-5",IF(OR(P542=2,P542=3),"-4",IF(OR(P542=4,P542=5),"-3",IF(OR(P542=6,P542=7),"-2",IF(OR(P542=8,P542=9),"-1",IF(OR(P542=10,P542=11),"0",IF(OR(P542=12,P542=13),"+1",IF(OR(P542=14,P542=15),"+2",IF(OR(P542=16,P542=17),"+3",IF(OR(P542=18,P542=19),"+4",IF(OR(P542=20,P542=21),"+5",IF(OR(P542=22,P542=23),"+6",IF(OR(P542=24,P542=25),"+7",IF(OR(P542=26,P542=27),"+8",IF(OR(P542=28,P542=29),"+9",IF(P542=30,"+10"," "))))))))))))))))</f>
        <v>-1</v>
      </c>
      <c r="R542" s="3" t="n">
        <v>12</v>
      </c>
      <c r="S542" s="1" t="str">
        <f aca="false">IF(R542=1,"-5",IF(OR(R542=2,R542=3),"-4",IF(OR(R542=4,R542=5),"-3",IF(OR(R542=6,R542=7),"-2",IF(OR(R542=8,R542=9),"-1",IF(OR(R542=10,R542=11),"0",IF(OR(R542=12,R542=13),"+1",IF(OR(R542=14,R542=15),"+2",IF(OR(R542=16,R542=17),"+3",IF(OR(R542=18,R542=19),"+4",IF(OR(R542=20,R542=21),"+5",IF(OR(R542=22,R542=23),"+6",IF(OR(R542=24,R542=25),"+7",IF(OR(R542=26,R542=27),"+8",IF(OR(R542=28,R542=29),"+9",IF(R542=30,"+10"," "))))))))))))))))</f>
        <v>+1</v>
      </c>
      <c r="T542" s="3" t="n">
        <v>7</v>
      </c>
      <c r="U542" s="1" t="str">
        <f aca="false">IF(T542=1,"-5",IF(OR(T542=2,T542=3),"-4",IF(OR(T542=4,T542=5),"-3",IF(OR(T542=6,T542=7),"-2",IF(OR(T542=8,T542=9),"-1",IF(OR(T542=10,T542=11),"0",IF(OR(T542=12,T542=13),"+1",IF(OR(T542=14,T542=15),"+2",IF(OR(T542=16,T542=17),"+3",IF(OR(T542=18,T542=19),"+4",IF(OR(T542=20,T542=21),"+5",IF(OR(T542=22,T542=23),"+6",IF(OR(T542=24,T542=25),"+7",IF(OR(T542=26,T542=27),"+8",IF(OR(T542=28,T542=29),"+9",IF(T542=30,"+10"," "))))))))))))))))</f>
        <v>-2</v>
      </c>
      <c r="V542" s="3" t="s">
        <v>2580</v>
      </c>
      <c r="W542" s="3" t="s">
        <v>2581</v>
      </c>
      <c r="X542" s="11" t="s">
        <v>2582</v>
      </c>
      <c r="Y542" s="11" t="s">
        <v>2583</v>
      </c>
      <c r="Z542" s="11" t="s">
        <v>37</v>
      </c>
      <c r="AA542" s="12" t="s">
        <v>37</v>
      </c>
    </row>
    <row r="543" customFormat="false" ht="16.4" hidden="false" customHeight="false" outlineLevel="0" collapsed="false">
      <c r="A543" s="15" t="s">
        <v>2584</v>
      </c>
      <c r="B543" s="3" t="s">
        <v>59</v>
      </c>
      <c r="C543" s="3" t="s">
        <v>37</v>
      </c>
      <c r="D543" s="16" t="n">
        <v>1</v>
      </c>
      <c r="E543" s="3" t="n">
        <f aca="false">VLOOKUP(D543,'[1]REF Tables'!$A$2:$B$40,2)</f>
        <v>200</v>
      </c>
      <c r="F543" s="3" t="s">
        <v>50</v>
      </c>
      <c r="G543" s="3" t="n">
        <v>12</v>
      </c>
      <c r="H543" s="3" t="s">
        <v>1787</v>
      </c>
      <c r="I543" s="3" t="s">
        <v>224</v>
      </c>
      <c r="J543" s="3" t="n">
        <v>17</v>
      </c>
      <c r="K543" s="1" t="str">
        <f aca="false">IF(J543=1,"-5",IF(OR(J543=2,J543=3),"-4",IF(OR(J543=4,J543=5),"-3",IF(OR(J543=6,J543=7),"-2",IF(OR(J543=8,J543=9),"-1",IF(OR(J543=10,J543=11),"0",IF(OR(J543=12,J543=13),"+1",IF(OR(J543=14,J543=15),"+2",IF(OR(J543=16,J543=17),"+3",IF(OR(J543=18,J543=19),"+4",IF(OR(J543=20,J543=21),"+5",IF(OR(J543=22,J543=23),"+6",IF(OR(J543=24,J543=25),"+7",IF(OR(J543=26,J543=27),"+8",IF(OR(J543=28,J543=29),"+9",IF(J543=30,"+10"," "))))))))))))))))</f>
        <v>+3</v>
      </c>
      <c r="L543" s="3" t="n">
        <v>15</v>
      </c>
      <c r="M543" s="1" t="str">
        <f aca="false">IF(L543=1,"-5",IF(OR(L543=2,L543=3),"-4",IF(OR(L543=4,L543=5),"-3",IF(OR(L543=6,L543=7),"-2",IF(OR(L543=8,L543=9),"-1",IF(OR(L543=10,L543=11),"0",IF(OR(L543=12,L543=13),"+1",IF(OR(L543=14,L543=15),"+2",IF(OR(L543=16,L543=17),"+3",IF(OR(L543=18,L543=19),"+4",IF(OR(L543=20,L543=21),"+5",IF(OR(L543=22,L543=23),"+6",IF(OR(L543=24,L543=25),"+7",IF(OR(L543=26,L543=27),"+8",IF(OR(L543=28,L543=29),"+9",IF(L543=30,"+10"," "))))))))))))))))</f>
        <v>+2</v>
      </c>
      <c r="N543" s="3" t="n">
        <v>14</v>
      </c>
      <c r="O543" s="1" t="str">
        <f aca="false">IF(N543=1,"-5",IF(OR(N543=2,N543=3),"-4",IF(OR(N543=4,N543=5),"-3",IF(OR(N543=6,N543=7),"-2",IF(OR(N543=8,N543=9),"-1",IF(OR(N543=10,N543=11),"0",IF(OR(N543=12,N543=13),"+1",IF(OR(N543=14,N543=15),"+2",IF(OR(N543=16,N543=17),"+3",IF(OR(N543=18,N543=19),"+4",IF(OR(N543=20,N543=21),"+5",IF(OR(N543=22,N543=23),"+6",IF(OR(N543=24,N543=25),"+7",IF(OR(N543=26,N543=27),"+8",IF(OR(N543=28,N543=29),"+9",IF(N543=30,"+10"," "))))))))))))))))</f>
        <v>+2</v>
      </c>
      <c r="P543" s="3" t="n">
        <v>3</v>
      </c>
      <c r="Q543" s="1" t="str">
        <f aca="false">IF(P543=1,"-5",IF(OR(P543=2,P543=3),"-4",IF(OR(P543=4,P543=5),"-3",IF(OR(P543=6,P543=7),"-2",IF(OR(P543=8,P543=9),"-1",IF(OR(P543=10,P543=11),"0",IF(OR(P543=12,P543=13),"+1",IF(OR(P543=14,P543=15),"+2",IF(OR(P543=16,P543=17),"+3",IF(OR(P543=18,P543=19),"+4",IF(OR(P543=20,P543=21),"+5",IF(OR(P543=22,P543=23),"+6",IF(OR(P543=24,P543=25),"+7",IF(OR(P543=26,P543=27),"+8",IF(OR(P543=28,P543=29),"+9",IF(P543=30,"+10"," "))))))))))))))))</f>
        <v>-4</v>
      </c>
      <c r="R543" s="3" t="n">
        <v>12</v>
      </c>
      <c r="S543" s="1" t="str">
        <f aca="false">IF(R543=1,"-5",IF(OR(R543=2,R543=3),"-4",IF(OR(R543=4,R543=5),"-3",IF(OR(R543=6,R543=7),"-2",IF(OR(R543=8,R543=9),"-1",IF(OR(R543=10,R543=11),"0",IF(OR(R543=12,R543=13),"+1",IF(OR(R543=14,R543=15),"+2",IF(OR(R543=16,R543=17),"+3",IF(OR(R543=18,R543=19),"+4",IF(OR(R543=20,R543=21),"+5",IF(OR(R543=22,R543=23),"+6",IF(OR(R543=24,R543=25),"+7",IF(OR(R543=26,R543=27),"+8",IF(OR(R543=28,R543=29),"+9",IF(R543=30,"+10"," "))))))))))))))))</f>
        <v>+1</v>
      </c>
      <c r="T543" s="3" t="n">
        <v>8</v>
      </c>
      <c r="U543" s="1" t="str">
        <f aca="false">IF(T543=1,"-5",IF(OR(T543=2,T543=3),"-4",IF(OR(T543=4,T543=5),"-3",IF(OR(T543=6,T543=7),"-2",IF(OR(T543=8,T543=9),"-1",IF(OR(T543=10,T543=11),"0",IF(OR(T543=12,T543=13),"+1",IF(OR(T543=14,T543=15),"+2",IF(OR(T543=16,T543=17),"+3",IF(OR(T543=18,T543=19),"+4",IF(OR(T543=20,T543=21),"+5",IF(OR(T543=22,T543=23),"+6",IF(OR(T543=24,T543=25),"+7",IF(OR(T543=26,T543=27),"+8",IF(OR(T543=28,T543=29),"+9",IF(T543=30,"+10"," "))))))))))))))))</f>
        <v>-1</v>
      </c>
      <c r="V543" s="3" t="s">
        <v>1775</v>
      </c>
      <c r="W543" s="3" t="s">
        <v>37</v>
      </c>
      <c r="X543" s="11" t="s">
        <v>2585</v>
      </c>
      <c r="Y543" s="11" t="s">
        <v>2586</v>
      </c>
      <c r="Z543" s="11" t="s">
        <v>37</v>
      </c>
      <c r="AA543" s="12" t="s">
        <v>37</v>
      </c>
    </row>
    <row r="544" customFormat="false" ht="16.4" hidden="false" customHeight="false" outlineLevel="0" collapsed="false">
      <c r="A544" s="15" t="s">
        <v>2587</v>
      </c>
      <c r="B544" s="3" t="s">
        <v>59</v>
      </c>
      <c r="C544" s="3" t="s">
        <v>37</v>
      </c>
      <c r="D544" s="16" t="n">
        <v>2</v>
      </c>
      <c r="E544" s="3" t="n">
        <f aca="false">VLOOKUP(D544,'[1]REF Tables'!$A$2:$B$40,2)</f>
        <v>450</v>
      </c>
      <c r="F544" s="3" t="s">
        <v>50</v>
      </c>
      <c r="G544" s="3" t="n">
        <v>12</v>
      </c>
      <c r="H544" s="3" t="s">
        <v>2406</v>
      </c>
      <c r="I544" s="3" t="s">
        <v>224</v>
      </c>
      <c r="J544" s="3" t="n">
        <v>18</v>
      </c>
      <c r="K544" s="1" t="str">
        <f aca="false">IF(J544=1,"-5",IF(OR(J544=2,J544=3),"-4",IF(OR(J544=4,J544=5),"-3",IF(OR(J544=6,J544=7),"-2",IF(OR(J544=8,J544=9),"-1",IF(OR(J544=10,J544=11),"0",IF(OR(J544=12,J544=13),"+1",IF(OR(J544=14,J544=15),"+2",IF(OR(J544=16,J544=17),"+3",IF(OR(J544=18,J544=19),"+4",IF(OR(J544=20,J544=21),"+5",IF(OR(J544=22,J544=23),"+6",IF(OR(J544=24,J544=25),"+7",IF(OR(J544=26,J544=27),"+8",IF(OR(J544=28,J544=29),"+9",IF(J544=30,"+10"," "))))))))))))))))</f>
        <v>+4</v>
      </c>
      <c r="L544" s="3" t="n">
        <v>14</v>
      </c>
      <c r="M544" s="1" t="str">
        <f aca="false">IF(L544=1,"-5",IF(OR(L544=2,L544=3),"-4",IF(OR(L544=4,L544=5),"-3",IF(OR(L544=6,L544=7),"-2",IF(OR(L544=8,L544=9),"-1",IF(OR(L544=10,L544=11),"0",IF(OR(L544=12,L544=13),"+1",IF(OR(L544=14,L544=15),"+2",IF(OR(L544=16,L544=17),"+3",IF(OR(L544=18,L544=19),"+4",IF(OR(L544=20,L544=21),"+5",IF(OR(L544=22,L544=23),"+6",IF(OR(L544=24,L544=25),"+7",IF(OR(L544=26,L544=27),"+8",IF(OR(L544=28,L544=29),"+9",IF(L544=30,"+10"," "))))))))))))))))</f>
        <v>+2</v>
      </c>
      <c r="N544" s="3" t="n">
        <v>15</v>
      </c>
      <c r="O544" s="1" t="str">
        <f aca="false">IF(N544=1,"-5",IF(OR(N544=2,N544=3),"-4",IF(OR(N544=4,N544=5),"-3",IF(OR(N544=6,N544=7),"-2",IF(OR(N544=8,N544=9),"-1",IF(OR(N544=10,N544=11),"0",IF(OR(N544=12,N544=13),"+1",IF(OR(N544=14,N544=15),"+2",IF(OR(N544=16,N544=17),"+3",IF(OR(N544=18,N544=19),"+4",IF(OR(N544=20,N544=21),"+5",IF(OR(N544=22,N544=23),"+6",IF(OR(N544=24,N544=25),"+7",IF(OR(N544=26,N544=27),"+8",IF(OR(N544=28,N544=29),"+9",IF(N544=30,"+10"," "))))))))))))))))</f>
        <v>+2</v>
      </c>
      <c r="P544" s="3" t="n">
        <v>3</v>
      </c>
      <c r="Q544" s="1" t="str">
        <f aca="false">IF(P544=1,"-5",IF(OR(P544=2,P544=3),"-4",IF(OR(P544=4,P544=5),"-3",IF(OR(P544=6,P544=7),"-2",IF(OR(P544=8,P544=9),"-1",IF(OR(P544=10,P544=11),"0",IF(OR(P544=12,P544=13),"+1",IF(OR(P544=14,P544=15),"+2",IF(OR(P544=16,P544=17),"+3",IF(OR(P544=18,P544=19),"+4",IF(OR(P544=20,P544=21),"+5",IF(OR(P544=22,P544=23),"+6",IF(OR(P544=24,P544=25),"+7",IF(OR(P544=26,P544=27),"+8",IF(OR(P544=28,P544=29),"+9",IF(P544=30,"+10"," "))))))))))))))))</f>
        <v>-4</v>
      </c>
      <c r="R544" s="3" t="n">
        <v>12</v>
      </c>
      <c r="S544" s="1" t="str">
        <f aca="false">IF(R544=1,"-5",IF(OR(R544=2,R544=3),"-4",IF(OR(R544=4,R544=5),"-3",IF(OR(R544=6,R544=7),"-2",IF(OR(R544=8,R544=9),"-1",IF(OR(R544=10,R544=11),"0",IF(OR(R544=12,R544=13),"+1",IF(OR(R544=14,R544=15),"+2",IF(OR(R544=16,R544=17),"+3",IF(OR(R544=18,R544=19),"+4",IF(OR(R544=20,R544=21),"+5",IF(OR(R544=22,R544=23),"+6",IF(OR(R544=24,R544=25),"+7",IF(OR(R544=26,R544=27),"+8",IF(OR(R544=28,R544=29),"+9",IF(R544=30,"+10"," "))))))))))))))))</f>
        <v>+1</v>
      </c>
      <c r="T544" s="3" t="n">
        <v>8</v>
      </c>
      <c r="U544" s="1" t="str">
        <f aca="false">IF(T544=1,"-5",IF(OR(T544=2,T544=3),"-4",IF(OR(T544=4,T544=5),"-3",IF(OR(T544=6,T544=7),"-2",IF(OR(T544=8,T544=9),"-1",IF(OR(T544=10,T544=11),"0",IF(OR(T544=12,T544=13),"+1",IF(OR(T544=14,T544=15),"+2",IF(OR(T544=16,T544=17),"+3",IF(OR(T544=18,T544=19),"+4",IF(OR(T544=20,T544=21),"+5",IF(OR(T544=22,T544=23),"+6",IF(OR(T544=24,T544=25),"+7",IF(OR(T544=26,T544=27),"+8",IF(OR(T544=28,T544=29),"+9",IF(T544=30,"+10"," "))))))))))))))))</f>
        <v>-1</v>
      </c>
      <c r="V544" s="3" t="s">
        <v>1775</v>
      </c>
      <c r="W544" s="3" t="s">
        <v>37</v>
      </c>
      <c r="X544" s="11" t="s">
        <v>2588</v>
      </c>
      <c r="Y544" s="11" t="s">
        <v>2589</v>
      </c>
      <c r="Z544" s="11" t="s">
        <v>37</v>
      </c>
      <c r="AA544" s="12" t="s">
        <v>37</v>
      </c>
    </row>
    <row r="545" customFormat="false" ht="16.4" hidden="false" customHeight="false" outlineLevel="0" collapsed="false">
      <c r="A545" s="15" t="s">
        <v>2590</v>
      </c>
      <c r="B545" s="3" t="s">
        <v>1791</v>
      </c>
      <c r="C545" s="3" t="s">
        <v>230</v>
      </c>
      <c r="D545" s="16" t="n">
        <v>4</v>
      </c>
      <c r="E545" s="6" t="n">
        <f aca="false">VLOOKUP(D545,'[1]REF Tables'!$A$2:$B$40,2)</f>
        <v>1100</v>
      </c>
      <c r="F545" s="3" t="s">
        <v>30</v>
      </c>
      <c r="G545" s="3" t="n">
        <v>12</v>
      </c>
      <c r="H545" s="3" t="s">
        <v>79</v>
      </c>
      <c r="I545" s="3" t="s">
        <v>2591</v>
      </c>
      <c r="J545" s="3" t="n">
        <v>17</v>
      </c>
      <c r="K545" s="1" t="str">
        <f aca="false">IF(J545=1,"-5",IF(OR(J545=2,J545=3),"-4",IF(OR(J545=4,J545=5),"-3",IF(OR(J545=6,J545=7),"-2",IF(OR(J545=8,J545=9),"-1",IF(OR(J545=10,J545=11),"0",IF(OR(J545=12,J545=13),"+1",IF(OR(J545=14,J545=15),"+2",IF(OR(J545=16,J545=17),"+3",IF(OR(J545=18,J545=19),"+4",IF(OR(J545=20,J545=21),"+5",IF(OR(J545=22,J545=23),"+6",IF(OR(J545=24,J545=25),"+7",IF(OR(J545=26,J545=27),"+8",IF(OR(J545=28,J545=29),"+9",IF(J545=30,"+10"," "))))))))))))))))</f>
        <v>+3</v>
      </c>
      <c r="L545" s="3" t="n">
        <v>15</v>
      </c>
      <c r="M545" s="1" t="str">
        <f aca="false">IF(L545=1,"-5",IF(OR(L545=2,L545=3),"-4",IF(OR(L545=4,L545=5),"-3",IF(OR(L545=6,L545=7),"-2",IF(OR(L545=8,L545=9),"-1",IF(OR(L545=10,L545=11),"0",IF(OR(L545=12,L545=13),"+1",IF(OR(L545=14,L545=15),"+2",IF(OR(L545=16,L545=17),"+3",IF(OR(L545=18,L545=19),"+4",IF(OR(L545=20,L545=21),"+5",IF(OR(L545=22,L545=23),"+6",IF(OR(L545=24,L545=25),"+7",IF(OR(L545=26,L545=27),"+8",IF(OR(L545=28,L545=29),"+9",IF(L545=30,"+10"," "))))))))))))))))</f>
        <v>+2</v>
      </c>
      <c r="N545" s="3" t="n">
        <v>16</v>
      </c>
      <c r="O545" s="1" t="str">
        <f aca="false">IF(N545=1,"-5",IF(OR(N545=2,N545=3),"-4",IF(OR(N545=4,N545=5),"-3",IF(OR(N545=6,N545=7),"-2",IF(OR(N545=8,N545=9),"-1",IF(OR(N545=10,N545=11),"0",IF(OR(N545=12,N545=13),"+1",IF(OR(N545=14,N545=15),"+2",IF(OR(N545=16,N545=17),"+3",IF(OR(N545=18,N545=19),"+4",IF(OR(N545=20,N545=21),"+5",IF(OR(N545=22,N545=23),"+6",IF(OR(N545=24,N545=25),"+7",IF(OR(N545=26,N545=27),"+8",IF(OR(N545=28,N545=29),"+9",IF(N545=30,"+10"," "))))))))))))))))</f>
        <v>+3</v>
      </c>
      <c r="P545" s="3" t="n">
        <v>10</v>
      </c>
      <c r="Q545" s="1" t="str">
        <f aca="false">IF(P545=1,"-5",IF(OR(P545=2,P545=3),"-4",IF(OR(P545=4,P545=5),"-3",IF(OR(P545=6,P545=7),"-2",IF(OR(P545=8,P545=9),"-1",IF(OR(P545=10,P545=11),"0",IF(OR(P545=12,P545=13),"+1",IF(OR(P545=14,P545=15),"+2",IF(OR(P545=16,P545=17),"+3",IF(OR(P545=18,P545=19),"+4",IF(OR(P545=20,P545=21),"+5",IF(OR(P545=22,P545=23),"+6",IF(OR(P545=24,P545=25),"+7",IF(OR(P545=26,P545=27),"+8",IF(OR(P545=28,P545=29),"+9",IF(P545=30,"+10"," "))))))))))))))))</f>
        <v>0</v>
      </c>
      <c r="R545" s="3" t="n">
        <v>13</v>
      </c>
      <c r="S545" s="1" t="str">
        <f aca="false">IF(R545=1,"-5",IF(OR(R545=2,R545=3),"-4",IF(OR(R545=4,R545=5),"-3",IF(OR(R545=6,R545=7),"-2",IF(OR(R545=8,R545=9),"-1",IF(OR(R545=10,R545=11),"0",IF(OR(R545=12,R545=13),"+1",IF(OR(R545=14,R545=15),"+2",IF(OR(R545=16,R545=17),"+3",IF(OR(R545=18,R545=19),"+4",IF(OR(R545=20,R545=21),"+5",IF(OR(R545=22,R545=23),"+6",IF(OR(R545=24,R545=25),"+7",IF(OR(R545=26,R545=27),"+8",IF(OR(R545=28,R545=29),"+9",IF(R545=30,"+10"," "))))))))))))))))</f>
        <v>+1</v>
      </c>
      <c r="T545" s="3" t="n">
        <v>11</v>
      </c>
      <c r="U545" s="1" t="str">
        <f aca="false">IF(T545=1,"-5",IF(OR(T545=2,T545=3),"-4",IF(OR(T545=4,T545=5),"-3",IF(OR(T545=6,T545=7),"-2",IF(OR(T545=8,T545=9),"-1",IF(OR(T545=10,T545=11),"0",IF(OR(T545=12,T545=13),"+1",IF(OR(T545=14,T545=15),"+2",IF(OR(T545=16,T545=17),"+3",IF(OR(T545=18,T545=19),"+4",IF(OR(T545=20,T545=21),"+5",IF(OR(T545=22,T545=23),"+6",IF(OR(T545=24,T545=25),"+7",IF(OR(T545=26,T545=27),"+8",IF(OR(T545=28,T545=29),"+9",IF(T545=30,"+10"," "))))))))))))))))</f>
        <v>0</v>
      </c>
      <c r="V545" s="3" t="s">
        <v>498</v>
      </c>
      <c r="W545" s="3" t="s">
        <v>2592</v>
      </c>
      <c r="X545" s="11" t="s">
        <v>2593</v>
      </c>
      <c r="Y545" s="11" t="s">
        <v>2594</v>
      </c>
      <c r="Z545" s="11" t="s">
        <v>37</v>
      </c>
      <c r="AA545" s="12" t="s">
        <v>37</v>
      </c>
    </row>
    <row r="546" customFormat="false" ht="16.4" hidden="false" customHeight="false" outlineLevel="0" collapsed="false">
      <c r="A546" s="15" t="s">
        <v>2595</v>
      </c>
      <c r="B546" s="3" t="s">
        <v>105</v>
      </c>
      <c r="C546" s="3" t="s">
        <v>85</v>
      </c>
      <c r="D546" s="16" t="n">
        <v>5</v>
      </c>
      <c r="E546" s="6" t="n">
        <f aca="false">VLOOKUP(D546,'[1]REF Tables'!$A$2:$B$40,2)</f>
        <v>1800</v>
      </c>
      <c r="F546" s="3" t="s">
        <v>50</v>
      </c>
      <c r="G546" s="3" t="n">
        <v>15</v>
      </c>
      <c r="H546" s="3" t="s">
        <v>1225</v>
      </c>
      <c r="I546" s="3" t="s">
        <v>224</v>
      </c>
      <c r="J546" s="3" t="n">
        <v>16</v>
      </c>
      <c r="K546" s="1" t="str">
        <f aca="false">IF(J546=1,"-5",IF(OR(J546=2,J546=3),"-4",IF(OR(J546=4,J546=5),"-3",IF(OR(J546=6,J546=7),"-2",IF(OR(J546=8,J546=9),"-1",IF(OR(J546=10,J546=11),"0",IF(OR(J546=12,J546=13),"+1",IF(OR(J546=14,J546=15),"+2",IF(OR(J546=16,J546=17),"+3",IF(OR(J546=18,J546=19),"+4",IF(OR(J546=20,J546=21),"+5",IF(OR(J546=22,J546=23),"+6",IF(OR(J546=24,J546=25),"+7",IF(OR(J546=26,J546=27),"+8",IF(OR(J546=28,J546=29),"+9",IF(J546=30,"+10"," "))))))))))))))))</f>
        <v>+3</v>
      </c>
      <c r="L546" s="3" t="n">
        <v>13</v>
      </c>
      <c r="M546" s="1" t="str">
        <f aca="false">IF(L546=1,"-5",IF(OR(L546=2,L546=3),"-4",IF(OR(L546=4,L546=5),"-3",IF(OR(L546=6,L546=7),"-2",IF(OR(L546=8,L546=9),"-1",IF(OR(L546=10,L546=11),"0",IF(OR(L546=12,L546=13),"+1",IF(OR(L546=14,L546=15),"+2",IF(OR(L546=16,L546=17),"+3",IF(OR(L546=18,L546=19),"+4",IF(OR(L546=20,L546=21),"+5",IF(OR(L546=22,L546=23),"+6",IF(OR(L546=24,L546=25),"+7",IF(OR(L546=26,L546=27),"+8",IF(OR(L546=28,L546=29),"+9",IF(L546=30,"+10"," "))))))))))))))))</f>
        <v>+1</v>
      </c>
      <c r="N546" s="3" t="n">
        <v>16</v>
      </c>
      <c r="O546" s="1" t="str">
        <f aca="false">IF(N546=1,"-5",IF(OR(N546=2,N546=3),"-4",IF(OR(N546=4,N546=5),"-3",IF(OR(N546=6,N546=7),"-2",IF(OR(N546=8,N546=9),"-1",IF(OR(N546=10,N546=11),"0",IF(OR(N546=12,N546=13),"+1",IF(OR(N546=14,N546=15),"+2",IF(OR(N546=16,N546=17),"+3",IF(OR(N546=18,N546=19),"+4",IF(OR(N546=20,N546=21),"+5",IF(OR(N546=22,N546=23),"+6",IF(OR(N546=24,N546=25),"+7",IF(OR(N546=26,N546=27),"+8",IF(OR(N546=28,N546=29),"+9",IF(N546=30,"+10"," "))))))))))))))))</f>
        <v>+3</v>
      </c>
      <c r="P546" s="3" t="n">
        <v>8</v>
      </c>
      <c r="Q546" s="1" t="str">
        <f aca="false">IF(P546=1,"-5",IF(OR(P546=2,P546=3),"-4",IF(OR(P546=4,P546=5),"-3",IF(OR(P546=6,P546=7),"-2",IF(OR(P546=8,P546=9),"-1",IF(OR(P546=10,P546=11),"0",IF(OR(P546=12,P546=13),"+1",IF(OR(P546=14,P546=15),"+2",IF(OR(P546=16,P546=17),"+3",IF(OR(P546=18,P546=19),"+4",IF(OR(P546=20,P546=21),"+5",IF(OR(P546=22,P546=23),"+6",IF(OR(P546=24,P546=25),"+7",IF(OR(P546=26,P546=27),"+8",IF(OR(P546=28,P546=29),"+9",IF(P546=30,"+10"," "))))))))))))))))</f>
        <v>-1</v>
      </c>
      <c r="R546" s="3" t="n">
        <v>12</v>
      </c>
      <c r="S546" s="1" t="str">
        <f aca="false">IF(R546=1,"-5",IF(OR(R546=2,R546=3),"-4",IF(OR(R546=4,R546=5),"-3",IF(OR(R546=6,R546=7),"-2",IF(OR(R546=8,R546=9),"-1",IF(OR(R546=10,R546=11),"0",IF(OR(R546=12,R546=13),"+1",IF(OR(R546=14,R546=15),"+2",IF(OR(R546=16,R546=17),"+3",IF(OR(R546=18,R546=19),"+4",IF(OR(R546=20,R546=21),"+5",IF(OR(R546=22,R546=23),"+6",IF(OR(R546=24,R546=25),"+7",IF(OR(R546=26,R546=27),"+8",IF(OR(R546=28,R546=29),"+9",IF(R546=30,"+10"," "))))))))))))))))</f>
        <v>+1</v>
      </c>
      <c r="T546" s="3" t="n">
        <v>8</v>
      </c>
      <c r="U546" s="1" t="str">
        <f aca="false">IF(T546=1,"-5",IF(OR(T546=2,T546=3),"-4",IF(OR(T546=4,T546=5),"-3",IF(OR(T546=6,T546=7),"-2",IF(OR(T546=8,T546=9),"-1",IF(OR(T546=10,T546=11),"0",IF(OR(T546=12,T546=13),"+1",IF(OR(T546=14,T546=15),"+2",IF(OR(T546=16,T546=17),"+3",IF(OR(T546=18,T546=19),"+4",IF(OR(T546=20,T546=21),"+5",IF(OR(T546=22,T546=23),"+6",IF(OR(T546=24,T546=25),"+7",IF(OR(T546=26,T546=27),"+8",IF(OR(T546=28,T546=29),"+9",IF(T546=30,"+10"," "))))))))))))))))</f>
        <v>-1</v>
      </c>
      <c r="V546" s="3" t="s">
        <v>2596</v>
      </c>
      <c r="W546" s="3" t="s">
        <v>2597</v>
      </c>
      <c r="X546" s="11" t="s">
        <v>2598</v>
      </c>
      <c r="Y546" s="11" t="s">
        <v>2599</v>
      </c>
      <c r="Z546" s="11" t="s">
        <v>37</v>
      </c>
      <c r="AA546" s="12" t="s">
        <v>37</v>
      </c>
    </row>
    <row r="547" customFormat="false" ht="16.4" hidden="false" customHeight="false" outlineLevel="0" collapsed="false">
      <c r="A547" s="15" t="s">
        <v>2600</v>
      </c>
      <c r="B547" s="3" t="s">
        <v>2601</v>
      </c>
      <c r="C547" s="3" t="s">
        <v>85</v>
      </c>
      <c r="D547" s="16" t="n">
        <v>0.25</v>
      </c>
      <c r="E547" s="3" t="n">
        <f aca="false">VLOOKUP(D547,'[1]REF Tables'!$A$2:$B$40,2)</f>
        <v>50</v>
      </c>
      <c r="F547" s="3" t="s">
        <v>30</v>
      </c>
      <c r="G547" s="3" t="n">
        <v>11</v>
      </c>
      <c r="H547" s="3" t="s">
        <v>152</v>
      </c>
      <c r="I547" s="3" t="s">
        <v>42</v>
      </c>
      <c r="J547" s="3" t="n">
        <v>16</v>
      </c>
      <c r="K547" s="1" t="str">
        <f aca="false">IF(J547=1,"-5",IF(OR(J547=2,J547=3),"-4",IF(OR(J547=4,J547=5),"-3",IF(OR(J547=6,J547=7),"-2",IF(OR(J547=8,J547=9),"-1",IF(OR(J547=10,J547=11),"0",IF(OR(J547=12,J547=13),"+1",IF(OR(J547=14,J547=15),"+2",IF(OR(J547=16,J547=17),"+3",IF(OR(J547=18,J547=19),"+4",IF(OR(J547=20,J547=21),"+5",IF(OR(J547=22,J547=23),"+6",IF(OR(J547=24,J547=25),"+7",IF(OR(J547=26,J547=27),"+8",IF(OR(J547=28,J547=29),"+9",IF(J547=30,"+10"," "))))))))))))))))</f>
        <v>+3</v>
      </c>
      <c r="L547" s="3" t="n">
        <v>12</v>
      </c>
      <c r="M547" s="1" t="str">
        <f aca="false">IF(L547=1,"-5",IF(OR(L547=2,L547=3),"-4",IF(OR(L547=4,L547=5),"-3",IF(OR(L547=6,L547=7),"-2",IF(OR(L547=8,L547=9),"-1",IF(OR(L547=10,L547=11),"0",IF(OR(L547=12,L547=13),"+1",IF(OR(L547=14,L547=15),"+2",IF(OR(L547=16,L547=17),"+3",IF(OR(L547=18,L547=19),"+4",IF(OR(L547=20,L547=21),"+5",IF(OR(L547=22,L547=23),"+6",IF(OR(L547=24,L547=25),"+7",IF(OR(L547=26,L547=27),"+8",IF(OR(L547=28,L547=29),"+9",IF(L547=30,"+10"," "))))))))))))))))</f>
        <v>+1</v>
      </c>
      <c r="N547" s="3" t="n">
        <v>12</v>
      </c>
      <c r="O547" s="1" t="str">
        <f aca="false">IF(N547=1,"-5",IF(OR(N547=2,N547=3),"-4",IF(OR(N547=4,N547=5),"-3",IF(OR(N547=6,N547=7),"-2",IF(OR(N547=8,N547=9),"-1",IF(OR(N547=10,N547=11),"0",IF(OR(N547=12,N547=13),"+1",IF(OR(N547=14,N547=15),"+2",IF(OR(N547=16,N547=17),"+3",IF(OR(N547=18,N547=19),"+4",IF(OR(N547=20,N547=21),"+5",IF(OR(N547=22,N547=23),"+6",IF(OR(N547=24,N547=25),"+7",IF(OR(N547=26,N547=27),"+8",IF(OR(N547=28,N547=29),"+9",IF(N547=30,"+10"," "))))))))))))))))</f>
        <v>+1</v>
      </c>
      <c r="P547" s="3" t="n">
        <v>9</v>
      </c>
      <c r="Q547" s="1" t="str">
        <f aca="false">IF(P547=1,"-5",IF(OR(P547=2,P547=3),"-4",IF(OR(P547=4,P547=5),"-3",IF(OR(P547=6,P547=7),"-2",IF(OR(P547=8,P547=9),"-1",IF(OR(P547=10,P547=11),"0",IF(OR(P547=12,P547=13),"+1",IF(OR(P547=14,P547=15),"+2",IF(OR(P547=16,P547=17),"+3",IF(OR(P547=18,P547=19),"+4",IF(OR(P547=20,P547=21),"+5",IF(OR(P547=22,P547=23),"+6",IF(OR(P547=24,P547=25),"+7",IF(OR(P547=26,P547=27),"+8",IF(OR(P547=28,P547=29),"+9",IF(P547=30,"+10"," "))))))))))))))))</f>
        <v>-1</v>
      </c>
      <c r="R547" s="3" t="n">
        <v>8</v>
      </c>
      <c r="S547" s="1" t="str">
        <f aca="false">IF(R547=1,"-5",IF(OR(R547=2,R547=3),"-4",IF(OR(R547=4,R547=5),"-3",IF(OR(R547=6,R547=7),"-2",IF(OR(R547=8,R547=9),"-1",IF(OR(R547=10,R547=11),"0",IF(OR(R547=12,R547=13),"+1",IF(OR(R547=14,R547=15),"+2",IF(OR(R547=16,R547=17),"+3",IF(OR(R547=18,R547=19),"+4",IF(OR(R547=20,R547=21),"+5",IF(OR(R547=22,R547=23),"+6",IF(OR(R547=24,R547=25),"+7",IF(OR(R547=26,R547=27),"+8",IF(OR(R547=28,R547=29),"+9",IF(R547=30,"+10"," "))))))))))))))))</f>
        <v>-1</v>
      </c>
      <c r="T547" s="3" t="n">
        <v>6</v>
      </c>
      <c r="U547" s="1" t="str">
        <f aca="false">IF(T547=1,"-5",IF(OR(T547=2,T547=3),"-4",IF(OR(T547=4,T547=5),"-3",IF(OR(T547=6,T547=7),"-2",IF(OR(T547=8,T547=9),"-1",IF(OR(T547=10,T547=11),"0",IF(OR(T547=12,T547=13),"+1",IF(OR(T547=14,T547=15),"+2",IF(OR(T547=16,T547=17),"+3",IF(OR(T547=18,T547=19),"+4",IF(OR(T547=20,T547=21),"+5",IF(OR(T547=22,T547=23),"+6",IF(OR(T547=24,T547=25),"+7",IF(OR(T547=26,T547=27),"+8",IF(OR(T547=28,T547=29),"+9",IF(T547=30,"+10"," "))))))))))))))))</f>
        <v>-2</v>
      </c>
      <c r="V547" s="3" t="s">
        <v>2602</v>
      </c>
      <c r="W547" s="3" t="s">
        <v>516</v>
      </c>
      <c r="X547" s="11" t="s">
        <v>2603</v>
      </c>
      <c r="Y547" s="11" t="s">
        <v>2604</v>
      </c>
      <c r="Z547" s="11" t="s">
        <v>37</v>
      </c>
      <c r="AA547" s="12" t="s">
        <v>37</v>
      </c>
    </row>
    <row r="548" customFormat="false" ht="16.4" hidden="false" customHeight="false" outlineLevel="0" collapsed="false">
      <c r="A548" s="15" t="s">
        <v>2605</v>
      </c>
      <c r="B548" s="3" t="s">
        <v>39</v>
      </c>
      <c r="C548" s="3" t="s">
        <v>40</v>
      </c>
      <c r="D548" s="16" t="n">
        <v>5</v>
      </c>
      <c r="E548" s="6" t="n">
        <f aca="false">VLOOKUP(D548,'[1]REF Tables'!$A$2:$B$40,2)</f>
        <v>1800</v>
      </c>
      <c r="F548" s="3" t="s">
        <v>30</v>
      </c>
      <c r="G548" s="3" t="n">
        <v>12</v>
      </c>
      <c r="H548" s="3" t="s">
        <v>1173</v>
      </c>
      <c r="I548" s="3" t="s">
        <v>42</v>
      </c>
      <c r="J548" s="3" t="n">
        <v>9</v>
      </c>
      <c r="K548" s="1" t="str">
        <f aca="false">IF(J548=1,"-5",IF(OR(J548=2,J548=3),"-4",IF(OR(J548=4,J548=5),"-3",IF(OR(J548=6,J548=7),"-2",IF(OR(J548=8,J548=9),"-1",IF(OR(J548=10,J548=11),"0",IF(OR(J548=12,J548=13),"+1",IF(OR(J548=14,J548=15),"+2",IF(OR(J548=16,J548=17),"+3",IF(OR(J548=18,J548=19),"+4",IF(OR(J548=20,J548=21),"+5",IF(OR(J548=22,J548=23),"+6",IF(OR(J548=24,J548=25),"+7",IF(OR(J548=26,J548=27),"+8",IF(OR(J548=28,J548=29),"+9",IF(J548=30,"+10"," "))))))))))))))))</f>
        <v>-1</v>
      </c>
      <c r="L548" s="3" t="n">
        <v>14</v>
      </c>
      <c r="M548" s="1" t="str">
        <f aca="false">IF(L548=1,"-5",IF(OR(L548=2,L548=3),"-4",IF(OR(L548=4,L548=5),"-3",IF(OR(L548=6,L548=7),"-2",IF(OR(L548=8,L548=9),"-1",IF(OR(L548=10,L548=11),"0",IF(OR(L548=12,L548=13),"+1",IF(OR(L548=14,L548=15),"+2",IF(OR(L548=16,L548=17),"+3",IF(OR(L548=18,L548=19),"+4",IF(OR(L548=20,L548=21),"+5",IF(OR(L548=22,L548=23),"+6",IF(OR(L548=24,L548=25),"+7",IF(OR(L548=26,L548=27),"+8",IF(OR(L548=28,L548=29),"+9",IF(L548=30,"+10"," "))))))))))))))))</f>
        <v>+2</v>
      </c>
      <c r="N548" s="3" t="n">
        <v>11</v>
      </c>
      <c r="O548" s="1" t="str">
        <f aca="false">IF(N548=1,"-5",IF(OR(N548=2,N548=3),"-4",IF(OR(N548=4,N548=5),"-3",IF(OR(N548=6,N548=7),"-2",IF(OR(N548=8,N548=9),"-1",IF(OR(N548=10,N548=11),"0",IF(OR(N548=12,N548=13),"+1",IF(OR(N548=14,N548=15),"+2",IF(OR(N548=16,N548=17),"+3",IF(OR(N548=18,N548=19),"+4",IF(OR(N548=20,N548=21),"+5",IF(OR(N548=22,N548=23),"+6",IF(OR(N548=24,N548=25),"+7",IF(OR(N548=26,N548=27),"+8",IF(OR(N548=28,N548=29),"+9",IF(N548=30,"+10"," "))))))))))))))))</f>
        <v>0</v>
      </c>
      <c r="P548" s="3" t="n">
        <v>17</v>
      </c>
      <c r="Q548" s="1" t="str">
        <f aca="false">IF(P548=1,"-5",IF(OR(P548=2,P548=3),"-4",IF(OR(P548=4,P548=5),"-3",IF(OR(P548=6,P548=7),"-2",IF(OR(P548=8,P548=9),"-1",IF(OR(P548=10,P548=11),"0",IF(OR(P548=12,P548=13),"+1",IF(OR(P548=14,P548=15),"+2",IF(OR(P548=16,P548=17),"+3",IF(OR(P548=18,P548=19),"+4",IF(OR(P548=20,P548=21),"+5",IF(OR(P548=22,P548=23),"+6",IF(OR(P548=24,P548=25),"+7",IF(OR(P548=26,P548=27),"+8",IF(OR(P548=28,P548=29),"+9",IF(P548=30,"+10"," "))))))))))))))))</f>
        <v>+3</v>
      </c>
      <c r="R548" s="3" t="n">
        <v>12</v>
      </c>
      <c r="S548" s="1" t="str">
        <f aca="false">IF(R548=1,"-5",IF(OR(R548=2,R548=3),"-4",IF(OR(R548=4,R548=5),"-3",IF(OR(R548=6,R548=7),"-2",IF(OR(R548=8,R548=9),"-1",IF(OR(R548=10,R548=11),"0",IF(OR(R548=12,R548=13),"+1",IF(OR(R548=14,R548=15),"+2",IF(OR(R548=16,R548=17),"+3",IF(OR(R548=18,R548=19),"+4",IF(OR(R548=20,R548=21),"+5",IF(OR(R548=22,R548=23),"+6",IF(OR(R548=24,R548=25),"+7",IF(OR(R548=26,R548=27),"+8",IF(OR(R548=28,R548=29),"+9",IF(R548=30,"+10"," "))))))))))))))))</f>
        <v>+1</v>
      </c>
      <c r="T548" s="3" t="n">
        <v>11</v>
      </c>
      <c r="U548" s="1" t="str">
        <f aca="false">IF(T548=1,"-5",IF(OR(T548=2,T548=3),"-4",IF(OR(T548=4,T548=5),"-3",IF(OR(T548=6,T548=7),"-2",IF(OR(T548=8,T548=9),"-1",IF(OR(T548=10,T548=11),"0",IF(OR(T548=12,T548=13),"+1",IF(OR(T548=14,T548=15),"+2",IF(OR(T548=16,T548=17),"+3",IF(OR(T548=18,T548=19),"+4",IF(OR(T548=20,T548=21),"+5",IF(OR(T548=22,T548=23),"+6",IF(OR(T548=24,T548=25),"+7",IF(OR(T548=26,T548=27),"+8",IF(OR(T548=28,T548=29),"+9",IF(T548=30,"+10"," "))))))))))))))))</f>
        <v>0</v>
      </c>
      <c r="V548" s="3" t="s">
        <v>1174</v>
      </c>
      <c r="W548" s="3" t="s">
        <v>44</v>
      </c>
      <c r="X548" s="11" t="s">
        <v>2606</v>
      </c>
      <c r="Y548" s="11" t="s">
        <v>687</v>
      </c>
      <c r="Z548" s="11" t="s">
        <v>37</v>
      </c>
      <c r="AA548" s="12" t="s">
        <v>37</v>
      </c>
    </row>
    <row r="549" customFormat="false" ht="16.4" hidden="false" customHeight="false" outlineLevel="0" collapsed="false">
      <c r="A549" s="15" t="s">
        <v>2607</v>
      </c>
      <c r="B549" s="3" t="s">
        <v>595</v>
      </c>
      <c r="C549" s="3" t="s">
        <v>222</v>
      </c>
      <c r="D549" s="16" t="n">
        <v>3</v>
      </c>
      <c r="E549" s="3" t="n">
        <f aca="false">VLOOKUP(D549,'[1]REF Tables'!$A$2:$B$40,2)</f>
        <v>700</v>
      </c>
      <c r="F549" s="3" t="s">
        <v>30</v>
      </c>
      <c r="G549" s="3" t="n">
        <v>14</v>
      </c>
      <c r="H549" s="3" t="s">
        <v>790</v>
      </c>
      <c r="I549" s="3" t="s">
        <v>2608</v>
      </c>
      <c r="J549" s="3" t="n">
        <v>16</v>
      </c>
      <c r="K549" s="1" t="str">
        <f aca="false">IF(J549=1,"-5",IF(OR(J549=2,J549=3),"-4",IF(OR(J549=4,J549=5),"-3",IF(OR(J549=6,J549=7),"-2",IF(OR(J549=8,J549=9),"-1",IF(OR(J549=10,J549=11),"0",IF(OR(J549=12,J549=13),"+1",IF(OR(J549=14,J549=15),"+2",IF(OR(J549=16,J549=17),"+3",IF(OR(J549=18,J549=19),"+4",IF(OR(J549=20,J549=21),"+5",IF(OR(J549=22,J549=23),"+6",IF(OR(J549=24,J549=25),"+7",IF(OR(J549=26,J549=27),"+8",IF(OR(J549=28,J549=29),"+9",IF(J549=30,"+10"," "))))))))))))))))</f>
        <v>+3</v>
      </c>
      <c r="L549" s="3" t="n">
        <v>19</v>
      </c>
      <c r="M549" s="1" t="str">
        <f aca="false">IF(L549=1,"-5",IF(OR(L549=2,L549=3),"-4",IF(OR(L549=4,L549=5),"-3",IF(OR(L549=6,L549=7),"-2",IF(OR(L549=8,L549=9),"-1",IF(OR(L549=10,L549=11),"0",IF(OR(L549=12,L549=13),"+1",IF(OR(L549=14,L549=15),"+2",IF(OR(L549=16,L549=17),"+3",IF(OR(L549=18,L549=19),"+4",IF(OR(L549=20,L549=21),"+5",IF(OR(L549=22,L549=23),"+6",IF(OR(L549=24,L549=25),"+7",IF(OR(L549=26,L549=27),"+8",IF(OR(L549=28,L549=29),"+9",IF(L549=30,"+10"," "))))))))))))))))</f>
        <v>+4</v>
      </c>
      <c r="N549" s="3" t="n">
        <v>15</v>
      </c>
      <c r="O549" s="1" t="str">
        <f aca="false">IF(N549=1,"-5",IF(OR(N549=2,N549=3),"-4",IF(OR(N549=4,N549=5),"-3",IF(OR(N549=6,N549=7),"-2",IF(OR(N549=8,N549=9),"-1",IF(OR(N549=10,N549=11),"0",IF(OR(N549=12,N549=13),"+1",IF(OR(N549=14,N549=15),"+2",IF(OR(N549=16,N549=17),"+3",IF(OR(N549=18,N549=19),"+4",IF(OR(N549=20,N549=21),"+5",IF(OR(N549=22,N549=23),"+6",IF(OR(N549=24,N549=25),"+7",IF(OR(N549=26,N549=27),"+8",IF(OR(N549=28,N549=29),"+9",IF(N549=30,"+10"," "))))))))))))))))</f>
        <v>+2</v>
      </c>
      <c r="P549" s="3" t="n">
        <v>10</v>
      </c>
      <c r="Q549" s="1" t="str">
        <f aca="false">IF(P549=1,"-5",IF(OR(P549=2,P549=3),"-4",IF(OR(P549=4,P549=5),"-3",IF(OR(P549=6,P549=7),"-2",IF(OR(P549=8,P549=9),"-1",IF(OR(P549=10,P549=11),"0",IF(OR(P549=12,P549=13),"+1",IF(OR(P549=14,P549=15),"+2",IF(OR(P549=16,P549=17),"+3",IF(OR(P549=18,P549=19),"+4",IF(OR(P549=20,P549=21),"+5",IF(OR(P549=22,P549=23),"+6",IF(OR(P549=24,P549=25),"+7",IF(OR(P549=26,P549=27),"+8",IF(OR(P549=28,P549=29),"+9",IF(P549=30,"+10"," "))))))))))))))))</f>
        <v>0</v>
      </c>
      <c r="R549" s="3" t="n">
        <v>14</v>
      </c>
      <c r="S549" s="1" t="str">
        <f aca="false">IF(R549=1,"-5",IF(OR(R549=2,R549=3),"-4",IF(OR(R549=4,R549=5),"-3",IF(OR(R549=6,R549=7),"-2",IF(OR(R549=8,R549=9),"-1",IF(OR(R549=10,R549=11),"0",IF(OR(R549=12,R549=13),"+1",IF(OR(R549=14,R549=15),"+2",IF(OR(R549=16,R549=17),"+3",IF(OR(R549=18,R549=19),"+4",IF(OR(R549=20,R549=21),"+5",IF(OR(R549=22,R549=23),"+6",IF(OR(R549=24,R549=25),"+7",IF(OR(R549=26,R549=27),"+8",IF(OR(R549=28,R549=29),"+9",IF(R549=30,"+10"," "))))))))))))))))</f>
        <v>+2</v>
      </c>
      <c r="T549" s="3" t="n">
        <v>11</v>
      </c>
      <c r="U549" s="1" t="str">
        <f aca="false">IF(T549=1,"-5",IF(OR(T549=2,T549=3),"-4",IF(OR(T549=4,T549=5),"-3",IF(OR(T549=6,T549=7),"-2",IF(OR(T549=8,T549=9),"-1",IF(OR(T549=10,T549=11),"0",IF(OR(T549=12,T549=13),"+1",IF(OR(T549=14,T549=15),"+2",IF(OR(T549=16,T549=17),"+3",IF(OR(T549=18,T549=19),"+4",IF(OR(T549=20,T549=21),"+5",IF(OR(T549=22,T549=23),"+6",IF(OR(T549=24,T549=25),"+7",IF(OR(T549=26,T549=27),"+8",IF(OR(T549=28,T549=29),"+9",IF(T549=30,"+10"," "))))))))))))))))</f>
        <v>0</v>
      </c>
      <c r="V549" s="3" t="s">
        <v>2609</v>
      </c>
      <c r="W549" s="3" t="s">
        <v>2610</v>
      </c>
      <c r="X549" s="11" t="s">
        <v>2611</v>
      </c>
      <c r="Y549" s="11" t="s">
        <v>2612</v>
      </c>
      <c r="Z549" s="11" t="s">
        <v>37</v>
      </c>
      <c r="AA549" s="12" t="s">
        <v>37</v>
      </c>
    </row>
    <row r="550" customFormat="false" ht="16.4" hidden="false" customHeight="false" outlineLevel="0" collapsed="false">
      <c r="A550" s="15" t="s">
        <v>2613</v>
      </c>
      <c r="B550" s="3" t="s">
        <v>214</v>
      </c>
      <c r="C550" s="3" t="s">
        <v>230</v>
      </c>
      <c r="D550" s="16" t="n">
        <v>6</v>
      </c>
      <c r="E550" s="6" t="n">
        <f aca="false">VLOOKUP(D550,'[1]REF Tables'!$A$2:$B$40,2)</f>
        <v>2300</v>
      </c>
      <c r="F550" s="3" t="s">
        <v>30</v>
      </c>
      <c r="G550" s="3" t="n">
        <v>14</v>
      </c>
      <c r="H550" s="3" t="s">
        <v>171</v>
      </c>
      <c r="I550" s="3" t="s">
        <v>2614</v>
      </c>
      <c r="J550" s="3" t="n">
        <v>16</v>
      </c>
      <c r="K550" s="1" t="str">
        <f aca="false">IF(J550=1,"-5",IF(OR(J550=2,J550=3),"-4",IF(OR(J550=4,J550=5),"-3",IF(OR(J550=6,J550=7),"-2",IF(OR(J550=8,J550=9),"-1",IF(OR(J550=10,J550=11),"0",IF(OR(J550=12,J550=13),"+1",IF(OR(J550=14,J550=15),"+2",IF(OR(J550=16,J550=17),"+3",IF(OR(J550=18,J550=19),"+4",IF(OR(J550=20,J550=21),"+5",IF(OR(J550=22,J550=23),"+6",IF(OR(J550=24,J550=25),"+7",IF(OR(J550=26,J550=27),"+8",IF(OR(J550=28,J550=29),"+9",IF(J550=30,"+10"," "))))))))))))))))</f>
        <v>+3</v>
      </c>
      <c r="L550" s="3" t="n">
        <v>19</v>
      </c>
      <c r="M550" s="1" t="str">
        <f aca="false">IF(L550=1,"-5",IF(OR(L550=2,L550=3),"-4",IF(OR(L550=4,L550=5),"-3",IF(OR(L550=6,L550=7),"-2",IF(OR(L550=8,L550=9),"-1",IF(OR(L550=10,L550=11),"0",IF(OR(L550=12,L550=13),"+1",IF(OR(L550=14,L550=15),"+2",IF(OR(L550=16,L550=17),"+3",IF(OR(L550=18,L550=19),"+4",IF(OR(L550=20,L550=21),"+5",IF(OR(L550=22,L550=23),"+6",IF(OR(L550=24,L550=25),"+7",IF(OR(L550=26,L550=27),"+8",IF(OR(L550=28,L550=29),"+9",IF(L550=30,"+10"," "))))))))))))))))</f>
        <v>+4</v>
      </c>
      <c r="N550" s="3" t="n">
        <v>14</v>
      </c>
      <c r="O550" s="1" t="str">
        <f aca="false">IF(N550=1,"-5",IF(OR(N550=2,N550=3),"-4",IF(OR(N550=4,N550=5),"-3",IF(OR(N550=6,N550=7),"-2",IF(OR(N550=8,N550=9),"-1",IF(OR(N550=10,N550=11),"0",IF(OR(N550=12,N550=13),"+1",IF(OR(N550=14,N550=15),"+2",IF(OR(N550=16,N550=17),"+3",IF(OR(N550=18,N550=19),"+4",IF(OR(N550=20,N550=21),"+5",IF(OR(N550=22,N550=23),"+6",IF(OR(N550=24,N550=25),"+7",IF(OR(N550=26,N550=27),"+8",IF(OR(N550=28,N550=29),"+9",IF(N550=30,"+10"," "))))))))))))))))</f>
        <v>+2</v>
      </c>
      <c r="P550" s="3" t="n">
        <v>10</v>
      </c>
      <c r="Q550" s="1" t="str">
        <f aca="false">IF(P550=1,"-5",IF(OR(P550=2,P550=3),"-4",IF(OR(P550=4,P550=5),"-3",IF(OR(P550=6,P550=7),"-2",IF(OR(P550=8,P550=9),"-1",IF(OR(P550=10,P550=11),"0",IF(OR(P550=12,P550=13),"+1",IF(OR(P550=14,P550=15),"+2",IF(OR(P550=16,P550=17),"+3",IF(OR(P550=18,P550=19),"+4",IF(OR(P550=20,P550=21),"+5",IF(OR(P550=22,P550=23),"+6",IF(OR(P550=24,P550=25),"+7",IF(OR(P550=26,P550=27),"+8",IF(OR(P550=28,P550=29),"+9",IF(P550=30,"+10"," "))))))))))))))))</f>
        <v>0</v>
      </c>
      <c r="R550" s="3" t="n">
        <v>15</v>
      </c>
      <c r="S550" s="1" t="str">
        <f aca="false">IF(R550=1,"-5",IF(OR(R550=2,R550=3),"-4",IF(OR(R550=4,R550=5),"-3",IF(OR(R550=6,R550=7),"-2",IF(OR(R550=8,R550=9),"-1",IF(OR(R550=10,R550=11),"0",IF(OR(R550=12,R550=13),"+1",IF(OR(R550=14,R550=15),"+2",IF(OR(R550=16,R550=17),"+3",IF(OR(R550=18,R550=19),"+4",IF(OR(R550=20,R550=21),"+5",IF(OR(R550=22,R550=23),"+6",IF(OR(R550=24,R550=25),"+7",IF(OR(R550=26,R550=27),"+8",IF(OR(R550=28,R550=29),"+9",IF(R550=30,"+10"," "))))))))))))))))</f>
        <v>+2</v>
      </c>
      <c r="T550" s="3" t="n">
        <v>11</v>
      </c>
      <c r="U550" s="1" t="str">
        <f aca="false">IF(T550=1,"-5",IF(OR(T550=2,T550=3),"-4",IF(OR(T550=4,T550=5),"-3",IF(OR(T550=6,T550=7),"-2",IF(OR(T550=8,T550=9),"-1",IF(OR(T550=10,T550=11),"0",IF(OR(T550=12,T550=13),"+1",IF(OR(T550=14,T550=15),"+2",IF(OR(T550=16,T550=17),"+3",IF(OR(T550=18,T550=19),"+4",IF(OR(T550=20,T550=21),"+5",IF(OR(T550=22,T550=23),"+6",IF(OR(T550=24,T550=25),"+7",IF(OR(T550=26,T550=27),"+8",IF(OR(T550=28,T550=29),"+9",IF(T550=30,"+10"," "))))))))))))))))</f>
        <v>0</v>
      </c>
      <c r="V550" s="3" t="s">
        <v>2615</v>
      </c>
      <c r="W550" s="3" t="s">
        <v>2616</v>
      </c>
      <c r="X550" s="11" t="s">
        <v>2617</v>
      </c>
      <c r="Y550" s="11" t="s">
        <v>2618</v>
      </c>
      <c r="Z550" s="11" t="s">
        <v>37</v>
      </c>
      <c r="AA550" s="12" t="s">
        <v>37</v>
      </c>
    </row>
    <row r="551" customFormat="false" ht="16.4" hidden="false" customHeight="false" outlineLevel="0" collapsed="false">
      <c r="A551" s="15" t="s">
        <v>2619</v>
      </c>
      <c r="B551" s="3" t="s">
        <v>59</v>
      </c>
      <c r="C551" s="3" t="s">
        <v>37</v>
      </c>
      <c r="D551" s="16" t="n">
        <v>5</v>
      </c>
      <c r="E551" s="6" t="n">
        <f aca="false">VLOOKUP(D551,'[1]REF Tables'!$A$2:$B$40,2)</f>
        <v>1800</v>
      </c>
      <c r="F551" s="3" t="s">
        <v>50</v>
      </c>
      <c r="G551" s="3" t="n">
        <v>13</v>
      </c>
      <c r="H551" s="3" t="s">
        <v>2620</v>
      </c>
      <c r="I551" s="3" t="s">
        <v>210</v>
      </c>
      <c r="J551" s="3" t="n">
        <v>22</v>
      </c>
      <c r="K551" s="1" t="str">
        <f aca="false">IF(J551=1,"-5",IF(OR(J551=2,J551=3),"-4",IF(OR(J551=4,J551=5),"-3",IF(OR(J551=6,J551=7),"-2",IF(OR(J551=8,J551=9),"-1",IF(OR(J551=10,J551=11),"0",IF(OR(J551=12,J551=13),"+1",IF(OR(J551=14,J551=15),"+2",IF(OR(J551=16,J551=17),"+3",IF(OR(J551=18,J551=19),"+4",IF(OR(J551=20,J551=21),"+5",IF(OR(J551=22,J551=23),"+6",IF(OR(J551=24,J551=25),"+7",IF(OR(J551=26,J551=27),"+8",IF(OR(J551=28,J551=29),"+9",IF(J551=30,"+10"," "))))))))))))))))</f>
        <v>+6</v>
      </c>
      <c r="L551" s="3" t="n">
        <v>9</v>
      </c>
      <c r="M551" s="1" t="str">
        <f aca="false">IF(L551=1,"-5",IF(OR(L551=2,L551=3),"-4",IF(OR(L551=4,L551=5),"-3",IF(OR(L551=6,L551=7),"-2",IF(OR(L551=8,L551=9),"-1",IF(OR(L551=10,L551=11),"0",IF(OR(L551=12,L551=13),"+1",IF(OR(L551=14,L551=15),"+2",IF(OR(L551=16,L551=17),"+3",IF(OR(L551=18,L551=19),"+4",IF(OR(L551=20,L551=21),"+5",IF(OR(L551=22,L551=23),"+6",IF(OR(L551=24,L551=25),"+7",IF(OR(L551=26,L551=27),"+8",IF(OR(L551=28,L551=29),"+9",IF(L551=30,"+10"," "))))))))))))))))</f>
        <v>-1</v>
      </c>
      <c r="N551" s="3" t="n">
        <v>17</v>
      </c>
      <c r="O551" s="1" t="str">
        <f aca="false">IF(N551=1,"-5",IF(OR(N551=2,N551=3),"-4",IF(OR(N551=4,N551=5),"-3",IF(OR(N551=6,N551=7),"-2",IF(OR(N551=8,N551=9),"-1",IF(OR(N551=10,N551=11),"0",IF(OR(N551=12,N551=13),"+1",IF(OR(N551=14,N551=15),"+2",IF(OR(N551=16,N551=17),"+3",IF(OR(N551=18,N551=19),"+4",IF(OR(N551=20,N551=21),"+5",IF(OR(N551=22,N551=23),"+6",IF(OR(N551=24,N551=25),"+7",IF(OR(N551=26,N551=27),"+8",IF(OR(N551=28,N551=29),"+9",IF(N551=30,"+10"," "))))))))))))))))</f>
        <v>+3</v>
      </c>
      <c r="P551" s="3" t="n">
        <v>2</v>
      </c>
      <c r="Q551" s="1" t="str">
        <f aca="false">IF(P551=1,"-5",IF(OR(P551=2,P551=3),"-4",IF(OR(P551=4,P551=5),"-3",IF(OR(P551=6,P551=7),"-2",IF(OR(P551=8,P551=9),"-1",IF(OR(P551=10,P551=11),"0",IF(OR(P551=12,P551=13),"+1",IF(OR(P551=14,P551=15),"+2",IF(OR(P551=16,P551=17),"+3",IF(OR(P551=18,P551=19),"+4",IF(OR(P551=20,P551=21),"+5",IF(OR(P551=22,P551=23),"+6",IF(OR(P551=24,P551=25),"+7",IF(OR(P551=26,P551=27),"+8",IF(OR(P551=28,P551=29),"+9",IF(P551=30,"+10"," "))))))))))))))))</f>
        <v>-4</v>
      </c>
      <c r="R551" s="3" t="n">
        <v>11</v>
      </c>
      <c r="S551" s="1" t="str">
        <f aca="false">IF(R551=1,"-5",IF(OR(R551=2,R551=3),"-4",IF(OR(R551=4,R551=5),"-3",IF(OR(R551=6,R551=7),"-2",IF(OR(R551=8,R551=9),"-1",IF(OR(R551=10,R551=11),"0",IF(OR(R551=12,R551=13),"+1",IF(OR(R551=14,R551=15),"+2",IF(OR(R551=16,R551=17),"+3",IF(OR(R551=18,R551=19),"+4",IF(OR(R551=20,R551=21),"+5",IF(OR(R551=22,R551=23),"+6",IF(OR(R551=24,R551=25),"+7",IF(OR(R551=26,R551=27),"+8",IF(OR(R551=28,R551=29),"+9",IF(R551=30,"+10"," "))))))))))))))))</f>
        <v>0</v>
      </c>
      <c r="T551" s="3" t="n">
        <v>5</v>
      </c>
      <c r="U551" s="1" t="str">
        <f aca="false">IF(T551=1,"-5",IF(OR(T551=2,T551=3),"-4",IF(OR(T551=4,T551=5),"-3",IF(OR(T551=6,T551=7),"-2",IF(OR(T551=8,T551=9),"-1",IF(OR(T551=10,T551=11),"0",IF(OR(T551=12,T551=13),"+1",IF(OR(T551=14,T551=15),"+2",IF(OR(T551=16,T551=17),"+3",IF(OR(T551=18,T551=19),"+4",IF(OR(T551=20,T551=21),"+5",IF(OR(T551=22,T551=23),"+6",IF(OR(T551=24,T551=25),"+7",IF(OR(T551=26,T551=27),"+8",IF(OR(T551=28,T551=29),"+9",IF(T551=30,"+10"," "))))))))))))))))</f>
        <v>-3</v>
      </c>
      <c r="V551" s="3" t="s">
        <v>37</v>
      </c>
      <c r="W551" s="3" t="s">
        <v>37</v>
      </c>
      <c r="X551" s="11" t="s">
        <v>2621</v>
      </c>
      <c r="Y551" s="11" t="s">
        <v>2622</v>
      </c>
      <c r="Z551" s="11" t="s">
        <v>37</v>
      </c>
      <c r="AA551" s="12" t="s">
        <v>37</v>
      </c>
    </row>
    <row r="552" customFormat="false" ht="16.4" hidden="false" customHeight="false" outlineLevel="0" collapsed="false">
      <c r="A552" s="15" t="s">
        <v>2623</v>
      </c>
      <c r="B552" s="3" t="s">
        <v>197</v>
      </c>
      <c r="C552" s="3" t="s">
        <v>106</v>
      </c>
      <c r="D552" s="16" t="n">
        <v>0.5</v>
      </c>
      <c r="E552" s="3" t="n">
        <f aca="false">VLOOKUP(D552,'[1]REF Tables'!$A$2:$B$40,2)</f>
        <v>100</v>
      </c>
      <c r="F552" s="3" t="s">
        <v>30</v>
      </c>
      <c r="G552" s="3" t="n">
        <v>15</v>
      </c>
      <c r="H552" s="3" t="s">
        <v>269</v>
      </c>
      <c r="I552" s="3" t="s">
        <v>42</v>
      </c>
      <c r="J552" s="3" t="n">
        <v>12</v>
      </c>
      <c r="K552" s="1" t="str">
        <f aca="false">IF(J552=1,"-5",IF(OR(J552=2,J552=3),"-4",IF(OR(J552=4,J552=5),"-3",IF(OR(J552=6,J552=7),"-2",IF(OR(J552=8,J552=9),"-1",IF(OR(J552=10,J552=11),"0",IF(OR(J552=12,J552=13),"+1",IF(OR(J552=14,J552=15),"+2",IF(OR(J552=16,J552=17),"+3",IF(OR(J552=18,J552=19),"+4",IF(OR(J552=20,J552=21),"+5",IF(OR(J552=22,J552=23),"+6",IF(OR(J552=24,J552=25),"+7",IF(OR(J552=26,J552=27),"+8",IF(OR(J552=28,J552=29),"+9",IF(J552=30,"+10"," "))))))))))))))))</f>
        <v>+1</v>
      </c>
      <c r="L552" s="3" t="n">
        <v>13</v>
      </c>
      <c r="M552" s="1" t="str">
        <f aca="false">IF(L552=1,"-5",IF(OR(L552=2,L552=3),"-4",IF(OR(L552=4,L552=5),"-3",IF(OR(L552=6,L552=7),"-2",IF(OR(L552=8,L552=9),"-1",IF(OR(L552=10,L552=11),"0",IF(OR(L552=12,L552=13),"+1",IF(OR(L552=14,L552=15),"+2",IF(OR(L552=16,L552=17),"+3",IF(OR(L552=18,L552=19),"+4",IF(OR(L552=20,L552=21),"+5",IF(OR(L552=22,L552=23),"+6",IF(OR(L552=24,L552=25),"+7",IF(OR(L552=26,L552=27),"+8",IF(OR(L552=28,L552=29),"+9",IF(L552=30,"+10"," "))))))))))))))))</f>
        <v>+1</v>
      </c>
      <c r="N552" s="3" t="n">
        <v>12</v>
      </c>
      <c r="O552" s="1" t="str">
        <f aca="false">IF(N552=1,"-5",IF(OR(N552=2,N552=3),"-4",IF(OR(N552=4,N552=5),"-3",IF(OR(N552=6,N552=7),"-2",IF(OR(N552=8,N552=9),"-1",IF(OR(N552=10,N552=11),"0",IF(OR(N552=12,N552=13),"+1",IF(OR(N552=14,N552=15),"+2",IF(OR(N552=16,N552=17),"+3",IF(OR(N552=18,N552=19),"+4",IF(OR(N552=20,N552=21),"+5",IF(OR(N552=22,N552=23),"+6",IF(OR(N552=24,N552=25),"+7",IF(OR(N552=26,N552=27),"+8",IF(OR(N552=28,N552=29),"+9",IF(N552=30,"+10"," "))))))))))))))))</f>
        <v>+1</v>
      </c>
      <c r="P552" s="3" t="n">
        <v>9</v>
      </c>
      <c r="Q552" s="1" t="str">
        <f aca="false">IF(P552=1,"-5",IF(OR(P552=2,P552=3),"-4",IF(OR(P552=4,P552=5),"-3",IF(OR(P552=6,P552=7),"-2",IF(OR(P552=8,P552=9),"-1",IF(OR(P552=10,P552=11),"0",IF(OR(P552=12,P552=13),"+1",IF(OR(P552=14,P552=15),"+2",IF(OR(P552=16,P552=17),"+3",IF(OR(P552=18,P552=19),"+4",IF(OR(P552=20,P552=21),"+5",IF(OR(P552=22,P552=23),"+6",IF(OR(P552=24,P552=25),"+7",IF(OR(P552=26,P552=27),"+8",IF(OR(P552=28,P552=29),"+9",IF(P552=30,"+10"," "))))))))))))))))</f>
        <v>-1</v>
      </c>
      <c r="R552" s="3" t="n">
        <v>10</v>
      </c>
      <c r="S552" s="1" t="str">
        <f aca="false">IF(R552=1,"-5",IF(OR(R552=2,R552=3),"-4",IF(OR(R552=4,R552=5),"-3",IF(OR(R552=6,R552=7),"-2",IF(OR(R552=8,R552=9),"-1",IF(OR(R552=10,R552=11),"0",IF(OR(R552=12,R552=13),"+1",IF(OR(R552=14,R552=15),"+2",IF(OR(R552=16,R552=17),"+3",IF(OR(R552=18,R552=19),"+4",IF(OR(R552=20,R552=21),"+5",IF(OR(R552=22,R552=23),"+6",IF(OR(R552=24,R552=25),"+7",IF(OR(R552=26,R552=27),"+8",IF(OR(R552=28,R552=29),"+9",IF(R552=30,"+10"," "))))))))))))))))</f>
        <v>0</v>
      </c>
      <c r="T552" s="3" t="n">
        <v>9</v>
      </c>
      <c r="U552" s="1" t="str">
        <f aca="false">IF(T552=1,"-5",IF(OR(T552=2,T552=3),"-4",IF(OR(T552=4,T552=5),"-3",IF(OR(T552=6,T552=7),"-2",IF(OR(T552=8,T552=9),"-1",IF(OR(T552=10,T552=11),"0",IF(OR(T552=12,T552=13),"+1",IF(OR(T552=14,T552=15),"+2",IF(OR(T552=16,T552=17),"+3",IF(OR(T552=18,T552=19),"+4",IF(OR(T552=20,T552=21),"+5",IF(OR(T552=22,T552=23),"+6",IF(OR(T552=24,T552=25),"+7",IF(OR(T552=26,T552=27),"+8",IF(OR(T552=28,T552=29),"+9",IF(T552=30,"+10"," "))))))))))))))))</f>
        <v>-1</v>
      </c>
      <c r="V552" s="3" t="s">
        <v>37</v>
      </c>
      <c r="W552" s="3" t="s">
        <v>1113</v>
      </c>
      <c r="X552" s="11" t="s">
        <v>2624</v>
      </c>
      <c r="Y552" s="11" t="s">
        <v>2625</v>
      </c>
      <c r="Z552" s="11" t="s">
        <v>37</v>
      </c>
      <c r="AA552" s="12" t="s">
        <v>37</v>
      </c>
    </row>
    <row r="553" customFormat="false" ht="16.4" hidden="false" customHeight="false" outlineLevel="0" collapsed="false">
      <c r="A553" s="15" t="s">
        <v>2626</v>
      </c>
      <c r="B553" s="3" t="s">
        <v>2627</v>
      </c>
      <c r="C553" s="3" t="s">
        <v>85</v>
      </c>
      <c r="D553" s="16" t="n">
        <v>0.5</v>
      </c>
      <c r="E553" s="3" t="n">
        <f aca="false">VLOOKUP(D553,'[1]REF Tables'!$A$2:$B$40,2)</f>
        <v>100</v>
      </c>
      <c r="F553" s="3" t="s">
        <v>30</v>
      </c>
      <c r="G553" s="3" t="n">
        <v>16</v>
      </c>
      <c r="H553" s="3" t="s">
        <v>503</v>
      </c>
      <c r="I553" s="3" t="s">
        <v>42</v>
      </c>
      <c r="J553" s="3" t="n">
        <v>10</v>
      </c>
      <c r="K553" s="1" t="str">
        <f aca="false">IF(J553=1,"-5",IF(OR(J553=2,J553=3),"-4",IF(OR(J553=4,J553=5),"-3",IF(OR(J553=6,J553=7),"-2",IF(OR(J553=8,J553=9),"-1",IF(OR(J553=10,J553=11),"0",IF(OR(J553=12,J553=13),"+1",IF(OR(J553=14,J553=15),"+2",IF(OR(J553=16,J553=17),"+3",IF(OR(J553=18,J553=19),"+4",IF(OR(J553=20,J553=21),"+5",IF(OR(J553=22,J553=23),"+6",IF(OR(J553=24,J553=25),"+7",IF(OR(J553=26,J553=27),"+8",IF(OR(J553=28,J553=29),"+9",IF(J553=30,"+10"," "))))))))))))))))</f>
        <v>0</v>
      </c>
      <c r="L553" s="3" t="n">
        <v>13</v>
      </c>
      <c r="M553" s="1" t="str">
        <f aca="false">IF(L553=1,"-5",IF(OR(L553=2,L553=3),"-4",IF(OR(L553=4,L553=5),"-3",IF(OR(L553=6,L553=7),"-2",IF(OR(L553=8,L553=9),"-1",IF(OR(L553=10,L553=11),"0",IF(OR(L553=12,L553=13),"+1",IF(OR(L553=14,L553=15),"+2",IF(OR(L553=16,L553=17),"+3",IF(OR(L553=18,L553=19),"+4",IF(OR(L553=20,L553=21),"+5",IF(OR(L553=22,L553=23),"+6",IF(OR(L553=24,L553=25),"+7",IF(OR(L553=26,L553=27),"+8",IF(OR(L553=28,L553=29),"+9",IF(L553=30,"+10"," "))))))))))))))))</f>
        <v>+1</v>
      </c>
      <c r="N553" s="3" t="n">
        <v>12</v>
      </c>
      <c r="O553" s="1" t="str">
        <f aca="false">IF(N553=1,"-5",IF(OR(N553=2,N553=3),"-4",IF(OR(N553=4,N553=5),"-3",IF(OR(N553=6,N553=7),"-2",IF(OR(N553=8,N553=9),"-1",IF(OR(N553=10,N553=11),"0",IF(OR(N553=12,N553=13),"+1",IF(OR(N553=14,N553=15),"+2",IF(OR(N553=16,N553=17),"+3",IF(OR(N553=18,N553=19),"+4",IF(OR(N553=20,N553=21),"+5",IF(OR(N553=22,N553=23),"+6",IF(OR(N553=24,N553=25),"+7",IF(OR(N553=26,N553=27),"+8",IF(OR(N553=28,N553=29),"+9",IF(N553=30,"+10"," "))))))))))))))))</f>
        <v>+1</v>
      </c>
      <c r="P553" s="3" t="n">
        <v>7</v>
      </c>
      <c r="Q553" s="1" t="str">
        <f aca="false">IF(P553=1,"-5",IF(OR(P553=2,P553=3),"-4",IF(OR(P553=4,P553=5),"-3",IF(OR(P553=6,P553=7),"-2",IF(OR(P553=8,P553=9),"-1",IF(OR(P553=10,P553=11),"0",IF(OR(P553=12,P553=13),"+1",IF(OR(P553=14,P553=15),"+2",IF(OR(P553=16,P553=17),"+3",IF(OR(P553=18,P553=19),"+4",IF(OR(P553=20,P553=21),"+5",IF(OR(P553=22,P553=23),"+6",IF(OR(P553=24,P553=25),"+7",IF(OR(P553=26,P553=27),"+8",IF(OR(P553=28,P553=29),"+9",IF(P553=30,"+10"," "))))))))))))))))</f>
        <v>-2</v>
      </c>
      <c r="R553" s="3" t="n">
        <v>11</v>
      </c>
      <c r="S553" s="1" t="str">
        <f aca="false">IF(R553=1,"-5",IF(OR(R553=2,R553=3),"-4",IF(OR(R553=4,R553=5),"-3",IF(OR(R553=6,R553=7),"-2",IF(OR(R553=8,R553=9),"-1",IF(OR(R553=10,R553=11),"0",IF(OR(R553=12,R553=13),"+1",IF(OR(R553=14,R553=15),"+2",IF(OR(R553=16,R553=17),"+3",IF(OR(R553=18,R553=19),"+4",IF(OR(R553=20,R553=21),"+5",IF(OR(R553=22,R553=23),"+6",IF(OR(R553=24,R553=25),"+7",IF(OR(R553=26,R553=27),"+8",IF(OR(R553=28,R553=29),"+9",IF(R553=30,"+10"," "))))))))))))))))</f>
        <v>0</v>
      </c>
      <c r="T553" s="3" t="n">
        <v>8</v>
      </c>
      <c r="U553" s="1" t="str">
        <f aca="false">IF(T553=1,"-5",IF(OR(T553=2,T553=3),"-4",IF(OR(T553=4,T553=5),"-3",IF(OR(T553=6,T553=7),"-2",IF(OR(T553=8,T553=9),"-1",IF(OR(T553=10,T553=11),"0",IF(OR(T553=12,T553=13),"+1",IF(OR(T553=14,T553=15),"+2",IF(OR(T553=16,T553=17),"+3",IF(OR(T553=18,T553=19),"+4",IF(OR(T553=20,T553=21),"+5",IF(OR(T553=22,T553=23),"+6",IF(OR(T553=24,T553=25),"+7",IF(OR(T553=26,T553=27),"+8",IF(OR(T553=28,T553=29),"+9",IF(T553=30,"+10"," "))))))))))))))))</f>
        <v>-1</v>
      </c>
      <c r="V553" s="3" t="s">
        <v>37</v>
      </c>
      <c r="W553" s="3" t="s">
        <v>2628</v>
      </c>
      <c r="X553" s="11" t="s">
        <v>2629</v>
      </c>
      <c r="Y553" s="11" t="s">
        <v>2630</v>
      </c>
      <c r="Z553" s="11" t="s">
        <v>37</v>
      </c>
      <c r="AA553" s="12" t="s">
        <v>37</v>
      </c>
    </row>
    <row r="554" customFormat="false" ht="16.4" hidden="false" customHeight="false" outlineLevel="0" collapsed="false">
      <c r="A554" s="15" t="s">
        <v>2631</v>
      </c>
      <c r="B554" s="3" t="s">
        <v>2627</v>
      </c>
      <c r="C554" s="3" t="s">
        <v>85</v>
      </c>
      <c r="D554" s="16" t="n">
        <v>1</v>
      </c>
      <c r="E554" s="3" t="n">
        <f aca="false">VLOOKUP(D554,'[1]REF Tables'!$A$2:$B$40,2)</f>
        <v>200</v>
      </c>
      <c r="F554" s="3" t="s">
        <v>30</v>
      </c>
      <c r="G554" s="3" t="n">
        <v>10</v>
      </c>
      <c r="H554" s="3" t="s">
        <v>198</v>
      </c>
      <c r="I554" s="3" t="s">
        <v>42</v>
      </c>
      <c r="J554" s="3" t="n">
        <v>13</v>
      </c>
      <c r="K554" s="1" t="str">
        <f aca="false">IF(J554=1,"-5",IF(OR(J554=2,J554=3),"-4",IF(OR(J554=4,J554=5),"-3",IF(OR(J554=6,J554=7),"-2",IF(OR(J554=8,J554=9),"-1",IF(OR(J554=10,J554=11),"0",IF(OR(J554=12,J554=13),"+1",IF(OR(J554=14,J554=15),"+2",IF(OR(J554=16,J554=17),"+3",IF(OR(J554=18,J554=19),"+4",IF(OR(J554=20,J554=21),"+5",IF(OR(J554=22,J554=23),"+6",IF(OR(J554=24,J554=25),"+7",IF(OR(J554=26,J554=27),"+8",IF(OR(J554=28,J554=29),"+9",IF(J554=30,"+10"," "))))))))))))))))</f>
        <v>+1</v>
      </c>
      <c r="L554" s="3" t="n">
        <v>11</v>
      </c>
      <c r="M554" s="1" t="str">
        <f aca="false">IF(L554=1,"-5",IF(OR(L554=2,L554=3),"-4",IF(OR(L554=4,L554=5),"-3",IF(OR(L554=6,L554=7),"-2",IF(OR(L554=8,L554=9),"-1",IF(OR(L554=10,L554=11),"0",IF(OR(L554=12,L554=13),"+1",IF(OR(L554=14,L554=15),"+2",IF(OR(L554=16,L554=17),"+3",IF(OR(L554=18,L554=19),"+4",IF(OR(L554=20,L554=21),"+5",IF(OR(L554=22,L554=23),"+6",IF(OR(L554=24,L554=25),"+7",IF(OR(L554=26,L554=27),"+8",IF(OR(L554=28,L554=29),"+9",IF(L554=30,"+10"," "))))))))))))))))</f>
        <v>0</v>
      </c>
      <c r="N554" s="3" t="n">
        <v>12</v>
      </c>
      <c r="O554" s="1" t="str">
        <f aca="false">IF(N554=1,"-5",IF(OR(N554=2,N554=3),"-4",IF(OR(N554=4,N554=5),"-3",IF(OR(N554=6,N554=7),"-2",IF(OR(N554=8,N554=9),"-1",IF(OR(N554=10,N554=11),"0",IF(OR(N554=12,N554=13),"+1",IF(OR(N554=14,N554=15),"+2",IF(OR(N554=16,N554=17),"+3",IF(OR(N554=18,N554=19),"+4",IF(OR(N554=20,N554=21),"+5",IF(OR(N554=22,N554=23),"+6",IF(OR(N554=24,N554=25),"+7",IF(OR(N554=26,N554=27),"+8",IF(OR(N554=28,N554=29),"+9",IF(N554=30,"+10"," "))))))))))))))))</f>
        <v>+1</v>
      </c>
      <c r="P554" s="3" t="n">
        <v>9</v>
      </c>
      <c r="Q554" s="1" t="str">
        <f aca="false">IF(P554=1,"-5",IF(OR(P554=2,P554=3),"-4",IF(OR(P554=4,P554=5),"-3",IF(OR(P554=6,P554=7),"-2",IF(OR(P554=8,P554=9),"-1",IF(OR(P554=10,P554=11),"0",IF(OR(P554=12,P554=13),"+1",IF(OR(P554=14,P554=15),"+2",IF(OR(P554=16,P554=17),"+3",IF(OR(P554=18,P554=19),"+4",IF(OR(P554=20,P554=21),"+5",IF(OR(P554=22,P554=23),"+6",IF(OR(P554=24,P554=25),"+7",IF(OR(P554=26,P554=27),"+8",IF(OR(P554=28,P554=29),"+9",IF(P554=30,"+10"," "))))))))))))))))</f>
        <v>-1</v>
      </c>
      <c r="R554" s="3" t="n">
        <v>11</v>
      </c>
      <c r="S554" s="1" t="str">
        <f aca="false">IF(R554=1,"-5",IF(OR(R554=2,R554=3),"-4",IF(OR(R554=4,R554=5),"-3",IF(OR(R554=6,R554=7),"-2",IF(OR(R554=8,R554=9),"-1",IF(OR(R554=10,R554=11),"0",IF(OR(R554=12,R554=13),"+1",IF(OR(R554=14,R554=15),"+2",IF(OR(R554=16,R554=17),"+3",IF(OR(R554=18,R554=19),"+4",IF(OR(R554=20,R554=21),"+5",IF(OR(R554=22,R554=23),"+6",IF(OR(R554=24,R554=25),"+7",IF(OR(R554=26,R554=27),"+8",IF(OR(R554=28,R554=29),"+9",IF(R554=30,"+10"," "))))))))))))))))</f>
        <v>0</v>
      </c>
      <c r="T554" s="3" t="n">
        <v>14</v>
      </c>
      <c r="U554" s="1" t="str">
        <f aca="false">IF(T554=1,"-5",IF(OR(T554=2,T554=3),"-4",IF(OR(T554=4,T554=5),"-3",IF(OR(T554=6,T554=7),"-2",IF(OR(T554=8,T554=9),"-1",IF(OR(T554=10,T554=11),"0",IF(OR(T554=12,T554=13),"+1",IF(OR(T554=14,T554=15),"+2",IF(OR(T554=16,T554=17),"+3",IF(OR(T554=18,T554=19),"+4",IF(OR(T554=20,T554=21),"+5",IF(OR(T554=22,T554=23),"+6",IF(OR(T554=24,T554=25),"+7",IF(OR(T554=26,T554=27),"+8",IF(OR(T554=28,T554=29),"+9",IF(T554=30,"+10"," "))))))))))))))))</f>
        <v>+2</v>
      </c>
      <c r="V554" s="3" t="s">
        <v>37</v>
      </c>
      <c r="W554" s="3" t="s">
        <v>2628</v>
      </c>
      <c r="X554" s="11" t="s">
        <v>2632</v>
      </c>
      <c r="Y554" s="11" t="s">
        <v>2633</v>
      </c>
      <c r="Z554" s="11" t="s">
        <v>37</v>
      </c>
      <c r="AA554" s="12" t="s">
        <v>37</v>
      </c>
    </row>
    <row r="555" customFormat="false" ht="16.4" hidden="false" customHeight="false" outlineLevel="0" collapsed="false">
      <c r="A555" s="15" t="s">
        <v>2634</v>
      </c>
      <c r="B555" s="3" t="s">
        <v>2635</v>
      </c>
      <c r="C555" s="3" t="s">
        <v>222</v>
      </c>
      <c r="D555" s="16" t="n">
        <v>0.25</v>
      </c>
      <c r="E555" s="3" t="n">
        <f aca="false">VLOOKUP(D555,'[1]REF Tables'!$A$2:$B$40,2)</f>
        <v>50</v>
      </c>
      <c r="F555" s="3" t="s">
        <v>30</v>
      </c>
      <c r="G555" s="3" t="n">
        <v>11</v>
      </c>
      <c r="H555" s="3" t="s">
        <v>136</v>
      </c>
      <c r="I555" s="3" t="s">
        <v>42</v>
      </c>
      <c r="J555" s="3" t="n">
        <v>14</v>
      </c>
      <c r="K555" s="1" t="str">
        <f aca="false">IF(J555=1,"-5",IF(OR(J555=2,J555=3),"-4",IF(OR(J555=4,J555=5),"-3",IF(OR(J555=6,J555=7),"-2",IF(OR(J555=8,J555=9),"-1",IF(OR(J555=10,J555=11),"0",IF(OR(J555=12,J555=13),"+1",IF(OR(J555=14,J555=15),"+2",IF(OR(J555=16,J555=17),"+3",IF(OR(J555=18,J555=19),"+4",IF(OR(J555=20,J555=21),"+5",IF(OR(J555=22,J555=23),"+6",IF(OR(J555=24,J555=25),"+7",IF(OR(J555=26,J555=27),"+8",IF(OR(J555=28,J555=29),"+9",IF(J555=30,"+10"," "))))))))))))))))</f>
        <v>+2</v>
      </c>
      <c r="L555" s="3" t="n">
        <v>10</v>
      </c>
      <c r="M555" s="1" t="str">
        <f aca="false">IF(L555=1,"-5",IF(OR(L555=2,L555=3),"-4",IF(OR(L555=4,L555=5),"-3",IF(OR(L555=6,L555=7),"-2",IF(OR(L555=8,L555=9),"-1",IF(OR(L555=10,L555=11),"0",IF(OR(L555=12,L555=13),"+1",IF(OR(L555=14,L555=15),"+2",IF(OR(L555=16,L555=17),"+3",IF(OR(L555=18,L555=19),"+4",IF(OR(L555=20,L555=21),"+5",IF(OR(L555=22,L555=23),"+6",IF(OR(L555=24,L555=25),"+7",IF(OR(L555=26,L555=27),"+8",IF(OR(L555=28,L555=29),"+9",IF(L555=30,"+10"," "))))))))))))))))</f>
        <v>0</v>
      </c>
      <c r="N555" s="3" t="n">
        <v>14</v>
      </c>
      <c r="O555" s="1" t="str">
        <f aca="false">IF(N555=1,"-5",IF(OR(N555=2,N555=3),"-4",IF(OR(N555=4,N555=5),"-3",IF(OR(N555=6,N555=7),"-2",IF(OR(N555=8,N555=9),"-1",IF(OR(N555=10,N555=11),"0",IF(OR(N555=12,N555=13),"+1",IF(OR(N555=14,N555=15),"+2",IF(OR(N555=16,N555=17),"+3",IF(OR(N555=18,N555=19),"+4",IF(OR(N555=20,N555=21),"+5",IF(OR(N555=22,N555=23),"+6",IF(OR(N555=24,N555=25),"+7",IF(OR(N555=26,N555=27),"+8",IF(OR(N555=28,N555=29),"+9",IF(N555=30,"+10"," "))))))))))))))))</f>
        <v>+2</v>
      </c>
      <c r="P555" s="3" t="n">
        <v>6</v>
      </c>
      <c r="Q555" s="1" t="str">
        <f aca="false">IF(P555=1,"-5",IF(OR(P555=2,P555=3),"-4",IF(OR(P555=4,P555=5),"-3",IF(OR(P555=6,P555=7),"-2",IF(OR(P555=8,P555=9),"-1",IF(OR(P555=10,P555=11),"0",IF(OR(P555=12,P555=13),"+1",IF(OR(P555=14,P555=15),"+2",IF(OR(P555=16,P555=17),"+3",IF(OR(P555=18,P555=19),"+4",IF(OR(P555=20,P555=21),"+5",IF(OR(P555=22,P555=23),"+6",IF(OR(P555=24,P555=25),"+7",IF(OR(P555=26,P555=27),"+8",IF(OR(P555=28,P555=29),"+9",IF(P555=30,"+10"," "))))))))))))))))</f>
        <v>-2</v>
      </c>
      <c r="R555" s="3" t="n">
        <v>10</v>
      </c>
      <c r="S555" s="1" t="str">
        <f aca="false">IF(R555=1,"-5",IF(OR(R555=2,R555=3),"-4",IF(OR(R555=4,R555=5),"-3",IF(OR(R555=6,R555=7),"-2",IF(OR(R555=8,R555=9),"-1",IF(OR(R555=10,R555=11),"0",IF(OR(R555=12,R555=13),"+1",IF(OR(R555=14,R555=15),"+2",IF(OR(R555=16,R555=17),"+3",IF(OR(R555=18,R555=19),"+4",IF(OR(R555=20,R555=21),"+5",IF(OR(R555=22,R555=23),"+6",IF(OR(R555=24,R555=25),"+7",IF(OR(R555=26,R555=27),"+8",IF(OR(R555=28,R555=29),"+9",IF(R555=30,"+10"," "))))))))))))))))</f>
        <v>0</v>
      </c>
      <c r="T555" s="3" t="n">
        <v>6</v>
      </c>
      <c r="U555" s="1" t="str">
        <f aca="false">IF(T555=1,"-5",IF(OR(T555=2,T555=3),"-4",IF(OR(T555=4,T555=5),"-3",IF(OR(T555=6,T555=7),"-2",IF(OR(T555=8,T555=9),"-1",IF(OR(T555=10,T555=11),"0",IF(OR(T555=12,T555=13),"+1",IF(OR(T555=14,T555=15),"+2",IF(OR(T555=16,T555=17),"+3",IF(OR(T555=18,T555=19),"+4",IF(OR(T555=20,T555=21),"+5",IF(OR(T555=22,T555=23),"+6",IF(OR(T555=24,T555=25),"+7",IF(OR(T555=26,T555=27),"+8",IF(OR(T555=28,T555=29),"+9",IF(T555=30,"+10"," "))))))))))))))))</f>
        <v>-2</v>
      </c>
      <c r="V555" s="3" t="s">
        <v>556</v>
      </c>
      <c r="W555" s="3" t="s">
        <v>2636</v>
      </c>
      <c r="X555" s="11" t="s">
        <v>2637</v>
      </c>
      <c r="Y555" s="11" t="s">
        <v>2638</v>
      </c>
      <c r="Z555" s="11" t="s">
        <v>37</v>
      </c>
      <c r="AA555" s="12" t="s">
        <v>37</v>
      </c>
    </row>
    <row r="556" customFormat="false" ht="16.4" hidden="false" customHeight="false" outlineLevel="0" collapsed="false">
      <c r="A556" s="15" t="s">
        <v>2639</v>
      </c>
      <c r="B556" s="3" t="s">
        <v>614</v>
      </c>
      <c r="C556" s="3" t="s">
        <v>222</v>
      </c>
      <c r="D556" s="16" t="n">
        <v>5</v>
      </c>
      <c r="E556" s="6" t="n">
        <f aca="false">VLOOKUP(D556,'[1]REF Tables'!$A$2:$B$40,2)</f>
        <v>1800</v>
      </c>
      <c r="F556" s="3" t="s">
        <v>50</v>
      </c>
      <c r="G556" s="3" t="n">
        <v>15</v>
      </c>
      <c r="H556" s="3" t="s">
        <v>253</v>
      </c>
      <c r="I556" s="3" t="s">
        <v>42</v>
      </c>
      <c r="J556" s="3" t="n">
        <v>18</v>
      </c>
      <c r="K556" s="1" t="str">
        <f aca="false">IF(J556=1,"-5",IF(OR(J556=2,J556=3),"-4",IF(OR(J556=4,J556=5),"-3",IF(OR(J556=6,J556=7),"-2",IF(OR(J556=8,J556=9),"-1",IF(OR(J556=10,J556=11),"0",IF(OR(J556=12,J556=13),"+1",IF(OR(J556=14,J556=15),"+2",IF(OR(J556=16,J556=17),"+3",IF(OR(J556=18,J556=19),"+4",IF(OR(J556=20,J556=21),"+5",IF(OR(J556=22,J556=23),"+6",IF(OR(J556=24,J556=25),"+7",IF(OR(J556=26,J556=27),"+8",IF(OR(J556=28,J556=29),"+9",IF(J556=30,"+10"," "))))))))))))))))</f>
        <v>+4</v>
      </c>
      <c r="L556" s="3" t="n">
        <v>13</v>
      </c>
      <c r="M556" s="1" t="str">
        <f aca="false">IF(L556=1,"-5",IF(OR(L556=2,L556=3),"-4",IF(OR(L556=4,L556=5),"-3",IF(OR(L556=6,L556=7),"-2",IF(OR(L556=8,L556=9),"-1",IF(OR(L556=10,L556=11),"0",IF(OR(L556=12,L556=13),"+1",IF(OR(L556=14,L556=15),"+2",IF(OR(L556=16,L556=17),"+3",IF(OR(L556=18,L556=19),"+4",IF(OR(L556=20,L556=21),"+5",IF(OR(L556=22,L556=23),"+6",IF(OR(L556=24,L556=25),"+7",IF(OR(L556=26,L556=27),"+8",IF(OR(L556=28,L556=29),"+9",IF(L556=30,"+10"," "))))))))))))))))</f>
        <v>+1</v>
      </c>
      <c r="N556" s="3" t="n">
        <v>20</v>
      </c>
      <c r="O556" s="1" t="str">
        <f aca="false">IF(N556=1,"-5",IF(OR(N556=2,N556=3),"-4",IF(OR(N556=4,N556=5),"-3",IF(OR(N556=6,N556=7),"-2",IF(OR(N556=8,N556=9),"-1",IF(OR(N556=10,N556=11),"0",IF(OR(N556=12,N556=13),"+1",IF(OR(N556=14,N556=15),"+2",IF(OR(N556=16,N556=17),"+3",IF(OR(N556=18,N556=19),"+4",IF(OR(N556=20,N556=21),"+5",IF(OR(N556=22,N556=23),"+6",IF(OR(N556=24,N556=25),"+7",IF(OR(N556=26,N556=27),"+8",IF(OR(N556=28,N556=29),"+9",IF(N556=30,"+10"," "))))))))))))))))</f>
        <v>+5</v>
      </c>
      <c r="P556" s="3" t="n">
        <v>7</v>
      </c>
      <c r="Q556" s="1" t="str">
        <f aca="false">IF(P556=1,"-5",IF(OR(P556=2,P556=3),"-4",IF(OR(P556=4,P556=5),"-3",IF(OR(P556=6,P556=7),"-2",IF(OR(P556=8,P556=9),"-1",IF(OR(P556=10,P556=11),"0",IF(OR(P556=12,P556=13),"+1",IF(OR(P556=14,P556=15),"+2",IF(OR(P556=16,P556=17),"+3",IF(OR(P556=18,P556=19),"+4",IF(OR(P556=20,P556=21),"+5",IF(OR(P556=22,P556=23),"+6",IF(OR(P556=24,P556=25),"+7",IF(OR(P556=26,P556=27),"+8",IF(OR(P556=28,P556=29),"+9",IF(P556=30,"+10"," "))))))))))))))))</f>
        <v>-2</v>
      </c>
      <c r="R556" s="3" t="n">
        <v>9</v>
      </c>
      <c r="S556" s="1" t="str">
        <f aca="false">IF(R556=1,"-5",IF(OR(R556=2,R556=3),"-4",IF(OR(R556=4,R556=5),"-3",IF(OR(R556=6,R556=7),"-2",IF(OR(R556=8,R556=9),"-1",IF(OR(R556=10,R556=11),"0",IF(OR(R556=12,R556=13),"+1",IF(OR(R556=14,R556=15),"+2",IF(OR(R556=16,R556=17),"+3",IF(OR(R556=18,R556=19),"+4",IF(OR(R556=20,R556=21),"+5",IF(OR(R556=22,R556=23),"+6",IF(OR(R556=24,R556=25),"+7",IF(OR(R556=26,R556=27),"+8",IF(OR(R556=28,R556=29),"+9",IF(R556=30,"+10"," "))))))))))))))))</f>
        <v>-1</v>
      </c>
      <c r="T556" s="3" t="n">
        <v>7</v>
      </c>
      <c r="U556" s="1" t="str">
        <f aca="false">IF(T556=1,"-5",IF(OR(T556=2,T556=3),"-4",IF(OR(T556=4,T556=5),"-3",IF(OR(T556=6,T556=7),"-2",IF(OR(T556=8,T556=9),"-1",IF(OR(T556=10,T556=11),"0",IF(OR(T556=12,T556=13),"+1",IF(OR(T556=14,T556=15),"+2",IF(OR(T556=16,T556=17),"+3",IF(OR(T556=18,T556=19),"+4",IF(OR(T556=20,T556=21),"+5",IF(OR(T556=22,T556=23),"+6",IF(OR(T556=24,T556=25),"+7",IF(OR(T556=26,T556=27),"+8",IF(OR(T556=28,T556=29),"+9",IF(T556=30,"+10"," "))))))))))))))))</f>
        <v>-2</v>
      </c>
      <c r="V556" s="3" t="s">
        <v>1039</v>
      </c>
      <c r="W556" s="3" t="s">
        <v>616</v>
      </c>
      <c r="X556" s="11" t="s">
        <v>2640</v>
      </c>
      <c r="Y556" s="11" t="s">
        <v>2641</v>
      </c>
      <c r="Z556" s="11" t="s">
        <v>37</v>
      </c>
      <c r="AA556" s="12" t="s">
        <v>37</v>
      </c>
    </row>
    <row r="557" customFormat="false" ht="16.4" hidden="false" customHeight="false" outlineLevel="0" collapsed="false">
      <c r="A557" s="15" t="s">
        <v>2642</v>
      </c>
      <c r="B557" s="3" t="s">
        <v>77</v>
      </c>
      <c r="C557" s="3" t="s">
        <v>49</v>
      </c>
      <c r="D557" s="16" t="n">
        <v>14</v>
      </c>
      <c r="E557" s="6" t="n">
        <f aca="false">VLOOKUP(D557,'[1]REF Tables'!$A$2:$B$40,2)</f>
        <v>11500</v>
      </c>
      <c r="F557" s="3" t="s">
        <v>50</v>
      </c>
      <c r="G557" s="3" t="n">
        <v>19</v>
      </c>
      <c r="H557" s="3" t="s">
        <v>2643</v>
      </c>
      <c r="I557" s="3" t="s">
        <v>1314</v>
      </c>
      <c r="J557" s="3" t="n">
        <v>10</v>
      </c>
      <c r="K557" s="1" t="str">
        <f aca="false">IF(J557=1,"-5",IF(OR(J557=2,J557=3),"-4",IF(OR(J557=4,J557=5),"-3",IF(OR(J557=6,J557=7),"-2",IF(OR(J557=8,J557=9),"-1",IF(OR(J557=10,J557=11),"0",IF(OR(J557=12,J557=13),"+1",IF(OR(J557=14,J557=15),"+2",IF(OR(J557=16,J557=17),"+3",IF(OR(J557=18,J557=19),"+4",IF(OR(J557=20,J557=21),"+5",IF(OR(J557=22,J557=23),"+6",IF(OR(J557=24,J557=25),"+7",IF(OR(J557=26,J557=27),"+8",IF(OR(J557=28,J557=29),"+9",IF(J557=30,"+10"," "))))))))))))))))</f>
        <v>0</v>
      </c>
      <c r="L557" s="3" t="n">
        <v>14</v>
      </c>
      <c r="M557" s="1" t="str">
        <f aca="false">IF(L557=1,"-5",IF(OR(L557=2,L557=3),"-4",IF(OR(L557=4,L557=5),"-3",IF(OR(L557=6,L557=7),"-2",IF(OR(L557=8,L557=9),"-1",IF(OR(L557=10,L557=11),"0",IF(OR(L557=12,L557=13),"+1",IF(OR(L557=14,L557=15),"+2",IF(OR(L557=16,L557=17),"+3",IF(OR(L557=18,L557=19),"+4",IF(OR(L557=20,L557=21),"+5",IF(OR(L557=22,L557=23),"+6",IF(OR(L557=24,L557=25),"+7",IF(OR(L557=26,L557=27),"+8",IF(OR(L557=28,L557=29),"+9",IF(L557=30,"+10"," "))))))))))))))))</f>
        <v>+2</v>
      </c>
      <c r="N557" s="3" t="n">
        <v>14</v>
      </c>
      <c r="O557" s="1" t="str">
        <f aca="false">IF(N557=1,"-5",IF(OR(N557=2,N557=3),"-4",IF(OR(N557=4,N557=5),"-3",IF(OR(N557=6,N557=7),"-2",IF(OR(N557=8,N557=9),"-1",IF(OR(N557=10,N557=11),"0",IF(OR(N557=12,N557=13),"+1",IF(OR(N557=14,N557=15),"+2",IF(OR(N557=16,N557=17),"+3",IF(OR(N557=18,N557=19),"+4",IF(OR(N557=20,N557=21),"+5",IF(OR(N557=22,N557=23),"+6",IF(OR(N557=24,N557=25),"+7",IF(OR(N557=26,N557=27),"+8",IF(OR(N557=28,N557=29),"+9",IF(N557=30,"+10"," "))))))))))))))))</f>
        <v>+2</v>
      </c>
      <c r="P557" s="3" t="n">
        <v>19</v>
      </c>
      <c r="Q557" s="1" t="str">
        <f aca="false">IF(P557=1,"-5",IF(OR(P557=2,P557=3),"-4",IF(OR(P557=4,P557=5),"-3",IF(OR(P557=6,P557=7),"-2",IF(OR(P557=8,P557=9),"-1",IF(OR(P557=10,P557=11),"0",IF(OR(P557=12,P557=13),"+1",IF(OR(P557=14,P557=15),"+2",IF(OR(P557=16,P557=17),"+3",IF(OR(P557=18,P557=19),"+4",IF(OR(P557=20,P557=21),"+5",IF(OR(P557=22,P557=23),"+6",IF(OR(P557=24,P557=25),"+7",IF(OR(P557=26,P557=27),"+8",IF(OR(P557=28,P557=29),"+9",IF(P557=30,"+10"," "))))))))))))))))</f>
        <v>+4</v>
      </c>
      <c r="R557" s="3" t="n">
        <v>15</v>
      </c>
      <c r="S557" s="1" t="str">
        <f aca="false">IF(R557=1,"-5",IF(OR(R557=2,R557=3),"-4",IF(OR(R557=4,R557=5),"-3",IF(OR(R557=6,R557=7),"-2",IF(OR(R557=8,R557=9),"-1",IF(OR(R557=10,R557=11),"0",IF(OR(R557=12,R557=13),"+1",IF(OR(R557=14,R557=15),"+2",IF(OR(R557=16,R557=17),"+3",IF(OR(R557=18,R557=19),"+4",IF(OR(R557=20,R557=21),"+5",IF(OR(R557=22,R557=23),"+6",IF(OR(R557=24,R557=25),"+7",IF(OR(R557=26,R557=27),"+8",IF(OR(R557=28,R557=29),"+9",IF(R557=30,"+10"," "))))))))))))))))</f>
        <v>+2</v>
      </c>
      <c r="T557" s="3" t="n">
        <v>19</v>
      </c>
      <c r="U557" s="1" t="str">
        <f aca="false">IF(T557=1,"-5",IF(OR(T557=2,T557=3),"-4",IF(OR(T557=4,T557=5),"-3",IF(OR(T557=6,T557=7),"-2",IF(OR(T557=8,T557=9),"-1",IF(OR(T557=10,T557=11),"0",IF(OR(T557=12,T557=13),"+1",IF(OR(T557=14,T557=15),"+2",IF(OR(T557=16,T557=17),"+3",IF(OR(T557=18,T557=19),"+4",IF(OR(T557=20,T557=21),"+5",IF(OR(T557=22,T557=23),"+6",IF(OR(T557=24,T557=25),"+7",IF(OR(T557=26,T557=27),"+8",IF(OR(T557=28,T557=29),"+9",IF(T557=30,"+10"," "))))))))))))))))</f>
        <v>+4</v>
      </c>
      <c r="V557" s="3" t="s">
        <v>2644</v>
      </c>
      <c r="W557" s="3" t="s">
        <v>242</v>
      </c>
      <c r="X557" s="11" t="s">
        <v>2645</v>
      </c>
      <c r="Y557" s="11" t="s">
        <v>2646</v>
      </c>
      <c r="Z557" s="11" t="s">
        <v>37</v>
      </c>
      <c r="AA557" s="12" t="s">
        <v>2647</v>
      </c>
    </row>
    <row r="558" customFormat="false" ht="16.4" hidden="false" customHeight="false" outlineLevel="0" collapsed="false">
      <c r="A558" s="15" t="s">
        <v>2648</v>
      </c>
      <c r="B558" s="3" t="s">
        <v>48</v>
      </c>
      <c r="C558" s="3" t="s">
        <v>49</v>
      </c>
      <c r="D558" s="16" t="n">
        <v>13</v>
      </c>
      <c r="E558" s="6" t="n">
        <f aca="false">VLOOKUP(D558,'[1]REF Tables'!$A$2:$B$40,2)</f>
        <v>10000</v>
      </c>
      <c r="F558" s="3" t="s">
        <v>50</v>
      </c>
      <c r="G558" s="3" t="n">
        <v>18</v>
      </c>
      <c r="H558" s="3" t="s">
        <v>724</v>
      </c>
      <c r="I558" s="3" t="s">
        <v>1314</v>
      </c>
      <c r="J558" s="3" t="n">
        <v>10</v>
      </c>
      <c r="K558" s="1" t="str">
        <f aca="false">IF(J558=1,"-5",IF(OR(J558=2,J558=3),"-4",IF(OR(J558=4,J558=5),"-3",IF(OR(J558=6,J558=7),"-2",IF(OR(J558=8,J558=9),"-1",IF(OR(J558=10,J558=11),"0",IF(OR(J558=12,J558=13),"+1",IF(OR(J558=14,J558=15),"+2",IF(OR(J558=16,J558=17),"+3",IF(OR(J558=18,J558=19),"+4",IF(OR(J558=20,J558=21),"+5",IF(OR(J558=22,J558=23),"+6",IF(OR(J558=24,J558=25),"+7",IF(OR(J558=26,J558=27),"+8",IF(OR(J558=28,J558=29),"+9",IF(J558=30,"+10"," "))))))))))))))))</f>
        <v>0</v>
      </c>
      <c r="L558" s="3" t="n">
        <v>14</v>
      </c>
      <c r="M558" s="1" t="str">
        <f aca="false">IF(L558=1,"-5",IF(OR(L558=2,L558=3),"-4",IF(OR(L558=4,L558=5),"-3",IF(OR(L558=6,L558=7),"-2",IF(OR(L558=8,L558=9),"-1",IF(OR(L558=10,L558=11),"0",IF(OR(L558=12,L558=13),"+1",IF(OR(L558=14,L558=15),"+2",IF(OR(L558=16,L558=17),"+3",IF(OR(L558=18,L558=19),"+4",IF(OR(L558=20,L558=21),"+5",IF(OR(L558=22,L558=23),"+6",IF(OR(L558=24,L558=25),"+7",IF(OR(L558=26,L558=27),"+8",IF(OR(L558=28,L558=29),"+9",IF(L558=30,"+10"," "))))))))))))))))</f>
        <v>+2</v>
      </c>
      <c r="N558" s="3" t="n">
        <v>18</v>
      </c>
      <c r="O558" s="1" t="str">
        <f aca="false">IF(N558=1,"-5",IF(OR(N558=2,N558=3),"-4",IF(OR(N558=4,N558=5),"-3",IF(OR(N558=6,N558=7),"-2",IF(OR(N558=8,N558=9),"-1",IF(OR(N558=10,N558=11),"0",IF(OR(N558=12,N558=13),"+1",IF(OR(N558=14,N558=15),"+2",IF(OR(N558=16,N558=17),"+3",IF(OR(N558=18,N558=19),"+4",IF(OR(N558=20,N558=21),"+5",IF(OR(N558=22,N558=23),"+6",IF(OR(N558=24,N558=25),"+7",IF(OR(N558=26,N558=27),"+8",IF(OR(N558=28,N558=29),"+9",IF(N558=30,"+10"," "))))))))))))))))</f>
        <v>+4</v>
      </c>
      <c r="P558" s="3" t="n">
        <v>17</v>
      </c>
      <c r="Q558" s="1" t="str">
        <f aca="false">IF(P558=1,"-5",IF(OR(P558=2,P558=3),"-4",IF(OR(P558=4,P558=5),"-3",IF(OR(P558=6,P558=7),"-2",IF(OR(P558=8,P558=9),"-1",IF(OR(P558=10,P558=11),"0",IF(OR(P558=12,P558=13),"+1",IF(OR(P558=14,P558=15),"+2",IF(OR(P558=16,P558=17),"+3",IF(OR(P558=18,P558=19),"+4",IF(OR(P558=20,P558=21),"+5",IF(OR(P558=22,P558=23),"+6",IF(OR(P558=24,P558=25),"+7",IF(OR(P558=26,P558=27),"+8",IF(OR(P558=28,P558=29),"+9",IF(P558=30,"+10"," "))))))))))))))))</f>
        <v>+3</v>
      </c>
      <c r="R558" s="3" t="n">
        <v>15</v>
      </c>
      <c r="S558" s="1" t="str">
        <f aca="false">IF(R558=1,"-5",IF(OR(R558=2,R558=3),"-4",IF(OR(R558=4,R558=5),"-3",IF(OR(R558=6,R558=7),"-2",IF(OR(R558=8,R558=9),"-1",IF(OR(R558=10,R558=11),"0",IF(OR(R558=12,R558=13),"+1",IF(OR(R558=14,R558=15),"+2",IF(OR(R558=16,R558=17),"+3",IF(OR(R558=18,R558=19),"+4",IF(OR(R558=20,R558=21),"+5",IF(OR(R558=22,R558=23),"+6",IF(OR(R558=24,R558=25),"+7",IF(OR(R558=26,R558=27),"+8",IF(OR(R558=28,R558=29),"+9",IF(R558=30,"+10"," "))))))))))))))))</f>
        <v>+2</v>
      </c>
      <c r="T558" s="3" t="n">
        <v>17</v>
      </c>
      <c r="U558" s="1" t="str">
        <f aca="false">IF(T558=1,"-5",IF(OR(T558=2,T558=3),"-4",IF(OR(T558=4,T558=5),"-3",IF(OR(T558=6,T558=7),"-2",IF(OR(T558=8,T558=9),"-1",IF(OR(T558=10,T558=11),"0",IF(OR(T558=12,T558=13),"+1",IF(OR(T558=14,T558=15),"+2",IF(OR(T558=16,T558=17),"+3",IF(OR(T558=18,T558=19),"+4",IF(OR(T558=20,T558=21),"+5",IF(OR(T558=22,T558=23),"+6",IF(OR(T558=24,T558=25),"+7",IF(OR(T558=26,T558=27),"+8",IF(OR(T558=28,T558=29),"+9",IF(T558=30,"+10"," "))))))))))))))))</f>
        <v>+3</v>
      </c>
      <c r="V558" s="3" t="s">
        <v>2649</v>
      </c>
      <c r="W558" s="3" t="s">
        <v>242</v>
      </c>
      <c r="X558" s="11" t="s">
        <v>2650</v>
      </c>
      <c r="Y558" s="11" t="s">
        <v>2651</v>
      </c>
      <c r="Z558" s="11" t="s">
        <v>37</v>
      </c>
      <c r="AA558" s="12" t="s">
        <v>2652</v>
      </c>
    </row>
    <row r="559" customFormat="false" ht="16.4" hidden="false" customHeight="false" outlineLevel="0" collapsed="false">
      <c r="A559" s="15" t="s">
        <v>2653</v>
      </c>
      <c r="B559" s="3" t="s">
        <v>59</v>
      </c>
      <c r="C559" s="3" t="s">
        <v>37</v>
      </c>
      <c r="D559" s="16" t="n">
        <v>8</v>
      </c>
      <c r="E559" s="6" t="n">
        <f aca="false">VLOOKUP(D559,'[1]REF Tables'!$A$2:$B$40,2)</f>
        <v>3900</v>
      </c>
      <c r="F559" s="3" t="s">
        <v>121</v>
      </c>
      <c r="G559" s="3" t="n">
        <v>13</v>
      </c>
      <c r="H559" s="3" t="s">
        <v>2654</v>
      </c>
      <c r="I559" s="3" t="s">
        <v>210</v>
      </c>
      <c r="J559" s="3" t="n">
        <v>25</v>
      </c>
      <c r="K559" s="1" t="str">
        <f aca="false">IF(J559=1,"-5",IF(OR(J559=2,J559=3),"-4",IF(OR(J559=4,J559=5),"-3",IF(OR(J559=6,J559=7),"-2",IF(OR(J559=8,J559=9),"-1",IF(OR(J559=10,J559=11),"0",IF(OR(J559=12,J559=13),"+1",IF(OR(J559=14,J559=15),"+2",IF(OR(J559=16,J559=17),"+3",IF(OR(J559=18,J559=19),"+4",IF(OR(J559=20,J559=21),"+5",IF(OR(J559=22,J559=23),"+6",IF(OR(J559=24,J559=25),"+7",IF(OR(J559=26,J559=27),"+8",IF(OR(J559=28,J559=29),"+9",IF(J559=30,"+10"," "))))))))))))))))</f>
        <v>+7</v>
      </c>
      <c r="L559" s="3" t="n">
        <v>10</v>
      </c>
      <c r="M559" s="1" t="str">
        <f aca="false">IF(L559=1,"-5",IF(OR(L559=2,L559=3),"-4",IF(OR(L559=4,L559=5),"-3",IF(OR(L559=6,L559=7),"-2",IF(OR(L559=8,L559=9),"-1",IF(OR(L559=10,L559=11),"0",IF(OR(L559=12,L559=13),"+1",IF(OR(L559=14,L559=15),"+2",IF(OR(L559=16,L559=17),"+3",IF(OR(L559=18,L559=19),"+4",IF(OR(L559=20,L559=21),"+5",IF(OR(L559=22,L559=23),"+6",IF(OR(L559=24,L559=25),"+7",IF(OR(L559=26,L559=27),"+8",IF(OR(L559=28,L559=29),"+9",IF(L559=30,"+10"," "))))))))))))))))</f>
        <v>0</v>
      </c>
      <c r="N559" s="3" t="n">
        <v>19</v>
      </c>
      <c r="O559" s="1" t="str">
        <f aca="false">IF(N559=1,"-5",IF(OR(N559=2,N559=3),"-4",IF(OR(N559=4,N559=5),"-3",IF(OR(N559=6,N559=7),"-2",IF(OR(N559=8,N559=9),"-1",IF(OR(N559=10,N559=11),"0",IF(OR(N559=12,N559=13),"+1",IF(OR(N559=14,N559=15),"+2",IF(OR(N559=16,N559=17),"+3",IF(OR(N559=18,N559=19),"+4",IF(OR(N559=20,N559=21),"+5",IF(OR(N559=22,N559=23),"+6",IF(OR(N559=24,N559=25),"+7",IF(OR(N559=26,N559=27),"+8",IF(OR(N559=28,N559=29),"+9",IF(N559=30,"+10"," "))))))))))))))))</f>
        <v>+4</v>
      </c>
      <c r="P559" s="3" t="n">
        <v>2</v>
      </c>
      <c r="Q559" s="1" t="str">
        <f aca="false">IF(P559=1,"-5",IF(OR(P559=2,P559=3),"-4",IF(OR(P559=4,P559=5),"-3",IF(OR(P559=6,P559=7),"-2",IF(OR(P559=8,P559=9),"-1",IF(OR(P559=10,P559=11),"0",IF(OR(P559=12,P559=13),"+1",IF(OR(P559=14,P559=15),"+2",IF(OR(P559=16,P559=17),"+3",IF(OR(P559=18,P559=19),"+4",IF(OR(P559=20,P559=21),"+5",IF(OR(P559=22,P559=23),"+6",IF(OR(P559=24,P559=25),"+7",IF(OR(P559=26,P559=27),"+8",IF(OR(P559=28,P559=29),"+9",IF(P559=30,"+10"," "))))))))))))))))</f>
        <v>-4</v>
      </c>
      <c r="R559" s="3" t="n">
        <v>12</v>
      </c>
      <c r="S559" s="1" t="str">
        <f aca="false">IF(R559=1,"-5",IF(OR(R559=2,R559=3),"-4",IF(OR(R559=4,R559=5),"-3",IF(OR(R559=6,R559=7),"-2",IF(OR(R559=8,R559=9),"-1",IF(OR(R559=10,R559=11),"0",IF(OR(R559=12,R559=13),"+1",IF(OR(R559=14,R559=15),"+2",IF(OR(R559=16,R559=17),"+3",IF(OR(R559=18,R559=19),"+4",IF(OR(R559=20,R559=21),"+5",IF(OR(R559=22,R559=23),"+6",IF(OR(R559=24,R559=25),"+7",IF(OR(R559=26,R559=27),"+8",IF(OR(R559=28,R559=29),"+9",IF(R559=30,"+10"," "))))))))))))))))</f>
        <v>+1</v>
      </c>
      <c r="T559" s="3" t="n">
        <v>9</v>
      </c>
      <c r="U559" s="1" t="str">
        <f aca="false">IF(T559=1,"-5",IF(OR(T559=2,T559=3),"-4",IF(OR(T559=4,T559=5),"-3",IF(OR(T559=6,T559=7),"-2",IF(OR(T559=8,T559=9),"-1",IF(OR(T559=10,T559=11),"0",IF(OR(T559=12,T559=13),"+1",IF(OR(T559=14,T559=15),"+2",IF(OR(T559=16,T559=17),"+3",IF(OR(T559=18,T559=19),"+4",IF(OR(T559=20,T559=21),"+5",IF(OR(T559=22,T559=23),"+6",IF(OR(T559=24,T559=25),"+7",IF(OR(T559=26,T559=27),"+8",IF(OR(T559=28,T559=29),"+9",IF(T559=30,"+10"," "))))))))))))))))</f>
        <v>-1</v>
      </c>
      <c r="V559" s="3" t="s">
        <v>72</v>
      </c>
      <c r="W559" s="3" t="s">
        <v>37</v>
      </c>
      <c r="X559" s="11" t="s">
        <v>2465</v>
      </c>
      <c r="Y559" s="11" t="s">
        <v>2655</v>
      </c>
      <c r="Z559" s="11" t="s">
        <v>37</v>
      </c>
      <c r="AA559" s="12" t="s">
        <v>37</v>
      </c>
    </row>
    <row r="560" customFormat="false" ht="16.4" hidden="false" customHeight="false" outlineLevel="0" collapsed="false">
      <c r="A560" s="15" t="s">
        <v>2656</v>
      </c>
      <c r="B560" s="3" t="s">
        <v>48</v>
      </c>
      <c r="C560" s="3" t="s">
        <v>49</v>
      </c>
      <c r="D560" s="16" t="n">
        <v>9</v>
      </c>
      <c r="E560" s="6" t="n">
        <f aca="false">VLOOKUP(D560,'[1]REF Tables'!$A$2:$B$40,2)</f>
        <v>5000</v>
      </c>
      <c r="F560" s="3" t="s">
        <v>50</v>
      </c>
      <c r="G560" s="3" t="n">
        <v>15</v>
      </c>
      <c r="H560" s="3" t="s">
        <v>2657</v>
      </c>
      <c r="I560" s="3" t="s">
        <v>42</v>
      </c>
      <c r="J560" s="3" t="n">
        <v>15</v>
      </c>
      <c r="K560" s="1" t="str">
        <f aca="false">IF(J560=1,"-5",IF(OR(J560=2,J560=3),"-4",IF(OR(J560=4,J560=5),"-3",IF(OR(J560=6,J560=7),"-2",IF(OR(J560=8,J560=9),"-1",IF(OR(J560=10,J560=11),"0",IF(OR(J560=12,J560=13),"+1",IF(OR(J560=14,J560=15),"+2",IF(OR(J560=16,J560=17),"+3",IF(OR(J560=18,J560=19),"+4",IF(OR(J560=20,J560=21),"+5",IF(OR(J560=22,J560=23),"+6",IF(OR(J560=24,J560=25),"+7",IF(OR(J560=26,J560=27),"+8",IF(OR(J560=28,J560=29),"+9",IF(J560=30,"+10"," "))))))))))))))))</f>
        <v>+2</v>
      </c>
      <c r="L560" s="3" t="n">
        <v>12</v>
      </c>
      <c r="M560" s="1" t="str">
        <f aca="false">IF(L560=1,"-5",IF(OR(L560=2,L560=3),"-4",IF(OR(L560=4,L560=5),"-3",IF(OR(L560=6,L560=7),"-2",IF(OR(L560=8,L560=9),"-1",IF(OR(L560=10,L560=11),"0",IF(OR(L560=12,L560=13),"+1",IF(OR(L560=14,L560=15),"+2",IF(OR(L560=16,L560=17),"+3",IF(OR(L560=18,L560=19),"+4",IF(OR(L560=20,L560=21),"+5",IF(OR(L560=22,L560=23),"+6",IF(OR(L560=24,L560=25),"+7",IF(OR(L560=26,L560=27),"+8",IF(OR(L560=28,L560=29),"+9",IF(L560=30,"+10"," "))))))))))))))))</f>
        <v>+1</v>
      </c>
      <c r="N560" s="3" t="n">
        <v>15</v>
      </c>
      <c r="O560" s="1" t="str">
        <f aca="false">IF(N560=1,"-5",IF(OR(N560=2,N560=3),"-4",IF(OR(N560=4,N560=5),"-3",IF(OR(N560=6,N560=7),"-2",IF(OR(N560=8,N560=9),"-1",IF(OR(N560=10,N560=11),"0",IF(OR(N560=12,N560=13),"+1",IF(OR(N560=14,N560=15),"+2",IF(OR(N560=16,N560=17),"+3",IF(OR(N560=18,N560=19),"+4",IF(OR(N560=20,N560=21),"+5",IF(OR(N560=22,N560=23),"+6",IF(OR(N560=24,N560=25),"+7",IF(OR(N560=26,N560=27),"+8",IF(OR(N560=28,N560=29),"+9",IF(N560=30,"+10"," "))))))))))))))))</f>
        <v>+2</v>
      </c>
      <c r="P560" s="3" t="n">
        <v>21</v>
      </c>
      <c r="Q560" s="1" t="str">
        <f aca="false">IF(P560=1,"-5",IF(OR(P560=2,P560=3),"-4",IF(OR(P560=4,P560=5),"-3",IF(OR(P560=6,P560=7),"-2",IF(OR(P560=8,P560=9),"-1",IF(OR(P560=10,P560=11),"0",IF(OR(P560=12,P560=13),"+1",IF(OR(P560=14,P560=15),"+2",IF(OR(P560=16,P560=17),"+3",IF(OR(P560=18,P560=19),"+4",IF(OR(P560=20,P560=21),"+5",IF(OR(P560=22,P560=23),"+6",IF(OR(P560=24,P560=25),"+7",IF(OR(P560=26,P560=27),"+8",IF(OR(P560=28,P560=29),"+9",IF(P560=30,"+10"," "))))))))))))))))</f>
        <v>+5</v>
      </c>
      <c r="R560" s="3" t="n">
        <v>19</v>
      </c>
      <c r="S560" s="1" t="str">
        <f aca="false">IF(R560=1,"-5",IF(OR(R560=2,R560=3),"-4",IF(OR(R560=4,R560=5),"-3",IF(OR(R560=6,R560=7),"-2",IF(OR(R560=8,R560=9),"-1",IF(OR(R560=10,R560=11),"0",IF(OR(R560=12,R560=13),"+1",IF(OR(R560=14,R560=15),"+2",IF(OR(R560=16,R560=17),"+3",IF(OR(R560=18,R560=19),"+4",IF(OR(R560=20,R560=21),"+5",IF(OR(R560=22,R560=23),"+6",IF(OR(R560=24,R560=25),"+7",IF(OR(R560=26,R560=27),"+8",IF(OR(R560=28,R560=29),"+9",IF(R560=30,"+10"," "))))))))))))))))</f>
        <v>+4</v>
      </c>
      <c r="T560" s="3" t="n">
        <v>21</v>
      </c>
      <c r="U560" s="1" t="str">
        <f aca="false">IF(T560=1,"-5",IF(OR(T560=2,T560=3),"-4",IF(OR(T560=4,T560=5),"-3",IF(OR(T560=6,T560=7),"-2",IF(OR(T560=8,T560=9),"-1",IF(OR(T560=10,T560=11),"0",IF(OR(T560=12,T560=13),"+1",IF(OR(T560=14,T560=15),"+2",IF(OR(T560=16,T560=17),"+3",IF(OR(T560=18,T560=19),"+4",IF(OR(T560=20,T560=21),"+5",IF(OR(T560=22,T560=23),"+6",IF(OR(T560=24,T560=25),"+7",IF(OR(T560=26,T560=27),"+8",IF(OR(T560=28,T560=29),"+9",IF(T560=30,"+10"," "))))))))))))))))</f>
        <v>+5</v>
      </c>
      <c r="V560" s="3" t="s">
        <v>2658</v>
      </c>
      <c r="W560" s="3" t="s">
        <v>2659</v>
      </c>
      <c r="X560" s="11" t="s">
        <v>2660</v>
      </c>
      <c r="Y560" s="11" t="s">
        <v>2661</v>
      </c>
      <c r="Z560" s="11" t="s">
        <v>37</v>
      </c>
      <c r="AA560" s="12" t="s">
        <v>37</v>
      </c>
    </row>
    <row r="561" customFormat="false" ht="16.4" hidden="false" customHeight="false" outlineLevel="0" collapsed="false">
      <c r="A561" s="15" t="s">
        <v>2662</v>
      </c>
      <c r="B561" s="3" t="s">
        <v>170</v>
      </c>
      <c r="C561" s="3" t="s">
        <v>85</v>
      </c>
      <c r="D561" s="16" t="n">
        <v>13</v>
      </c>
      <c r="E561" s="6" t="n">
        <f aca="false">VLOOKUP(D561,'[1]REF Tables'!$A$2:$B$40,2)</f>
        <v>10000</v>
      </c>
      <c r="F561" s="3" t="s">
        <v>30</v>
      </c>
      <c r="G561" s="3" t="n">
        <v>19</v>
      </c>
      <c r="H561" s="3" t="s">
        <v>478</v>
      </c>
      <c r="I561" s="3" t="s">
        <v>388</v>
      </c>
      <c r="J561" s="3" t="n">
        <v>16</v>
      </c>
      <c r="K561" s="1" t="str">
        <f aca="false">IF(J561=1,"-5",IF(OR(J561=2,J561=3),"-4",IF(OR(J561=4,J561=5),"-3",IF(OR(J561=6,J561=7),"-2",IF(OR(J561=8,J561=9),"-1",IF(OR(J561=10,J561=11),"0",IF(OR(J561=12,J561=13),"+1",IF(OR(J561=14,J561=15),"+2",IF(OR(J561=16,J561=17),"+3",IF(OR(J561=18,J561=19),"+4",IF(OR(J561=20,J561=21),"+5",IF(OR(J561=22,J561=23),"+6",IF(OR(J561=24,J561=25),"+7",IF(OR(J561=26,J561=27),"+8",IF(OR(J561=28,J561=29),"+9",IF(J561=30,"+10"," "))))))))))))))))</f>
        <v>+3</v>
      </c>
      <c r="L561" s="3" t="n">
        <v>16</v>
      </c>
      <c r="M561" s="1" t="str">
        <f aca="false">IF(L561=1,"-5",IF(OR(L561=2,L561=3),"-4",IF(OR(L561=4,L561=5),"-3",IF(OR(L561=6,L561=7),"-2",IF(OR(L561=8,L561=9),"-1",IF(OR(L561=10,L561=11),"0",IF(OR(L561=12,L561=13),"+1",IF(OR(L561=14,L561=15),"+2",IF(OR(L561=16,L561=17),"+3",IF(OR(L561=18,L561=19),"+4",IF(OR(L561=20,L561=21),"+5",IF(OR(L561=22,L561=23),"+6",IF(OR(L561=24,L561=25),"+7",IF(OR(L561=26,L561=27),"+8",IF(OR(L561=28,L561=29),"+9",IF(L561=30,"+10"," "))))))))))))))))</f>
        <v>+3</v>
      </c>
      <c r="N561" s="3" t="n">
        <v>18</v>
      </c>
      <c r="O561" s="1" t="str">
        <f aca="false">IF(N561=1,"-5",IF(OR(N561=2,N561=3),"-4",IF(OR(N561=4,N561=5),"-3",IF(OR(N561=6,N561=7),"-2",IF(OR(N561=8,N561=9),"-1",IF(OR(N561=10,N561=11),"0",IF(OR(N561=12,N561=13),"+1",IF(OR(N561=14,N561=15),"+2",IF(OR(N561=16,N561=17),"+3",IF(OR(N561=18,N561=19),"+4",IF(OR(N561=20,N561=21),"+5",IF(OR(N561=22,N561=23),"+6",IF(OR(N561=24,N561=25),"+7",IF(OR(N561=26,N561=27),"+8",IF(OR(N561=28,N561=29),"+9",IF(N561=30,"+10"," "))))))))))))))))</f>
        <v>+4</v>
      </c>
      <c r="P561" s="3" t="n">
        <v>18</v>
      </c>
      <c r="Q561" s="1" t="str">
        <f aca="false">IF(P561=1,"-5",IF(OR(P561=2,P561=3),"-4",IF(OR(P561=4,P561=5),"-3",IF(OR(P561=6,P561=7),"-2",IF(OR(P561=8,P561=9),"-1",IF(OR(P561=10,P561=11),"0",IF(OR(P561=12,P561=13),"+1",IF(OR(P561=14,P561=15),"+2",IF(OR(P561=16,P561=17),"+3",IF(OR(P561=18,P561=19),"+4",IF(OR(P561=20,P561=21),"+5",IF(OR(P561=22,P561=23),"+6",IF(OR(P561=24,P561=25),"+7",IF(OR(P561=26,P561=27),"+8",IF(OR(P561=28,P561=29),"+9",IF(P561=30,"+10"," "))))))))))))))))</f>
        <v>+4</v>
      </c>
      <c r="R561" s="3" t="n">
        <v>15</v>
      </c>
      <c r="S561" s="1" t="str">
        <f aca="false">IF(R561=1,"-5",IF(OR(R561=2,R561=3),"-4",IF(OR(R561=4,R561=5),"-3",IF(OR(R561=6,R561=7),"-2",IF(OR(R561=8,R561=9),"-1",IF(OR(R561=10,R561=11),"0",IF(OR(R561=12,R561=13),"+1",IF(OR(R561=14,R561=15),"+2",IF(OR(R561=16,R561=17),"+3",IF(OR(R561=18,R561=19),"+4",IF(OR(R561=20,R561=21),"+5",IF(OR(R561=22,R561=23),"+6",IF(OR(R561=24,R561=25),"+7",IF(OR(R561=26,R561=27),"+8",IF(OR(R561=28,R561=29),"+9",IF(R561=30,"+10"," "))))))))))))))))</f>
        <v>+2</v>
      </c>
      <c r="T561" s="3" t="n">
        <v>19</v>
      </c>
      <c r="U561" s="1" t="str">
        <f aca="false">IF(T561=1,"-5",IF(OR(T561=2,T561=3),"-4",IF(OR(T561=4,T561=5),"-3",IF(OR(T561=6,T561=7),"-2",IF(OR(T561=8,T561=9),"-1",IF(OR(T561=10,T561=11),"0",IF(OR(T561=12,T561=13),"+1",IF(OR(T561=14,T561=15),"+2",IF(OR(T561=16,T561=17),"+3",IF(OR(T561=18,T561=19),"+4",IF(OR(T561=20,T561=21),"+5",IF(OR(T561=22,T561=23),"+6",IF(OR(T561=24,T561=25),"+7",IF(OR(T561=26,T561=27),"+8",IF(OR(T561=28,T561=29),"+9",IF(T561=30,"+10"," "))))))))))))))))</f>
        <v>+4</v>
      </c>
      <c r="V561" s="3" t="s">
        <v>2663</v>
      </c>
      <c r="W561" s="3" t="s">
        <v>2664</v>
      </c>
      <c r="X561" s="11" t="s">
        <v>2665</v>
      </c>
      <c r="Y561" s="11" t="s">
        <v>2666</v>
      </c>
      <c r="Z561" s="11" t="s">
        <v>37</v>
      </c>
      <c r="AA561" s="12" t="s">
        <v>37</v>
      </c>
    </row>
    <row r="562" customFormat="false" ht="16.4" hidden="false" customHeight="false" outlineLevel="0" collapsed="false">
      <c r="A562" s="15" t="s">
        <v>2667</v>
      </c>
      <c r="B562" s="3" t="s">
        <v>2668</v>
      </c>
      <c r="C562" s="3" t="s">
        <v>49</v>
      </c>
      <c r="D562" s="16" t="n">
        <v>13</v>
      </c>
      <c r="E562" s="6" t="n">
        <f aca="false">VLOOKUP(D562,'[1]REF Tables'!$A$2:$B$40,2)</f>
        <v>10000</v>
      </c>
      <c r="F562" s="3" t="s">
        <v>30</v>
      </c>
      <c r="G562" s="3" t="n">
        <v>16</v>
      </c>
      <c r="H562" s="3" t="s">
        <v>2669</v>
      </c>
      <c r="I562" s="3" t="s">
        <v>42</v>
      </c>
      <c r="J562" s="3" t="n">
        <v>18</v>
      </c>
      <c r="K562" s="1" t="str">
        <f aca="false">IF(J562=1,"-5",IF(OR(J562=2,J562=3),"-4",IF(OR(J562=4,J562=5),"-3",IF(OR(J562=6,J562=7),"-2",IF(OR(J562=8,J562=9),"-1",IF(OR(J562=10,J562=11),"0",IF(OR(J562=12,J562=13),"+1",IF(OR(J562=14,J562=15),"+2",IF(OR(J562=16,J562=17),"+3",IF(OR(J562=18,J562=19),"+4",IF(OR(J562=20,J562=21),"+5",IF(OR(J562=22,J562=23),"+6",IF(OR(J562=24,J562=25),"+7",IF(OR(J562=26,J562=27),"+8",IF(OR(J562=28,J562=29),"+9",IF(J562=30,"+10"," "))))))))))))))))</f>
        <v>+4</v>
      </c>
      <c r="L562" s="3" t="n">
        <v>18</v>
      </c>
      <c r="M562" s="1" t="str">
        <f aca="false">IF(L562=1,"-5",IF(OR(L562=2,L562=3),"-4",IF(OR(L562=4,L562=5),"-3",IF(OR(L562=6,L562=7),"-2",IF(OR(L562=8,L562=9),"-1",IF(OR(L562=10,L562=11),"0",IF(OR(L562=12,L562=13),"+1",IF(OR(L562=14,L562=15),"+2",IF(OR(L562=16,L562=17),"+3",IF(OR(L562=18,L562=19),"+4",IF(OR(L562=20,L562=21),"+5",IF(OR(L562=22,L562=23),"+6",IF(OR(L562=24,L562=25),"+7",IF(OR(L562=26,L562=27),"+8",IF(OR(L562=28,L562=29),"+9",IF(L562=30,"+10"," "))))))))))))))))</f>
        <v>+4</v>
      </c>
      <c r="N562" s="3" t="n">
        <v>18</v>
      </c>
      <c r="O562" s="1" t="str">
        <f aca="false">IF(N562=1,"-5",IF(OR(N562=2,N562=3),"-4",IF(OR(N562=4,N562=5),"-3",IF(OR(N562=6,N562=7),"-2",IF(OR(N562=8,N562=9),"-1",IF(OR(N562=10,N562=11),"0",IF(OR(N562=12,N562=13),"+1",IF(OR(N562=14,N562=15),"+2",IF(OR(N562=16,N562=17),"+3",IF(OR(N562=18,N562=19),"+4",IF(OR(N562=20,N562=21),"+5",IF(OR(N562=22,N562=23),"+6",IF(OR(N562=24,N562=25),"+7",IF(OR(N562=26,N562=27),"+8",IF(OR(N562=28,N562=29),"+9",IF(N562=30,"+10"," "))))))))))))))))</f>
        <v>+4</v>
      </c>
      <c r="P562" s="3" t="n">
        <v>17</v>
      </c>
      <c r="Q562" s="1" t="str">
        <f aca="false">IF(P562=1,"-5",IF(OR(P562=2,P562=3),"-4",IF(OR(P562=4,P562=5),"-3",IF(OR(P562=6,P562=7),"-2",IF(OR(P562=8,P562=9),"-1",IF(OR(P562=10,P562=11),"0",IF(OR(P562=12,P562=13),"+1",IF(OR(P562=14,P562=15),"+2",IF(OR(P562=16,P562=17),"+3",IF(OR(P562=18,P562=19),"+4",IF(OR(P562=20,P562=21),"+5",IF(OR(P562=22,P562=23),"+6",IF(OR(P562=24,P562=25),"+7",IF(OR(P562=26,P562=27),"+8",IF(OR(P562=28,P562=29),"+9",IF(P562=30,"+10"," "))))))))))))))))</f>
        <v>+3</v>
      </c>
      <c r="R562" s="3" t="n">
        <v>15</v>
      </c>
      <c r="S562" s="1" t="str">
        <f aca="false">IF(R562=1,"-5",IF(OR(R562=2,R562=3),"-4",IF(OR(R562=4,R562=5),"-3",IF(OR(R562=6,R562=7),"-2",IF(OR(R562=8,R562=9),"-1",IF(OR(R562=10,R562=11),"0",IF(OR(R562=12,R562=13),"+1",IF(OR(R562=14,R562=15),"+2",IF(OR(R562=16,R562=17),"+3",IF(OR(R562=18,R562=19),"+4",IF(OR(R562=20,R562=21),"+5",IF(OR(R562=22,R562=23),"+6",IF(OR(R562=24,R562=25),"+7",IF(OR(R562=26,R562=27),"+8",IF(OR(R562=28,R562=29),"+9",IF(R562=30,"+10"," "))))))))))))))))</f>
        <v>+2</v>
      </c>
      <c r="T562" s="3" t="n">
        <v>18</v>
      </c>
      <c r="U562" s="1" t="str">
        <f aca="false">IF(T562=1,"-5",IF(OR(T562=2,T562=3),"-4",IF(OR(T562=4,T562=5),"-3",IF(OR(T562=6,T562=7),"-2",IF(OR(T562=8,T562=9),"-1",IF(OR(T562=10,T562=11),"0",IF(OR(T562=12,T562=13),"+1",IF(OR(T562=14,T562=15),"+2",IF(OR(T562=16,T562=17),"+3",IF(OR(T562=18,T562=19),"+4",IF(OR(T562=20,T562=21),"+5",IF(OR(T562=22,T562=23),"+6",IF(OR(T562=24,T562=25),"+7",IF(OR(T562=26,T562=27),"+8",IF(OR(T562=28,T562=29),"+9",IF(T562=30,"+10"," "))))))))))))))))</f>
        <v>+4</v>
      </c>
      <c r="V562" s="3" t="s">
        <v>2670</v>
      </c>
      <c r="W562" s="3" t="s">
        <v>89</v>
      </c>
      <c r="X562" s="11" t="s">
        <v>2671</v>
      </c>
      <c r="Y562" s="11" t="s">
        <v>2672</v>
      </c>
      <c r="Z562" s="11" t="s">
        <v>37</v>
      </c>
      <c r="AA562" s="12" t="s">
        <v>2673</v>
      </c>
    </row>
    <row r="563" customFormat="false" ht="16.4" hidden="false" customHeight="false" outlineLevel="0" collapsed="false">
      <c r="A563" s="14" t="s">
        <v>2674</v>
      </c>
      <c r="B563" s="1" t="s">
        <v>77</v>
      </c>
      <c r="C563" s="1" t="s">
        <v>85</v>
      </c>
      <c r="D563" s="5" t="n">
        <v>5</v>
      </c>
      <c r="E563" s="6" t="n">
        <f aca="false">VLOOKUP(D563,'[1]REF Tables'!$A$2:$B$40,2)</f>
        <v>1800</v>
      </c>
      <c r="F563" s="1" t="s">
        <v>30</v>
      </c>
      <c r="G563" s="1" t="n">
        <v>15</v>
      </c>
      <c r="H563" s="1" t="s">
        <v>387</v>
      </c>
      <c r="I563" s="3" t="s">
        <v>42</v>
      </c>
      <c r="J563" s="1" t="n">
        <v>16</v>
      </c>
      <c r="K563" s="1" t="str">
        <f aca="false">IF(J563=1,"-5",IF(OR(J563=2,J563=3),"-4",IF(OR(J563=4,J563=5),"-3",IF(OR(J563=6,J563=7),"-2",IF(OR(J563=8,J563=9),"-1",IF(OR(J563=10,J563=11),"0",IF(OR(J563=12,J563=13),"+1",IF(OR(J563=14,J563=15),"+2",IF(OR(J563=16,J563=17),"+3",IF(OR(J563=18,J563=19),"+4",IF(OR(J563=20,J563=21),"+5",IF(OR(J563=22,J563=23),"+6",IF(OR(J563=24,J563=25),"+7",IF(OR(J563=26,J563=27),"+8",IF(OR(J563=28,J563=29),"+9",IF(J563=30,"+10"," "))))))))))))))))</f>
        <v>+3</v>
      </c>
      <c r="L563" s="1" t="n">
        <v>16</v>
      </c>
      <c r="M563" s="1" t="str">
        <f aca="false">IF(L563=1,"-5",IF(OR(L563=2,L563=3),"-4",IF(OR(L563=4,L563=5),"-3",IF(OR(L563=6,L563=7),"-2",IF(OR(L563=8,L563=9),"-1",IF(OR(L563=10,L563=11),"0",IF(OR(L563=12,L563=13),"+1",IF(OR(L563=14,L563=15),"+2",IF(OR(L563=16,L563=17),"+3",IF(OR(L563=18,L563=19),"+4",IF(OR(L563=20,L563=21),"+5",IF(OR(L563=22,L563=23),"+6",IF(OR(L563=24,L563=25),"+7",IF(OR(L563=26,L563=27),"+8",IF(OR(L563=28,L563=29),"+9",IF(L563=30,"+10"," "))))))))))))))))</f>
        <v>+3</v>
      </c>
      <c r="N563" s="1" t="n">
        <v>16</v>
      </c>
      <c r="O563" s="1" t="str">
        <f aca="false">IF(N563=1,"-5",IF(OR(N563=2,N563=3),"-4",IF(OR(N563=4,N563=5),"-3",IF(OR(N563=6,N563=7),"-2",IF(OR(N563=8,N563=9),"-1",IF(OR(N563=10,N563=11),"0",IF(OR(N563=12,N563=13),"+1",IF(OR(N563=14,N563=15),"+2",IF(OR(N563=16,N563=17),"+3",IF(OR(N563=18,N563=19),"+4",IF(OR(N563=20,N563=21),"+5",IF(OR(N563=22,N563=23),"+6",IF(OR(N563=24,N563=25),"+7",IF(OR(N563=26,N563=27),"+8",IF(OR(N563=28,N563=29),"+9",IF(N563=30,"+10"," "))))))))))))))))</f>
        <v>+3</v>
      </c>
      <c r="P563" s="1" t="n">
        <v>11</v>
      </c>
      <c r="Q563" s="1" t="str">
        <f aca="false">IF(P563=1,"-5",IF(OR(P563=2,P563=3),"-4",IF(OR(P563=4,P563=5),"-3",IF(OR(P563=6,P563=7),"-2",IF(OR(P563=8,P563=9),"-1",IF(OR(P563=10,P563=11),"0",IF(OR(P563=12,P563=13),"+1",IF(OR(P563=14,P563=15),"+2",IF(OR(P563=16,P563=17),"+3",IF(OR(P563=18,P563=19),"+4",IF(OR(P563=20,P563=21),"+5",IF(OR(P563=22,P563=23),"+6",IF(OR(P563=24,P563=25),"+7",IF(OR(P563=26,P563=27),"+8",IF(OR(P563=28,P563=29),"+9",IF(P563=30,"+10"," "))))))))))))))))</f>
        <v>0</v>
      </c>
      <c r="R563" s="1" t="n">
        <v>10</v>
      </c>
      <c r="S563" s="1" t="str">
        <f aca="false">IF(R563=1,"-5",IF(OR(R563=2,R563=3),"-4",IF(OR(R563=4,R563=5),"-3",IF(OR(R563=6,R563=7),"-2",IF(OR(R563=8,R563=9),"-1",IF(OR(R563=10,R563=11),"0",IF(OR(R563=12,R563=13),"+1",IF(OR(R563=14,R563=15),"+2",IF(OR(R563=16,R563=17),"+3",IF(OR(R563=18,R563=19),"+4",IF(OR(R563=20,R563=21),"+5",IF(OR(R563=22,R563=23),"+6",IF(OR(R563=24,R563=25),"+7",IF(OR(R563=26,R563=27),"+8",IF(OR(R563=28,R563=29),"+9",IF(R563=30,"+10"," "))))))))))))))))</f>
        <v>0</v>
      </c>
      <c r="T563" s="1" t="n">
        <v>12</v>
      </c>
      <c r="U563" s="1" t="str">
        <f aca="false">IF(T563=1,"-5",IF(OR(T563=2,T563=3),"-4",IF(OR(T563=4,T563=5),"-3",IF(OR(T563=6,T563=7),"-2",IF(OR(T563=8,T563=9),"-1",IF(OR(T563=10,T563=11),"0",IF(OR(T563=12,T563=13),"+1",IF(OR(T563=14,T563=15),"+2",IF(OR(T563=16,T563=17),"+3",IF(OR(T563=18,T563=19),"+4",IF(OR(T563=20,T563=21),"+5",IF(OR(T563=22,T563=23),"+6",IF(OR(T563=24,T563=25),"+7",IF(OR(T563=26,T563=27),"+8",IF(OR(T563=28,T563=29),"+9",IF(T563=30,"+10"," "))))))))))))))))</f>
        <v>+1</v>
      </c>
      <c r="V563" s="1" t="s">
        <v>2675</v>
      </c>
      <c r="W563" s="1" t="s">
        <v>101</v>
      </c>
      <c r="X563" s="2" t="s">
        <v>2676</v>
      </c>
      <c r="Y563" s="2" t="s">
        <v>2677</v>
      </c>
      <c r="Z563" s="2" t="s">
        <v>37</v>
      </c>
      <c r="AA563" s="1" t="s">
        <v>37</v>
      </c>
    </row>
    <row r="564" customFormat="false" ht="16.4" hidden="false" customHeight="false" outlineLevel="0" collapsed="false">
      <c r="A564" s="15" t="s">
        <v>2678</v>
      </c>
      <c r="B564" s="3" t="s">
        <v>386</v>
      </c>
      <c r="C564" s="3" t="s">
        <v>222</v>
      </c>
      <c r="D564" s="16" t="n">
        <v>1</v>
      </c>
      <c r="E564" s="3" t="n">
        <f aca="false">VLOOKUP(D564,'[1]REF Tables'!$A$2:$B$40,2)</f>
        <v>200</v>
      </c>
      <c r="F564" s="3" t="s">
        <v>315</v>
      </c>
      <c r="G564" s="3" t="n">
        <v>12</v>
      </c>
      <c r="H564" s="3" t="s">
        <v>1319</v>
      </c>
      <c r="I564" s="3" t="s">
        <v>2679</v>
      </c>
      <c r="J564" s="3" t="n">
        <v>6</v>
      </c>
      <c r="K564" s="1" t="str">
        <f aca="false">IF(J564=1,"-5",IF(OR(J564=2,J564=3),"-4",IF(OR(J564=4,J564=5),"-3",IF(OR(J564=6,J564=7),"-2",IF(OR(J564=8,J564=9),"-1",IF(OR(J564=10,J564=11),"0",IF(OR(J564=12,J564=13),"+1",IF(OR(J564=14,J564=15),"+2",IF(OR(J564=16,J564=17),"+3",IF(OR(J564=18,J564=19),"+4",IF(OR(J564=20,J564=21),"+5",IF(OR(J564=22,J564=23),"+6",IF(OR(J564=24,J564=25),"+7",IF(OR(J564=26,J564=27),"+8",IF(OR(J564=28,J564=29),"+9",IF(J564=30,"+10"," "))))))))))))))))</f>
        <v>-2</v>
      </c>
      <c r="L564" s="3" t="n">
        <v>14</v>
      </c>
      <c r="M564" s="1" t="str">
        <f aca="false">IF(L564=1,"-5",IF(OR(L564=2,L564=3),"-4",IF(OR(L564=4,L564=5),"-3",IF(OR(L564=6,L564=7),"-2",IF(OR(L564=8,L564=9),"-1",IF(OR(L564=10,L564=11),"0",IF(OR(L564=12,L564=13),"+1",IF(OR(L564=14,L564=15),"+2",IF(OR(L564=16,L564=17),"+3",IF(OR(L564=18,L564=19),"+4",IF(OR(L564=20,L564=21),"+5",IF(OR(L564=22,L564=23),"+6",IF(OR(L564=24,L564=25),"+7",IF(OR(L564=26,L564=27),"+8",IF(OR(L564=28,L564=29),"+9",IF(L564=30,"+10"," "))))))))))))))))</f>
        <v>+2</v>
      </c>
      <c r="N564" s="3" t="n">
        <v>14</v>
      </c>
      <c r="O564" s="1" t="str">
        <f aca="false">IF(N564=1,"-5",IF(OR(N564=2,N564=3),"-4",IF(OR(N564=4,N564=5),"-3",IF(OR(N564=6,N564=7),"-2",IF(OR(N564=8,N564=9),"-1",IF(OR(N564=10,N564=11),"0",IF(OR(N564=12,N564=13),"+1",IF(OR(N564=14,N564=15),"+2",IF(OR(N564=16,N564=17),"+3",IF(OR(N564=18,N564=19),"+4",IF(OR(N564=20,N564=21),"+5",IF(OR(N564=22,N564=23),"+6",IF(OR(N564=24,N564=25),"+7",IF(OR(N564=26,N564=27),"+8",IF(OR(N564=28,N564=29),"+9",IF(N564=30,"+10"," "))))))))))))))))</f>
        <v>+2</v>
      </c>
      <c r="P564" s="3" t="n">
        <v>4</v>
      </c>
      <c r="Q564" s="1" t="str">
        <f aca="false">IF(P564=1,"-5",IF(OR(P564=2,P564=3),"-4",IF(OR(P564=4,P564=5),"-3",IF(OR(P564=6,P564=7),"-2",IF(OR(P564=8,P564=9),"-1",IF(OR(P564=10,P564=11),"0",IF(OR(P564=12,P564=13),"+1",IF(OR(P564=14,P564=15),"+2",IF(OR(P564=16,P564=17),"+3",IF(OR(P564=18,P564=19),"+4",IF(OR(P564=20,P564=21),"+5",IF(OR(P564=22,P564=23),"+6",IF(OR(P564=24,P564=25),"+7",IF(OR(P564=26,P564=27),"+8",IF(OR(P564=28,P564=29),"+9",IF(P564=30,"+10"," "))))))))))))))))</f>
        <v>-3</v>
      </c>
      <c r="R564" s="3" t="n">
        <v>7</v>
      </c>
      <c r="S564" s="1" t="str">
        <f aca="false">IF(R564=1,"-5",IF(OR(R564=2,R564=3),"-4",IF(OR(R564=4,R564=5),"-3",IF(OR(R564=6,R564=7),"-2",IF(OR(R564=8,R564=9),"-1",IF(OR(R564=10,R564=11),"0",IF(OR(R564=12,R564=13),"+1",IF(OR(R564=14,R564=15),"+2",IF(OR(R564=16,R564=17),"+3",IF(OR(R564=18,R564=19),"+4",IF(OR(R564=20,R564=21),"+5",IF(OR(R564=22,R564=23),"+6",IF(OR(R564=24,R564=25),"+7",IF(OR(R564=26,R564=27),"+8",IF(OR(R564=28,R564=29),"+9",IF(R564=30,"+10"," "))))))))))))))))</f>
        <v>-2</v>
      </c>
      <c r="T564" s="3" t="n">
        <v>2</v>
      </c>
      <c r="U564" s="1" t="str">
        <f aca="false">IF(T564=1,"-5",IF(OR(T564=2,T564=3),"-4",IF(OR(T564=4,T564=5),"-3",IF(OR(T564=6,T564=7),"-2",IF(OR(T564=8,T564=9),"-1",IF(OR(T564=10,T564=11),"0",IF(OR(T564=12,T564=13),"+1",IF(OR(T564=14,T564=15),"+2",IF(OR(T564=16,T564=17),"+3",IF(OR(T564=18,T564=19),"+4",IF(OR(T564=20,T564=21),"+5",IF(OR(T564=22,T564=23),"+6",IF(OR(T564=24,T564=25),"+7",IF(OR(T564=26,T564=27),"+8",IF(OR(T564=28,T564=29),"+9",IF(T564=30,"+10"," "))))))))))))))))</f>
        <v>-4</v>
      </c>
      <c r="V564" s="3" t="s">
        <v>37</v>
      </c>
      <c r="W564" s="3" t="s">
        <v>2680</v>
      </c>
      <c r="X564" s="11" t="s">
        <v>2681</v>
      </c>
      <c r="Y564" s="11" t="s">
        <v>2682</v>
      </c>
      <c r="Z564" s="11" t="s">
        <v>37</v>
      </c>
      <c r="AA564" s="12" t="s">
        <v>37</v>
      </c>
    </row>
    <row r="565" customFormat="false" ht="16.4" hidden="false" customHeight="false" outlineLevel="0" collapsed="false">
      <c r="A565" s="15" t="s">
        <v>2683</v>
      </c>
      <c r="B565" s="3" t="s">
        <v>595</v>
      </c>
      <c r="C565" s="3" t="s">
        <v>37</v>
      </c>
      <c r="D565" s="16" t="n">
        <v>0.5</v>
      </c>
      <c r="E565" s="3" t="n">
        <f aca="false">VLOOKUP(D565,'[1]REF Tables'!$A$2:$B$40,2)</f>
        <v>100</v>
      </c>
      <c r="F565" s="3" t="s">
        <v>30</v>
      </c>
      <c r="G565" s="3" t="n">
        <v>8</v>
      </c>
      <c r="H565" s="3" t="s">
        <v>2193</v>
      </c>
      <c r="I565" s="3" t="s">
        <v>1178</v>
      </c>
      <c r="J565" s="3" t="n">
        <v>12</v>
      </c>
      <c r="K565" s="1" t="str">
        <f aca="false">IF(J565=1,"-5",IF(OR(J565=2,J565=3),"-4",IF(OR(J565=4,J565=5),"-3",IF(OR(J565=6,J565=7),"-2",IF(OR(J565=8,J565=9),"-1",IF(OR(J565=10,J565=11),"0",IF(OR(J565=12,J565=13),"+1",IF(OR(J565=14,J565=15),"+2",IF(OR(J565=16,J565=17),"+3",IF(OR(J565=18,J565=19),"+4",IF(OR(J565=20,J565=21),"+5",IF(OR(J565=22,J565=23),"+6",IF(OR(J565=24,J565=25),"+7",IF(OR(J565=26,J565=27),"+8",IF(OR(J565=28,J565=29),"+9",IF(J565=30,"+10"," "))))))))))))))))</f>
        <v>+1</v>
      </c>
      <c r="L565" s="3" t="n">
        <v>6</v>
      </c>
      <c r="M565" s="1" t="str">
        <f aca="false">IF(L565=1,"-5",IF(OR(L565=2,L565=3),"-4",IF(OR(L565=4,L565=5),"-3",IF(OR(L565=6,L565=7),"-2",IF(OR(L565=8,L565=9),"-1",IF(OR(L565=10,L565=11),"0",IF(OR(L565=12,L565=13),"+1",IF(OR(L565=14,L565=15),"+2",IF(OR(L565=16,L565=17),"+3",IF(OR(L565=18,L565=19),"+4",IF(OR(L565=20,L565=21),"+5",IF(OR(L565=22,L565=23),"+6",IF(OR(L565=24,L565=25),"+7",IF(OR(L565=26,L565=27),"+8",IF(OR(L565=28,L565=29),"+9",IF(L565=30,"+10"," "))))))))))))))))</f>
        <v>-2</v>
      </c>
      <c r="N565" s="3" t="n">
        <v>16</v>
      </c>
      <c r="O565" s="1" t="str">
        <f aca="false">IF(N565=1,"-5",IF(OR(N565=2,N565=3),"-4",IF(OR(N565=4,N565=5),"-3",IF(OR(N565=6,N565=7),"-2",IF(OR(N565=8,N565=9),"-1",IF(OR(N565=10,N565=11),"0",IF(OR(N565=12,N565=13),"+1",IF(OR(N565=14,N565=15),"+2",IF(OR(N565=16,N565=17),"+3",IF(OR(N565=18,N565=19),"+4",IF(OR(N565=20,N565=21),"+5",IF(OR(N565=22,N565=23),"+6",IF(OR(N565=24,N565=25),"+7",IF(OR(N565=26,N565=27),"+8",IF(OR(N565=28,N565=29),"+9",IF(N565=30,"+10"," "))))))))))))))))</f>
        <v>+3</v>
      </c>
      <c r="P565" s="3" t="n">
        <v>1</v>
      </c>
      <c r="Q565" s="1" t="str">
        <f aca="false">IF(P565=1,"-5",IF(OR(P565=2,P565=3),"-4",IF(OR(P565=4,P565=5),"-3",IF(OR(P565=6,P565=7),"-2",IF(OR(P565=8,P565=9),"-1",IF(OR(P565=10,P565=11),"0",IF(OR(P565=12,P565=13),"+1",IF(OR(P565=14,P565=15),"+2",IF(OR(P565=16,P565=17),"+3",IF(OR(P565=18,P565=19),"+4",IF(OR(P565=20,P565=21),"+5",IF(OR(P565=22,P565=23),"+6",IF(OR(P565=24,P565=25),"+7",IF(OR(P565=26,P565=27),"+8",IF(OR(P565=28,P565=29),"+9",IF(P565=30,"+10"," "))))))))))))))))</f>
        <v>-5</v>
      </c>
      <c r="R565" s="3" t="n">
        <v>6</v>
      </c>
      <c r="S565" s="1" t="str">
        <f aca="false">IF(R565=1,"-5",IF(OR(R565=2,R565=3),"-4",IF(OR(R565=4,R565=5),"-3",IF(OR(R565=6,R565=7),"-2",IF(OR(R565=8,R565=9),"-1",IF(OR(R565=10,R565=11),"0",IF(OR(R565=12,R565=13),"+1",IF(OR(R565=14,R565=15),"+2",IF(OR(R565=16,R565=17),"+3",IF(OR(R565=18,R565=19),"+4",IF(OR(R565=20,R565=21),"+5",IF(OR(R565=22,R565=23),"+6",IF(OR(R565=24,R565=25),"+7",IF(OR(R565=26,R565=27),"+8",IF(OR(R565=28,R565=29),"+9",IF(R565=30,"+10"," "))))))))))))))))</f>
        <v>-2</v>
      </c>
      <c r="T565" s="3" t="n">
        <v>2</v>
      </c>
      <c r="U565" s="1" t="str">
        <f aca="false">IF(T565=1,"-5",IF(OR(T565=2,T565=3),"-4",IF(OR(T565=4,T565=5),"-3",IF(OR(T565=6,T565=7),"-2",IF(OR(T565=8,T565=9),"-1",IF(OR(T565=10,T565=11),"0",IF(OR(T565=12,T565=13),"+1",IF(OR(T565=14,T565=15),"+2",IF(OR(T565=16,T565=17),"+3",IF(OR(T565=18,T565=19),"+4",IF(OR(T565=20,T565=21),"+5",IF(OR(T565=22,T565=23),"+6",IF(OR(T565=24,T565=25),"+7",IF(OR(T565=26,T565=27),"+8",IF(OR(T565=28,T565=29),"+9",IF(T565=30,"+10"," "))))))))))))))))</f>
        <v>-4</v>
      </c>
      <c r="V565" s="3" t="s">
        <v>556</v>
      </c>
      <c r="W565" s="3" t="s">
        <v>37</v>
      </c>
      <c r="X565" s="11" t="s">
        <v>2684</v>
      </c>
      <c r="Y565" s="11" t="s">
        <v>2685</v>
      </c>
      <c r="Z565" s="11" t="s">
        <v>37</v>
      </c>
      <c r="AA565" s="12" t="s">
        <v>37</v>
      </c>
    </row>
    <row r="566" customFormat="false" ht="16.4" hidden="false" customHeight="false" outlineLevel="0" collapsed="false">
      <c r="A566" s="15" t="s">
        <v>2686</v>
      </c>
      <c r="B566" s="3" t="s">
        <v>59</v>
      </c>
      <c r="C566" s="3" t="s">
        <v>37</v>
      </c>
      <c r="D566" s="16" t="n">
        <v>0</v>
      </c>
      <c r="E566" s="3" t="n">
        <f aca="false">VLOOKUP(D566,'[1]REF Tables'!$A$2:$B$40,2)</f>
        <v>10</v>
      </c>
      <c r="F566" s="3" t="s">
        <v>30</v>
      </c>
      <c r="G566" s="3" t="n">
        <v>10</v>
      </c>
      <c r="H566" s="3" t="s">
        <v>1662</v>
      </c>
      <c r="I566" s="3" t="s">
        <v>544</v>
      </c>
      <c r="J566" s="3" t="n">
        <v>7</v>
      </c>
      <c r="K566" s="1" t="str">
        <f aca="false">IF(J566=1,"-5",IF(OR(J566=2,J566=3),"-4",IF(OR(J566=4,J566=5),"-3",IF(OR(J566=6,J566=7),"-2",IF(OR(J566=8,J566=9),"-1",IF(OR(J566=10,J566=11),"0",IF(OR(J566=12,J566=13),"+1",IF(OR(J566=14,J566=15),"+2",IF(OR(J566=16,J566=17),"+3",IF(OR(J566=18,J566=19),"+4",IF(OR(J566=20,J566=21),"+5",IF(OR(J566=22,J566=23),"+6",IF(OR(J566=24,J566=25),"+7",IF(OR(J566=26,J566=27),"+8",IF(OR(J566=28,J566=29),"+9",IF(J566=30,"+10"," "))))))))))))))))</f>
        <v>-2</v>
      </c>
      <c r="L566" s="3" t="n">
        <v>10</v>
      </c>
      <c r="M566" s="1" t="str">
        <f aca="false">IF(L566=1,"-5",IF(OR(L566=2,L566=3),"-4",IF(OR(L566=4,L566=5),"-3",IF(OR(L566=6,L566=7),"-2",IF(OR(L566=8,L566=9),"-1",IF(OR(L566=10,L566=11),"0",IF(OR(L566=12,L566=13),"+1",IF(OR(L566=14,L566=15),"+2",IF(OR(L566=16,L566=17),"+3",IF(OR(L566=18,L566=19),"+4",IF(OR(L566=20,L566=21),"+5",IF(OR(L566=22,L566=23),"+6",IF(OR(L566=24,L566=25),"+7",IF(OR(L566=26,L566=27),"+8",IF(OR(L566=28,L566=29),"+9",IF(L566=30,"+10"," "))))))))))))))))</f>
        <v>0</v>
      </c>
      <c r="N566" s="3" t="n">
        <v>13</v>
      </c>
      <c r="O566" s="1" t="str">
        <f aca="false">IF(N566=1,"-5",IF(OR(N566=2,N566=3),"-4",IF(OR(N566=4,N566=5),"-3",IF(OR(N566=6,N566=7),"-2",IF(OR(N566=8,N566=9),"-1",IF(OR(N566=10,N566=11),"0",IF(OR(N566=12,N566=13),"+1",IF(OR(N566=14,N566=15),"+2",IF(OR(N566=16,N566=17),"+3",IF(OR(N566=18,N566=19),"+4",IF(OR(N566=20,N566=21),"+5",IF(OR(N566=22,N566=23),"+6",IF(OR(N566=24,N566=25),"+7",IF(OR(N566=26,N566=27),"+8",IF(OR(N566=28,N566=29),"+9",IF(N566=30,"+10"," "))))))))))))))))</f>
        <v>+1</v>
      </c>
      <c r="P566" s="3" t="n">
        <v>2</v>
      </c>
      <c r="Q566" s="1" t="str">
        <f aca="false">IF(P566=1,"-5",IF(OR(P566=2,P566=3),"-4",IF(OR(P566=4,P566=5),"-3",IF(OR(P566=6,P566=7),"-2",IF(OR(P566=8,P566=9),"-1",IF(OR(P566=10,P566=11),"0",IF(OR(P566=12,P566=13),"+1",IF(OR(P566=14,P566=15),"+2",IF(OR(P566=16,P566=17),"+3",IF(OR(P566=18,P566=19),"+4",IF(OR(P566=20,P566=21),"+5",IF(OR(P566=22,P566=23),"+6",IF(OR(P566=24,P566=25),"+7",IF(OR(P566=26,P566=27),"+8",IF(OR(P566=28,P566=29),"+9",IF(P566=30,"+10"," "))))))))))))))))</f>
        <v>-4</v>
      </c>
      <c r="R566" s="3" t="n">
        <v>12</v>
      </c>
      <c r="S566" s="1" t="str">
        <f aca="false">IF(R566=1,"-5",IF(OR(R566=2,R566=3),"-4",IF(OR(R566=4,R566=5),"-3",IF(OR(R566=6,R566=7),"-2",IF(OR(R566=8,R566=9),"-1",IF(OR(R566=10,R566=11),"0",IF(OR(R566=12,R566=13),"+1",IF(OR(R566=14,R566=15),"+2",IF(OR(R566=16,R566=17),"+3",IF(OR(R566=18,R566=19),"+4",IF(OR(R566=20,R566=21),"+5",IF(OR(R566=22,R566=23),"+6",IF(OR(R566=24,R566=25),"+7",IF(OR(R566=26,R566=27),"+8",IF(OR(R566=28,R566=29),"+9",IF(R566=30,"+10"," "))))))))))))))))</f>
        <v>+1</v>
      </c>
      <c r="T566" s="3" t="n">
        <v>4</v>
      </c>
      <c r="U566" s="1" t="str">
        <f aca="false">IF(T566=1,"-5",IF(OR(T566=2,T566=3),"-4",IF(OR(T566=4,T566=5),"-3",IF(OR(T566=6,T566=7),"-2",IF(OR(T566=8,T566=9),"-1",IF(OR(T566=10,T566=11),"0",IF(OR(T566=12,T566=13),"+1",IF(OR(T566=14,T566=15),"+2",IF(OR(T566=16,T566=17),"+3",IF(OR(T566=18,T566=19),"+4",IF(OR(T566=20,T566=21),"+5",IF(OR(T566=22,T566=23),"+6",IF(OR(T566=24,T566=25),"+7",IF(OR(T566=26,T566=27),"+8",IF(OR(T566=28,T566=29),"+9",IF(T566=30,"+10"," "))))))))))))))))</f>
        <v>-3</v>
      </c>
      <c r="V566" s="3" t="s">
        <v>416</v>
      </c>
      <c r="W566" s="3" t="s">
        <v>37</v>
      </c>
      <c r="X566" s="11" t="s">
        <v>2687</v>
      </c>
      <c r="Y566" s="11" t="s">
        <v>2688</v>
      </c>
      <c r="Z566" s="11" t="s">
        <v>37</v>
      </c>
      <c r="AA566" s="12" t="s">
        <v>37</v>
      </c>
    </row>
    <row r="567" customFormat="false" ht="16.4" hidden="false" customHeight="false" outlineLevel="0" collapsed="false">
      <c r="A567" s="15" t="s">
        <v>2689</v>
      </c>
      <c r="B567" s="3" t="s">
        <v>59</v>
      </c>
      <c r="C567" s="3" t="s">
        <v>85</v>
      </c>
      <c r="D567" s="16" t="n">
        <v>1</v>
      </c>
      <c r="E567" s="3" t="n">
        <f aca="false">VLOOKUP(D567,'[1]REF Tables'!$A$2:$B$40,2)</f>
        <v>200</v>
      </c>
      <c r="F567" s="3" t="s">
        <v>50</v>
      </c>
      <c r="G567" s="3" t="n">
        <v>10</v>
      </c>
      <c r="H567" s="3" t="s">
        <v>2396</v>
      </c>
      <c r="I567" s="3" t="s">
        <v>449</v>
      </c>
      <c r="J567" s="3" t="n">
        <v>15</v>
      </c>
      <c r="K567" s="1" t="str">
        <f aca="false">IF(J567=1,"-5",IF(OR(J567=2,J567=3),"-4",IF(OR(J567=4,J567=5),"-3",IF(OR(J567=6,J567=7),"-2",IF(OR(J567=8,J567=9),"-1",IF(OR(J567=10,J567=11),"0",IF(OR(J567=12,J567=13),"+1",IF(OR(J567=14,J567=15),"+2",IF(OR(J567=16,J567=17),"+3",IF(OR(J567=18,J567=19),"+4",IF(OR(J567=20,J567=21),"+5",IF(OR(J567=22,J567=23),"+6",IF(OR(J567=24,J567=25),"+7",IF(OR(J567=26,J567=27),"+8",IF(OR(J567=28,J567=29),"+9",IF(J567=30,"+10"," "))))))))))))))))</f>
        <v>+2</v>
      </c>
      <c r="L567" s="3" t="n">
        <v>10</v>
      </c>
      <c r="M567" s="1" t="str">
        <f aca="false">IF(L567=1,"-5",IF(OR(L567=2,L567=3),"-4",IF(OR(L567=4,L567=5),"-3",IF(OR(L567=6,L567=7),"-2",IF(OR(L567=8,L567=9),"-1",IF(OR(L567=10,L567=11),"0",IF(OR(L567=12,L567=13),"+1",IF(OR(L567=14,L567=15),"+2",IF(OR(L567=16,L567=17),"+3",IF(OR(L567=18,L567=19),"+4",IF(OR(L567=20,L567=21),"+5",IF(OR(L567=22,L567=23),"+6",IF(OR(L567=24,L567=25),"+7",IF(OR(L567=26,L567=27),"+8",IF(OR(L567=28,L567=29),"+9",IF(L567=30,"+10"," "))))))))))))))))</f>
        <v>0</v>
      </c>
      <c r="N567" s="3" t="n">
        <v>15</v>
      </c>
      <c r="O567" s="1" t="str">
        <f aca="false">IF(N567=1,"-5",IF(OR(N567=2,N567=3),"-4",IF(OR(N567=4,N567=5),"-3",IF(OR(N567=6,N567=7),"-2",IF(OR(N567=8,N567=9),"-1",IF(OR(N567=10,N567=11),"0",IF(OR(N567=12,N567=13),"+1",IF(OR(N567=14,N567=15),"+2",IF(OR(N567=16,N567=17),"+3",IF(OR(N567=18,N567=19),"+4",IF(OR(N567=20,N567=21),"+5",IF(OR(N567=22,N567=23),"+6",IF(OR(N567=24,N567=25),"+7",IF(OR(N567=26,N567=27),"+8",IF(OR(N567=28,N567=29),"+9",IF(N567=30,"+10"," "))))))))))))))))</f>
        <v>+2</v>
      </c>
      <c r="P567" s="3" t="n">
        <v>6</v>
      </c>
      <c r="Q567" s="1" t="str">
        <f aca="false">IF(P567=1,"-5",IF(OR(P567=2,P567=3),"-4",IF(OR(P567=4,P567=5),"-3",IF(OR(P567=6,P567=7),"-2",IF(OR(P567=8,P567=9),"-1",IF(OR(P567=10,P567=11),"0",IF(OR(P567=12,P567=13),"+1",IF(OR(P567=14,P567=15),"+2",IF(OR(P567=16,P567=17),"+3",IF(OR(P567=18,P567=19),"+4",IF(OR(P567=20,P567=21),"+5",IF(OR(P567=22,P567=23),"+6",IF(OR(P567=24,P567=25),"+7",IF(OR(P567=26,P567=27),"+8",IF(OR(P567=28,P567=29),"+9",IF(P567=30,"+10"," "))))))))))))))))</f>
        <v>-2</v>
      </c>
      <c r="R567" s="3" t="n">
        <v>12</v>
      </c>
      <c r="S567" s="1" t="str">
        <f aca="false">IF(R567=1,"-5",IF(OR(R567=2,R567=3),"-4",IF(OR(R567=4,R567=5),"-3",IF(OR(R567=6,R567=7),"-2",IF(OR(R567=8,R567=9),"-1",IF(OR(R567=10,R567=11),"0",IF(OR(R567=12,R567=13),"+1",IF(OR(R567=14,R567=15),"+2",IF(OR(R567=16,R567=17),"+3",IF(OR(R567=18,R567=19),"+4",IF(OR(R567=20,R567=21),"+5",IF(OR(R567=22,R567=23),"+6",IF(OR(R567=24,R567=25),"+7",IF(OR(R567=26,R567=27),"+8",IF(OR(R567=28,R567=29),"+9",IF(R567=30,"+10"," "))))))))))))))))</f>
        <v>+1</v>
      </c>
      <c r="T567" s="3" t="n">
        <v>7</v>
      </c>
      <c r="U567" s="1" t="str">
        <f aca="false">IF(T567=1,"-5",IF(OR(T567=2,T567=3),"-4",IF(OR(T567=4,T567=5),"-3",IF(OR(T567=6,T567=7),"-2",IF(OR(T567=8,T567=9),"-1",IF(OR(T567=10,T567=11),"0",IF(OR(T567=12,T567=13),"+1",IF(OR(T567=14,T567=15),"+2",IF(OR(T567=16,T567=17),"+3",IF(OR(T567=18,T567=19),"+4",IF(OR(T567=20,T567=21),"+5",IF(OR(T567=22,T567=23),"+6",IF(OR(T567=24,T567=25),"+7",IF(OR(T567=26,T567=27),"+8",IF(OR(T567=28,T567=29),"+9",IF(T567=30,"+10"," "))))))))))))))))</f>
        <v>-2</v>
      </c>
      <c r="V567" s="3" t="s">
        <v>416</v>
      </c>
      <c r="W567" s="3" t="s">
        <v>2690</v>
      </c>
      <c r="X567" s="11" t="s">
        <v>2691</v>
      </c>
      <c r="Y567" s="11" t="s">
        <v>2692</v>
      </c>
      <c r="Z567" s="11" t="s">
        <v>37</v>
      </c>
      <c r="AA567" s="12" t="s">
        <v>37</v>
      </c>
    </row>
    <row r="568" customFormat="false" ht="16.4" hidden="false" customHeight="false" outlineLevel="0" collapsed="false">
      <c r="A568" s="15" t="s">
        <v>2693</v>
      </c>
      <c r="B568" s="3" t="s">
        <v>158</v>
      </c>
      <c r="C568" s="3" t="s">
        <v>230</v>
      </c>
      <c r="D568" s="16" t="n">
        <v>0.25</v>
      </c>
      <c r="E568" s="3" t="n">
        <f aca="false">VLOOKUP(D568,'[1]REF Tables'!$A$2:$B$40,2)</f>
        <v>50</v>
      </c>
      <c r="F568" s="3" t="s">
        <v>165</v>
      </c>
      <c r="G568" s="3" t="n">
        <v>13</v>
      </c>
      <c r="H568" s="3" t="s">
        <v>1807</v>
      </c>
      <c r="I568" s="3" t="s">
        <v>42</v>
      </c>
      <c r="J568" s="3" t="n">
        <v>7</v>
      </c>
      <c r="K568" s="1" t="str">
        <f aca="false">IF(J568=1,"-5",IF(OR(J568=2,J568=3),"-4",IF(OR(J568=4,J568=5),"-3",IF(OR(J568=6,J568=7),"-2",IF(OR(J568=8,J568=9),"-1",IF(OR(J568=10,J568=11),"0",IF(OR(J568=12,J568=13),"+1",IF(OR(J568=14,J568=15),"+2",IF(OR(J568=16,J568=17),"+3",IF(OR(J568=18,J568=19),"+4",IF(OR(J568=20,J568=21),"+5",IF(OR(J568=22,J568=23),"+6",IF(OR(J568=24,J568=25),"+7",IF(OR(J568=26,J568=27),"+8",IF(OR(J568=28,J568=29),"+9",IF(J568=30,"+10"," "))))))))))))))))</f>
        <v>-2</v>
      </c>
      <c r="L568" s="3" t="n">
        <v>14</v>
      </c>
      <c r="M568" s="1" t="str">
        <f aca="false">IF(L568=1,"-5",IF(OR(L568=2,L568=3),"-4",IF(OR(L568=4,L568=5),"-3",IF(OR(L568=6,L568=7),"-2",IF(OR(L568=8,L568=9),"-1",IF(OR(L568=10,L568=11),"0",IF(OR(L568=12,L568=13),"+1",IF(OR(L568=14,L568=15),"+2",IF(OR(L568=16,L568=17),"+3",IF(OR(L568=18,L568=19),"+4",IF(OR(L568=20,L568=21),"+5",IF(OR(L568=22,L568=23),"+6",IF(OR(L568=24,L568=25),"+7",IF(OR(L568=26,L568=27),"+8",IF(OR(L568=28,L568=29),"+9",IF(L568=30,"+10"," "))))))))))))))))</f>
        <v>+2</v>
      </c>
      <c r="N568" s="3" t="n">
        <v>13</v>
      </c>
      <c r="O568" s="1" t="str">
        <f aca="false">IF(N568=1,"-5",IF(OR(N568=2,N568=3),"-4",IF(OR(N568=4,N568=5),"-3",IF(OR(N568=6,N568=7),"-2",IF(OR(N568=8,N568=9),"-1",IF(OR(N568=10,N568=11),"0",IF(OR(N568=12,N568=13),"+1",IF(OR(N568=14,N568=15),"+2",IF(OR(N568=16,N568=17),"+3",IF(OR(N568=18,N568=19),"+4",IF(OR(N568=20,N568=21),"+5",IF(OR(N568=22,N568=23),"+6",IF(OR(N568=24,N568=25),"+7",IF(OR(N568=26,N568=27),"+8",IF(OR(N568=28,N568=29),"+9",IF(N568=30,"+10"," "))))))))))))))))</f>
        <v>+1</v>
      </c>
      <c r="P568" s="3" t="n">
        <v>6</v>
      </c>
      <c r="Q568" s="1" t="str">
        <f aca="false">IF(P568=1,"-5",IF(OR(P568=2,P568=3),"-4",IF(OR(P568=4,P568=5),"-3",IF(OR(P568=6,P568=7),"-2",IF(OR(P568=8,P568=9),"-1",IF(OR(P568=10,P568=11),"0",IF(OR(P568=12,P568=13),"+1",IF(OR(P568=14,P568=15),"+2",IF(OR(P568=16,P568=17),"+3",IF(OR(P568=18,P568=19),"+4",IF(OR(P568=20,P568=21),"+5",IF(OR(P568=22,P568=23),"+6",IF(OR(P568=24,P568=25),"+7",IF(OR(P568=26,P568=27),"+8",IF(OR(P568=28,P568=29),"+9",IF(P568=30,"+10"," "))))))))))))))))</f>
        <v>-2</v>
      </c>
      <c r="R568" s="3" t="n">
        <v>11</v>
      </c>
      <c r="S568" s="1" t="str">
        <f aca="false">IF(R568=1,"-5",IF(OR(R568=2,R568=3),"-4",IF(OR(R568=4,R568=5),"-3",IF(OR(R568=6,R568=7),"-2",IF(OR(R568=8,R568=9),"-1",IF(OR(R568=10,R568=11),"0",IF(OR(R568=12,R568=13),"+1",IF(OR(R568=14,R568=15),"+2",IF(OR(R568=16,R568=17),"+3",IF(OR(R568=18,R568=19),"+4",IF(OR(R568=20,R568=21),"+5",IF(OR(R568=22,R568=23),"+6",IF(OR(R568=24,R568=25),"+7",IF(OR(R568=26,R568=27),"+8",IF(OR(R568=28,R568=29),"+9",IF(R568=30,"+10"," "))))))))))))))))</f>
        <v>0</v>
      </c>
      <c r="T568" s="3" t="n">
        <v>7</v>
      </c>
      <c r="U568" s="1" t="str">
        <f aca="false">IF(T568=1,"-5",IF(OR(T568=2,T568=3),"-4",IF(OR(T568=4,T568=5),"-3",IF(OR(T568=6,T568=7),"-2",IF(OR(T568=8,T568=9),"-1",IF(OR(T568=10,T568=11),"0",IF(OR(T568=12,T568=13),"+1",IF(OR(T568=14,T568=15),"+2",IF(OR(T568=16,T568=17),"+3",IF(OR(T568=18,T568=19),"+4",IF(OR(T568=20,T568=21),"+5",IF(OR(T568=22,T568=23),"+6",IF(OR(T568=24,T568=25),"+7",IF(OR(T568=26,T568=27),"+8",IF(OR(T568=28,T568=29),"+9",IF(T568=30,"+10"," "))))))))))))))))</f>
        <v>-2</v>
      </c>
      <c r="V568" s="3" t="s">
        <v>2694</v>
      </c>
      <c r="W568" s="3" t="s">
        <v>2695</v>
      </c>
      <c r="X568" s="11" t="s">
        <v>2696</v>
      </c>
      <c r="Y568" s="11" t="s">
        <v>2697</v>
      </c>
      <c r="Z568" s="11" t="s">
        <v>37</v>
      </c>
      <c r="AA568" s="12" t="s">
        <v>37</v>
      </c>
    </row>
    <row r="569" customFormat="false" ht="16.4" hidden="false" customHeight="false" outlineLevel="0" collapsed="false">
      <c r="A569" s="15" t="s">
        <v>2698</v>
      </c>
      <c r="B569" s="3" t="s">
        <v>158</v>
      </c>
      <c r="C569" s="3" t="s">
        <v>230</v>
      </c>
      <c r="D569" s="16" t="n">
        <v>2</v>
      </c>
      <c r="E569" s="3" t="n">
        <f aca="false">VLOOKUP(D569,'[1]REF Tables'!$A$2:$B$40,2)</f>
        <v>450</v>
      </c>
      <c r="F569" s="3" t="s">
        <v>165</v>
      </c>
      <c r="G569" s="3" t="n">
        <v>14</v>
      </c>
      <c r="H569" s="3" t="s">
        <v>1990</v>
      </c>
      <c r="I569" s="3" t="s">
        <v>42</v>
      </c>
      <c r="J569" s="3" t="n">
        <v>14</v>
      </c>
      <c r="K569" s="1" t="str">
        <f aca="false">IF(J569=1,"-5",IF(OR(J569=2,J569=3),"-4",IF(OR(J569=4,J569=5),"-3",IF(OR(J569=6,J569=7),"-2",IF(OR(J569=8,J569=9),"-1",IF(OR(J569=10,J569=11),"0",IF(OR(J569=12,J569=13),"+1",IF(OR(J569=14,J569=15),"+2",IF(OR(J569=16,J569=17),"+3",IF(OR(J569=18,J569=19),"+4",IF(OR(J569=20,J569=21),"+5",IF(OR(J569=22,J569=23),"+6",IF(OR(J569=24,J569=25),"+7",IF(OR(J569=26,J569=27),"+8",IF(OR(J569=28,J569=29),"+9",IF(J569=30,"+10"," "))))))))))))))))</f>
        <v>+2</v>
      </c>
      <c r="L569" s="3" t="n">
        <v>14</v>
      </c>
      <c r="M569" s="1" t="str">
        <f aca="false">IF(L569=1,"-5",IF(OR(L569=2,L569=3),"-4",IF(OR(L569=4,L569=5),"-3",IF(OR(L569=6,L569=7),"-2",IF(OR(L569=8,L569=9),"-1",IF(OR(L569=10,L569=11),"0",IF(OR(L569=12,L569=13),"+1",IF(OR(L569=14,L569=15),"+2",IF(OR(L569=16,L569=17),"+3",IF(OR(L569=18,L569=19),"+4",IF(OR(L569=20,L569=21),"+5",IF(OR(L569=22,L569=23),"+6",IF(OR(L569=24,L569=25),"+7",IF(OR(L569=26,L569=27),"+8",IF(OR(L569=28,L569=29),"+9",IF(L569=30,"+10"," "))))))))))))))))</f>
        <v>+2</v>
      </c>
      <c r="N569" s="3" t="n">
        <v>14</v>
      </c>
      <c r="O569" s="1" t="str">
        <f aca="false">IF(N569=1,"-5",IF(OR(N569=2,N569=3),"-4",IF(OR(N569=4,N569=5),"-3",IF(OR(N569=6,N569=7),"-2",IF(OR(N569=8,N569=9),"-1",IF(OR(N569=10,N569=11),"0",IF(OR(N569=12,N569=13),"+1",IF(OR(N569=14,N569=15),"+2",IF(OR(N569=16,N569=17),"+3",IF(OR(N569=18,N569=19),"+4",IF(OR(N569=20,N569=21),"+5",IF(OR(N569=22,N569=23),"+6",IF(OR(N569=24,N569=25),"+7",IF(OR(N569=26,N569=27),"+8",IF(OR(N569=28,N569=29),"+9",IF(N569=30,"+10"," "))))))))))))))))</f>
        <v>+2</v>
      </c>
      <c r="P569" s="3" t="n">
        <v>7</v>
      </c>
      <c r="Q569" s="1" t="str">
        <f aca="false">IF(P569=1,"-5",IF(OR(P569=2,P569=3),"-4",IF(OR(P569=4,P569=5),"-3",IF(OR(P569=6,P569=7),"-2",IF(OR(P569=8,P569=9),"-1",IF(OR(P569=10,P569=11),"0",IF(OR(P569=12,P569=13),"+1",IF(OR(P569=14,P569=15),"+2",IF(OR(P569=16,P569=17),"+3",IF(OR(P569=18,P569=19),"+4",IF(OR(P569=20,P569=21),"+5",IF(OR(P569=22,P569=23),"+6",IF(OR(P569=24,P569=25),"+7",IF(OR(P569=26,P569=27),"+8",IF(OR(P569=28,P569=29),"+9",IF(P569=30,"+10"," "))))))))))))))))</f>
        <v>-2</v>
      </c>
      <c r="R569" s="3" t="n">
        <v>12</v>
      </c>
      <c r="S569" s="1" t="str">
        <f aca="false">IF(R569=1,"-5",IF(OR(R569=2,R569=3),"-4",IF(OR(R569=4,R569=5),"-3",IF(OR(R569=6,R569=7),"-2",IF(OR(R569=8,R569=9),"-1",IF(OR(R569=10,R569=11),"0",IF(OR(R569=12,R569=13),"+1",IF(OR(R569=14,R569=15),"+2",IF(OR(R569=16,R569=17),"+3",IF(OR(R569=18,R569=19),"+4",IF(OR(R569=20,R569=21),"+5",IF(OR(R569=22,R569=23),"+6",IF(OR(R569=24,R569=25),"+7",IF(OR(R569=26,R569=27),"+8",IF(OR(R569=28,R569=29),"+9",IF(R569=30,"+10"," "))))))))))))))))</f>
        <v>+1</v>
      </c>
      <c r="T569" s="3" t="n">
        <v>9</v>
      </c>
      <c r="U569" s="1" t="str">
        <f aca="false">IF(T569=1,"-5",IF(OR(T569=2,T569=3),"-4",IF(OR(T569=4,T569=5),"-3",IF(OR(T569=6,T569=7),"-2",IF(OR(T569=8,T569=9),"-1",IF(OR(T569=10,T569=11),"0",IF(OR(T569=12,T569=13),"+1",IF(OR(T569=14,T569=15),"+2",IF(OR(T569=16,T569=17),"+3",IF(OR(T569=18,T569=19),"+4",IF(OR(T569=20,T569=21),"+5",IF(OR(T569=22,T569=23),"+6",IF(OR(T569=24,T569=25),"+7",IF(OR(T569=26,T569=27),"+8",IF(OR(T569=28,T569=29),"+9",IF(T569=30,"+10"," "))))))))))))))))</f>
        <v>-1</v>
      </c>
      <c r="V569" s="3" t="s">
        <v>1424</v>
      </c>
      <c r="W569" s="3" t="s">
        <v>2695</v>
      </c>
      <c r="X569" s="11" t="s">
        <v>2699</v>
      </c>
      <c r="Y569" s="11" t="s">
        <v>2700</v>
      </c>
      <c r="Z569" s="11" t="s">
        <v>37</v>
      </c>
      <c r="AA569" s="12" t="s">
        <v>37</v>
      </c>
    </row>
    <row r="570" customFormat="false" ht="16.4" hidden="false" customHeight="false" outlineLevel="0" collapsed="false">
      <c r="A570" s="15" t="s">
        <v>2701</v>
      </c>
      <c r="B570" s="3" t="s">
        <v>59</v>
      </c>
      <c r="C570" s="3" t="s">
        <v>37</v>
      </c>
      <c r="D570" s="16" t="n">
        <v>0.25</v>
      </c>
      <c r="E570" s="3" t="n">
        <f aca="false">VLOOKUP(D570,'[1]REF Tables'!$A$2:$B$40,2)</f>
        <v>50</v>
      </c>
      <c r="F570" s="3" t="s">
        <v>315</v>
      </c>
      <c r="G570" s="3" t="n">
        <v>13</v>
      </c>
      <c r="H570" s="3" t="s">
        <v>736</v>
      </c>
      <c r="I570" s="3" t="s">
        <v>42</v>
      </c>
      <c r="J570" s="3" t="n">
        <v>6</v>
      </c>
      <c r="K570" s="1" t="str">
        <f aca="false">IF(J570=1,"-5",IF(OR(J570=2,J570=3),"-4",IF(OR(J570=4,J570=5),"-3",IF(OR(J570=6,J570=7),"-2",IF(OR(J570=8,J570=9),"-1",IF(OR(J570=10,J570=11),"0",IF(OR(J570=12,J570=13),"+1",IF(OR(J570=14,J570=15),"+2",IF(OR(J570=16,J570=17),"+3",IF(OR(J570=18,J570=19),"+4",IF(OR(J570=20,J570=21),"+5",IF(OR(J570=22,J570=23),"+6",IF(OR(J570=24,J570=25),"+7",IF(OR(J570=26,J570=27),"+8",IF(OR(J570=28,J570=29),"+9",IF(J570=30,"+10"," "))))))))))))))))</f>
        <v>-2</v>
      </c>
      <c r="L570" s="3" t="n">
        <v>14</v>
      </c>
      <c r="M570" s="1" t="str">
        <f aca="false">IF(L570=1,"-5",IF(OR(L570=2,L570=3),"-4",IF(OR(L570=4,L570=5),"-3",IF(OR(L570=6,L570=7),"-2",IF(OR(L570=8,L570=9),"-1",IF(OR(L570=10,L570=11),"0",IF(OR(L570=12,L570=13),"+1",IF(OR(L570=14,L570=15),"+2",IF(OR(L570=16,L570=17),"+3",IF(OR(L570=18,L570=19),"+4",IF(OR(L570=20,L570=21),"+5",IF(OR(L570=22,L570=23),"+6",IF(OR(L570=24,L570=25),"+7",IF(OR(L570=26,L570=27),"+8",IF(OR(L570=28,L570=29),"+9",IF(L570=30,"+10"," "))))))))))))))))</f>
        <v>+2</v>
      </c>
      <c r="N570" s="3" t="n">
        <v>13</v>
      </c>
      <c r="O570" s="1" t="str">
        <f aca="false">IF(N570=1,"-5",IF(OR(N570=2,N570=3),"-4",IF(OR(N570=4,N570=5),"-3",IF(OR(N570=6,N570=7),"-2",IF(OR(N570=8,N570=9),"-1",IF(OR(N570=10,N570=11),"0",IF(OR(N570=12,N570=13),"+1",IF(OR(N570=14,N570=15),"+2",IF(OR(N570=16,N570=17),"+3",IF(OR(N570=18,N570=19),"+4",IF(OR(N570=20,N570=21),"+5",IF(OR(N570=22,N570=23),"+6",IF(OR(N570=24,N570=25),"+7",IF(OR(N570=26,N570=27),"+8",IF(OR(N570=28,N570=29),"+9",IF(N570=30,"+10"," "))))))))))))))))</f>
        <v>+1</v>
      </c>
      <c r="P570" s="3" t="n">
        <v>4</v>
      </c>
      <c r="Q570" s="1" t="str">
        <f aca="false">IF(P570=1,"-5",IF(OR(P570=2,P570=3),"-4",IF(OR(P570=4,P570=5),"-3",IF(OR(P570=6,P570=7),"-2",IF(OR(P570=8,P570=9),"-1",IF(OR(P570=10,P570=11),"0",IF(OR(P570=12,P570=13),"+1",IF(OR(P570=14,P570=15),"+2",IF(OR(P570=16,P570=17),"+3",IF(OR(P570=18,P570=19),"+4",IF(OR(P570=20,P570=21),"+5",IF(OR(P570=22,P570=23),"+6",IF(OR(P570=24,P570=25),"+7",IF(OR(P570=26,P570=27),"+8",IF(OR(P570=28,P570=29),"+9",IF(P570=30,"+10"," "))))))))))))))))</f>
        <v>-3</v>
      </c>
      <c r="R570" s="3" t="n">
        <v>12</v>
      </c>
      <c r="S570" s="1" t="str">
        <f aca="false">IF(R570=1,"-5",IF(OR(R570=2,R570=3),"-4",IF(OR(R570=4,R570=5),"-3",IF(OR(R570=6,R570=7),"-2",IF(OR(R570=8,R570=9),"-1",IF(OR(R570=10,R570=11),"0",IF(OR(R570=12,R570=13),"+1",IF(OR(R570=14,R570=15),"+2",IF(OR(R570=16,R570=17),"+3",IF(OR(R570=18,R570=19),"+4",IF(OR(R570=20,R570=21),"+5",IF(OR(R570=22,R570=23),"+6",IF(OR(R570=24,R570=25),"+7",IF(OR(R570=26,R570=27),"+8",IF(OR(R570=28,R570=29),"+9",IF(R570=30,"+10"," "))))))))))))))))</f>
        <v>+1</v>
      </c>
      <c r="T570" s="3" t="n">
        <v>6</v>
      </c>
      <c r="U570" s="1" t="str">
        <f aca="false">IF(T570=1,"-5",IF(OR(T570=2,T570=3),"-4",IF(OR(T570=4,T570=5),"-3",IF(OR(T570=6,T570=7),"-2",IF(OR(T570=8,T570=9),"-1",IF(OR(T570=10,T570=11),"0",IF(OR(T570=12,T570=13),"+1",IF(OR(T570=14,T570=15),"+2",IF(OR(T570=16,T570=17),"+3",IF(OR(T570=18,T570=19),"+4",IF(OR(T570=20,T570=21),"+5",IF(OR(T570=22,T570=23),"+6",IF(OR(T570=24,T570=25),"+7",IF(OR(T570=26,T570=27),"+8",IF(OR(T570=28,T570=29),"+9",IF(T570=30,"+10"," "))))))))))))))))</f>
        <v>-2</v>
      </c>
      <c r="V570" s="3" t="s">
        <v>416</v>
      </c>
      <c r="W570" s="3" t="s">
        <v>37</v>
      </c>
      <c r="X570" s="11" t="s">
        <v>2702</v>
      </c>
      <c r="Y570" s="11" t="s">
        <v>2703</v>
      </c>
      <c r="Z570" s="11" t="s">
        <v>37</v>
      </c>
      <c r="AA570" s="12" t="s">
        <v>37</v>
      </c>
    </row>
    <row r="571" customFormat="false" ht="16.4" hidden="false" customHeight="false" outlineLevel="0" collapsed="false">
      <c r="A571" s="15" t="s">
        <v>2704</v>
      </c>
      <c r="B571" s="3" t="s">
        <v>105</v>
      </c>
      <c r="C571" s="3" t="s">
        <v>37</v>
      </c>
      <c r="D571" s="16" t="n">
        <v>15</v>
      </c>
      <c r="E571" s="6" t="n">
        <f aca="false">VLOOKUP(D571,'[1]REF Tables'!$A$2:$B$40,2)</f>
        <v>13000</v>
      </c>
      <c r="F571" s="3" t="s">
        <v>601</v>
      </c>
      <c r="G571" s="3" t="n">
        <v>18</v>
      </c>
      <c r="H571" s="3" t="s">
        <v>2705</v>
      </c>
      <c r="I571" s="3" t="s">
        <v>2706</v>
      </c>
      <c r="J571" s="3" t="n">
        <v>28</v>
      </c>
      <c r="K571" s="1" t="str">
        <f aca="false">IF(J571=1,"-5",IF(OR(J571=2,J571=3),"-4",IF(OR(J571=4,J571=5),"-3",IF(OR(J571=6,J571=7),"-2",IF(OR(J571=8,J571=9),"-1",IF(OR(J571=10,J571=11),"0",IF(OR(J571=12,J571=13),"+1",IF(OR(J571=14,J571=15),"+2",IF(OR(J571=16,J571=17),"+3",IF(OR(J571=18,J571=19),"+4",IF(OR(J571=20,J571=21),"+5",IF(OR(J571=22,J571=23),"+6",IF(OR(J571=24,J571=25),"+7",IF(OR(J571=26,J571=27),"+8",IF(OR(J571=28,J571=29),"+9",IF(J571=30,"+10"," "))))))))))))))))</f>
        <v>+9</v>
      </c>
      <c r="L571" s="3" t="n">
        <v>7</v>
      </c>
      <c r="M571" s="1" t="str">
        <f aca="false">IF(L571=1,"-5",IF(OR(L571=2,L571=3),"-4",IF(OR(L571=4,L571=5),"-3",IF(OR(L571=6,L571=7),"-2",IF(OR(L571=8,L571=9),"-1",IF(OR(L571=10,L571=11),"0",IF(OR(L571=12,L571=13),"+1",IF(OR(L571=14,L571=15),"+2",IF(OR(L571=16,L571=17),"+3",IF(OR(L571=18,L571=19),"+4",IF(OR(L571=20,L571=21),"+5",IF(OR(L571=22,L571=23),"+6",IF(OR(L571=24,L571=25),"+7",IF(OR(L571=26,L571=27),"+8",IF(OR(L571=28,L571=29),"+9",IF(L571=30,"+10"," "))))))))))))))))</f>
        <v>-2</v>
      </c>
      <c r="N571" s="3" t="n">
        <v>22</v>
      </c>
      <c r="O571" s="1" t="str">
        <f aca="false">IF(N571=1,"-5",IF(OR(N571=2,N571=3),"-4",IF(OR(N571=4,N571=5),"-3",IF(OR(N571=6,N571=7),"-2",IF(OR(N571=8,N571=9),"-1",IF(OR(N571=10,N571=11),"0",IF(OR(N571=12,N571=13),"+1",IF(OR(N571=14,N571=15),"+2",IF(OR(N571=16,N571=17),"+3",IF(OR(N571=18,N571=19),"+4",IF(OR(N571=20,N571=21),"+5",IF(OR(N571=22,N571=23),"+6",IF(OR(N571=24,N571=25),"+7",IF(OR(N571=26,N571=27),"+8",IF(OR(N571=28,N571=29),"+9",IF(N571=30,"+10"," "))))))))))))))))</f>
        <v>+6</v>
      </c>
      <c r="P571" s="3" t="n">
        <v>1</v>
      </c>
      <c r="Q571" s="1" t="str">
        <f aca="false">IF(P571=1,"-5",IF(OR(P571=2,P571=3),"-4",IF(OR(P571=4,P571=5),"-3",IF(OR(P571=6,P571=7),"-2",IF(OR(P571=8,P571=9),"-1",IF(OR(P571=10,P571=11),"0",IF(OR(P571=12,P571=13),"+1",IF(OR(P571=14,P571=15),"+2",IF(OR(P571=16,P571=17),"+3",IF(OR(P571=18,P571=19),"+4",IF(OR(P571=20,P571=21),"+5",IF(OR(P571=22,P571=23),"+6",IF(OR(P571=24,P571=25),"+7",IF(OR(P571=26,P571=27),"+8",IF(OR(P571=28,P571=29),"+9",IF(P571=30,"+10"," "))))))))))))))))</f>
        <v>-5</v>
      </c>
      <c r="R571" s="3" t="n">
        <v>8</v>
      </c>
      <c r="S571" s="1" t="str">
        <f aca="false">IF(R571=1,"-5",IF(OR(R571=2,R571=3),"-4",IF(OR(R571=4,R571=5),"-3",IF(OR(R571=6,R571=7),"-2",IF(OR(R571=8,R571=9),"-1",IF(OR(R571=10,R571=11),"0",IF(OR(R571=12,R571=13),"+1",IF(OR(R571=14,R571=15),"+2",IF(OR(R571=16,R571=17),"+3",IF(OR(R571=18,R571=19),"+4",IF(OR(R571=20,R571=21),"+5",IF(OR(R571=22,R571=23),"+6",IF(OR(R571=24,R571=25),"+7",IF(OR(R571=26,R571=27),"+8",IF(OR(R571=28,R571=29),"+9",IF(R571=30,"+10"," "))))))))))))))))</f>
        <v>-1</v>
      </c>
      <c r="T571" s="3" t="n">
        <v>4</v>
      </c>
      <c r="U571" s="1" t="str">
        <f aca="false">IF(T571=1,"-5",IF(OR(T571=2,T571=3),"-4",IF(OR(T571=4,T571=5),"-3",IF(OR(T571=6,T571=7),"-2",IF(OR(T571=8,T571=9),"-1",IF(OR(T571=10,T571=11),"0",IF(OR(T571=12,T571=13),"+1",IF(OR(T571=14,T571=15),"+2",IF(OR(T571=16,T571=17),"+3",IF(OR(T571=18,T571=19),"+4",IF(OR(T571=20,T571=21),"+5",IF(OR(T571=22,T571=23),"+6",IF(OR(T571=24,T571=25),"+7",IF(OR(T571=26,T571=27),"+8",IF(OR(T571=28,T571=29),"+9",IF(T571=30,"+10"," "))))))))))))))))</f>
        <v>-3</v>
      </c>
      <c r="V571" s="3" t="s">
        <v>2707</v>
      </c>
      <c r="W571" s="3" t="s">
        <v>37</v>
      </c>
      <c r="X571" s="11" t="s">
        <v>2708</v>
      </c>
      <c r="Y571" s="11" t="s">
        <v>2709</v>
      </c>
      <c r="Z571" s="11" t="s">
        <v>37</v>
      </c>
      <c r="AA571" s="12" t="s">
        <v>37</v>
      </c>
    </row>
    <row r="572" customFormat="false" ht="16.4" hidden="false" customHeight="false" outlineLevel="0" collapsed="false">
      <c r="A572" s="15" t="s">
        <v>2710</v>
      </c>
      <c r="B572" s="3" t="s">
        <v>39</v>
      </c>
      <c r="C572" s="3" t="s">
        <v>40</v>
      </c>
      <c r="D572" s="16" t="n">
        <v>3</v>
      </c>
      <c r="E572" s="3" t="n">
        <f aca="false">VLOOKUP(D572,'[1]REF Tables'!$A$2:$B$40,2)</f>
        <v>700</v>
      </c>
      <c r="F572" s="3" t="s">
        <v>30</v>
      </c>
      <c r="G572" s="3" t="n">
        <v>17</v>
      </c>
      <c r="H572" s="3" t="s">
        <v>343</v>
      </c>
      <c r="I572" s="3" t="s">
        <v>42</v>
      </c>
      <c r="J572" s="3" t="n">
        <v>16</v>
      </c>
      <c r="K572" s="1" t="str">
        <f aca="false">IF(J572=1,"-5",IF(OR(J572=2,J572=3),"-4",IF(OR(J572=4,J572=5),"-3",IF(OR(J572=6,J572=7),"-2",IF(OR(J572=8,J572=9),"-1",IF(OR(J572=10,J572=11),"0",IF(OR(J572=12,J572=13),"+1",IF(OR(J572=14,J572=15),"+2",IF(OR(J572=16,J572=17),"+3",IF(OR(J572=18,J572=19),"+4",IF(OR(J572=20,J572=21),"+5",IF(OR(J572=22,J572=23),"+6",IF(OR(J572=24,J572=25),"+7",IF(OR(J572=26,J572=27),"+8",IF(OR(J572=28,J572=29),"+9",IF(J572=30,"+10"," "))))))))))))))))</f>
        <v>+3</v>
      </c>
      <c r="L572" s="3" t="n">
        <v>13</v>
      </c>
      <c r="M572" s="1" t="str">
        <f aca="false">IF(L572=1,"-5",IF(OR(L572=2,L572=3),"-4",IF(OR(L572=4,L572=5),"-3",IF(OR(L572=6,L572=7),"-2",IF(OR(L572=8,L572=9),"-1",IF(OR(L572=10,L572=11),"0",IF(OR(L572=12,L572=13),"+1",IF(OR(L572=14,L572=15),"+2",IF(OR(L572=16,L572=17),"+3",IF(OR(L572=18,L572=19),"+4",IF(OR(L572=20,L572=21),"+5",IF(OR(L572=22,L572=23),"+6",IF(OR(L572=24,L572=25),"+7",IF(OR(L572=26,L572=27),"+8",IF(OR(L572=28,L572=29),"+9",IF(L572=30,"+10"," "))))))))))))))))</f>
        <v>+1</v>
      </c>
      <c r="N572" s="3" t="n">
        <v>14</v>
      </c>
      <c r="O572" s="1" t="str">
        <f aca="false">IF(N572=1,"-5",IF(OR(N572=2,N572=3),"-4",IF(OR(N572=4,N572=5),"-3",IF(OR(N572=6,N572=7),"-2",IF(OR(N572=8,N572=9),"-1",IF(OR(N572=10,N572=11),"0",IF(OR(N572=12,N572=13),"+1",IF(OR(N572=14,N572=15),"+2",IF(OR(N572=16,N572=17),"+3",IF(OR(N572=18,N572=19),"+4",IF(OR(N572=20,N572=21),"+5",IF(OR(N572=22,N572=23),"+6",IF(OR(N572=24,N572=25),"+7",IF(OR(N572=26,N572=27),"+8",IF(OR(N572=28,N572=29),"+9",IF(N572=30,"+10"," "))))))))))))))))</f>
        <v>+2</v>
      </c>
      <c r="P572" s="3" t="n">
        <v>10</v>
      </c>
      <c r="Q572" s="1" t="str">
        <f aca="false">IF(P572=1,"-5",IF(OR(P572=2,P572=3),"-4",IF(OR(P572=4,P572=5),"-3",IF(OR(P572=6,P572=7),"-2",IF(OR(P572=8,P572=9),"-1",IF(OR(P572=10,P572=11),"0",IF(OR(P572=12,P572=13),"+1",IF(OR(P572=14,P572=15),"+2",IF(OR(P572=16,P572=17),"+3",IF(OR(P572=18,P572=19),"+4",IF(OR(P572=20,P572=21),"+5",IF(OR(P572=22,P572=23),"+6",IF(OR(P572=24,P572=25),"+7",IF(OR(P572=26,P572=27),"+8",IF(OR(P572=28,P572=29),"+9",IF(P572=30,"+10"," "))))))))))))))))</f>
        <v>0</v>
      </c>
      <c r="R572" s="3" t="n">
        <v>11</v>
      </c>
      <c r="S572" s="1" t="str">
        <f aca="false">IF(R572=1,"-5",IF(OR(R572=2,R572=3),"-4",IF(OR(R572=4,R572=5),"-3",IF(OR(R572=6,R572=7),"-2",IF(OR(R572=8,R572=9),"-1",IF(OR(R572=10,R572=11),"0",IF(OR(R572=12,R572=13),"+1",IF(OR(R572=14,R572=15),"+2",IF(OR(R572=16,R572=17),"+3",IF(OR(R572=18,R572=19),"+4",IF(OR(R572=20,R572=21),"+5",IF(OR(R572=22,R572=23),"+6",IF(OR(R572=24,R572=25),"+7",IF(OR(R572=26,R572=27),"+8",IF(OR(R572=28,R572=29),"+9",IF(R572=30,"+10"," "))))))))))))))))</f>
        <v>0</v>
      </c>
      <c r="T572" s="3" t="n">
        <v>10</v>
      </c>
      <c r="U572" s="1" t="str">
        <f aca="false">IF(T572=1,"-5",IF(OR(T572=2,T572=3),"-4",IF(OR(T572=4,T572=5),"-3",IF(OR(T572=6,T572=7),"-2",IF(OR(T572=8,T572=9),"-1",IF(OR(T572=10,T572=11),"0",IF(OR(T572=12,T572=13),"+1",IF(OR(T572=14,T572=15),"+2",IF(OR(T572=16,T572=17),"+3",IF(OR(T572=18,T572=19),"+4",IF(OR(T572=20,T572=21),"+5",IF(OR(T572=22,T572=23),"+6",IF(OR(T572=24,T572=25),"+7",IF(OR(T572=26,T572=27),"+8",IF(OR(T572=28,T572=29),"+9",IF(T572=30,"+10"," "))))))))))))))))</f>
        <v>0</v>
      </c>
      <c r="V572" s="3" t="s">
        <v>2711</v>
      </c>
      <c r="W572" s="3" t="s">
        <v>66</v>
      </c>
      <c r="X572" s="11" t="s">
        <v>475</v>
      </c>
      <c r="Y572" s="11" t="s">
        <v>2712</v>
      </c>
      <c r="Z572" s="11" t="s">
        <v>37</v>
      </c>
      <c r="AA572" s="12" t="s">
        <v>37</v>
      </c>
    </row>
    <row r="573" customFormat="false" ht="16.4" hidden="false" customHeight="false" outlineLevel="0" collapsed="false">
      <c r="A573" s="15" t="s">
        <v>2713</v>
      </c>
      <c r="B573" s="3" t="s">
        <v>356</v>
      </c>
      <c r="C573" s="3" t="s">
        <v>85</v>
      </c>
      <c r="D573" s="16" t="n">
        <v>2</v>
      </c>
      <c r="E573" s="3" t="n">
        <f aca="false">VLOOKUP(D573,'[1]REF Tables'!$A$2:$B$40,2)</f>
        <v>450</v>
      </c>
      <c r="F573" s="3" t="s">
        <v>165</v>
      </c>
      <c r="G573" s="3" t="n">
        <v>15</v>
      </c>
      <c r="H573" s="3" t="s">
        <v>2714</v>
      </c>
      <c r="I573" s="3" t="s">
        <v>42</v>
      </c>
      <c r="J573" s="3" t="n">
        <v>7</v>
      </c>
      <c r="K573" s="1" t="str">
        <f aca="false">IF(J573=1,"-5",IF(OR(J573=2,J573=3),"-4",IF(OR(J573=4,J573=5),"-3",IF(OR(J573=6,J573=7),"-2",IF(OR(J573=8,J573=9),"-1",IF(OR(J573=10,J573=11),"0",IF(OR(J573=12,J573=13),"+1",IF(OR(J573=14,J573=15),"+2",IF(OR(J573=16,J573=17),"+3",IF(OR(J573=18,J573=19),"+4",IF(OR(J573=20,J573=21),"+5",IF(OR(J573=22,J573=23),"+6",IF(OR(J573=24,J573=25),"+7",IF(OR(J573=26,J573=27),"+8",IF(OR(J573=28,J573=29),"+9",IF(J573=30,"+10"," "))))))))))))))))</f>
        <v>-2</v>
      </c>
      <c r="L573" s="3" t="n">
        <v>15</v>
      </c>
      <c r="M573" s="1" t="str">
        <f aca="false">IF(L573=1,"-5",IF(OR(L573=2,L573=3),"-4",IF(OR(L573=4,L573=5),"-3",IF(OR(L573=6,L573=7),"-2",IF(OR(L573=8,L573=9),"-1",IF(OR(L573=10,L573=11),"0",IF(OR(L573=12,L573=13),"+1",IF(OR(L573=14,L573=15),"+2",IF(OR(L573=16,L573=17),"+3",IF(OR(L573=18,L573=19),"+4",IF(OR(L573=20,L573=21),"+5",IF(OR(L573=22,L573=23),"+6",IF(OR(L573=24,L573=25),"+7",IF(OR(L573=26,L573=27),"+8",IF(OR(L573=28,L573=29),"+9",IF(L573=30,"+10"," "))))))))))))))))</f>
        <v>+2</v>
      </c>
      <c r="N573" s="3" t="n">
        <v>12</v>
      </c>
      <c r="O573" s="1" t="str">
        <f aca="false">IF(N573=1,"-5",IF(OR(N573=2,N573=3),"-4",IF(OR(N573=4,N573=5),"-3",IF(OR(N573=6,N573=7),"-2",IF(OR(N573=8,N573=9),"-1",IF(OR(N573=10,N573=11),"0",IF(OR(N573=12,N573=13),"+1",IF(OR(N573=14,N573=15),"+2",IF(OR(N573=16,N573=17),"+3",IF(OR(N573=18,N573=19),"+4",IF(OR(N573=20,N573=21),"+5",IF(OR(N573=22,N573=23),"+6",IF(OR(N573=24,N573=25),"+7",IF(OR(N573=26,N573=27),"+8",IF(OR(N573=28,N573=29),"+9",IF(N573=30,"+10"," "))))))))))))))))</f>
        <v>+1</v>
      </c>
      <c r="P573" s="3" t="n">
        <v>11</v>
      </c>
      <c r="Q573" s="1" t="str">
        <f aca="false">IF(P573=1,"-5",IF(OR(P573=2,P573=3),"-4",IF(OR(P573=4,P573=5),"-3",IF(OR(P573=6,P573=7),"-2",IF(OR(P573=8,P573=9),"-1",IF(OR(P573=10,P573=11),"0",IF(OR(P573=12,P573=13),"+1",IF(OR(P573=14,P573=15),"+2",IF(OR(P573=16,P573=17),"+3",IF(OR(P573=18,P573=19),"+4",IF(OR(P573=20,P573=21),"+5",IF(OR(P573=22,P573=23),"+6",IF(OR(P573=24,P573=25),"+7",IF(OR(P573=26,P573=27),"+8",IF(OR(P573=28,P573=29),"+9",IF(P573=30,"+10"," "))))))))))))))))</f>
        <v>0</v>
      </c>
      <c r="R573" s="3" t="n">
        <v>10</v>
      </c>
      <c r="S573" s="1" t="str">
        <f aca="false">IF(R573=1,"-5",IF(OR(R573=2,R573=3),"-4",IF(OR(R573=4,R573=5),"-3",IF(OR(R573=6,R573=7),"-2",IF(OR(R573=8,R573=9),"-1",IF(OR(R573=10,R573=11),"0",IF(OR(R573=12,R573=13),"+1",IF(OR(R573=14,R573=15),"+2",IF(OR(R573=16,R573=17),"+3",IF(OR(R573=18,R573=19),"+4",IF(OR(R573=20,R573=21),"+5",IF(OR(R573=22,R573=23),"+6",IF(OR(R573=24,R573=25),"+7",IF(OR(R573=26,R573=27),"+8",IF(OR(R573=28,R573=29),"+9",IF(R573=30,"+10"," "))))))))))))))))</f>
        <v>0</v>
      </c>
      <c r="T573" s="3" t="n">
        <v>8</v>
      </c>
      <c r="U573" s="1" t="str">
        <f aca="false">IF(T573=1,"-5",IF(OR(T573=2,T573=3),"-4",IF(OR(T573=4,T573=5),"-3",IF(OR(T573=6,T573=7),"-2",IF(OR(T573=8,T573=9),"-1",IF(OR(T573=10,T573=11),"0",IF(OR(T573=12,T573=13),"+1",IF(OR(T573=14,T573=15),"+2",IF(OR(T573=16,T573=17),"+3",IF(OR(T573=18,T573=19),"+4",IF(OR(T573=20,T573=21),"+5",IF(OR(T573=22,T573=23),"+6",IF(OR(T573=24,T573=25),"+7",IF(OR(T573=26,T573=27),"+8",IF(OR(T573=28,T573=29),"+9",IF(T573=30,"+10"," "))))))))))))))))</f>
        <v>-1</v>
      </c>
      <c r="V573" s="3" t="s">
        <v>2715</v>
      </c>
      <c r="W573" s="3" t="s">
        <v>1936</v>
      </c>
      <c r="X573" s="11" t="s">
        <v>2716</v>
      </c>
      <c r="Y573" s="11" t="s">
        <v>2717</v>
      </c>
      <c r="Z573" s="11" t="s">
        <v>37</v>
      </c>
      <c r="AA573" s="12" t="s">
        <v>37</v>
      </c>
    </row>
    <row r="574" customFormat="false" ht="16.4" hidden="false" customHeight="false" outlineLevel="0" collapsed="false">
      <c r="A574" s="15" t="s">
        <v>2718</v>
      </c>
      <c r="B574" s="3" t="s">
        <v>221</v>
      </c>
      <c r="C574" s="3" t="s">
        <v>222</v>
      </c>
      <c r="D574" s="16" t="n">
        <v>6</v>
      </c>
      <c r="E574" s="6" t="n">
        <f aca="false">VLOOKUP(D574,'[1]REF Tables'!$A$2:$B$40,2)</f>
        <v>2300</v>
      </c>
      <c r="F574" s="3" t="s">
        <v>50</v>
      </c>
      <c r="G574" s="3" t="n">
        <v>15</v>
      </c>
      <c r="H574" s="3" t="s">
        <v>2719</v>
      </c>
      <c r="I574" s="3" t="s">
        <v>108</v>
      </c>
      <c r="J574" s="3" t="n">
        <v>17</v>
      </c>
      <c r="K574" s="1" t="str">
        <f aca="false">IF(J574=1,"-5",IF(OR(J574=2,J574=3),"-4",IF(OR(J574=4,J574=5),"-3",IF(OR(J574=6,J574=7),"-2",IF(OR(J574=8,J574=9),"-1",IF(OR(J574=10,J574=11),"0",IF(OR(J574=12,J574=13),"+1",IF(OR(J574=14,J574=15),"+2",IF(OR(J574=16,J574=17),"+3",IF(OR(J574=18,J574=19),"+4",IF(OR(J574=20,J574=21),"+5",IF(OR(J574=22,J574=23),"+6",IF(OR(J574=24,J574=25),"+7",IF(OR(J574=26,J574=27),"+8",IF(OR(J574=28,J574=29),"+9",IF(J574=30,"+10"," "))))))))))))))))</f>
        <v>+3</v>
      </c>
      <c r="L574" s="3" t="n">
        <v>15</v>
      </c>
      <c r="M574" s="1" t="str">
        <f aca="false">IF(L574=1,"-5",IF(OR(L574=2,L574=3),"-4",IF(OR(L574=4,L574=5),"-3",IF(OR(L574=6,L574=7),"-2",IF(OR(L574=8,L574=9),"-1",IF(OR(L574=10,L574=11),"0",IF(OR(L574=12,L574=13),"+1",IF(OR(L574=14,L574=15),"+2",IF(OR(L574=16,L574=17),"+3",IF(OR(L574=18,L574=19),"+4",IF(OR(L574=20,L574=21),"+5",IF(OR(L574=22,L574=23),"+6",IF(OR(L574=24,L574=25),"+7",IF(OR(L574=26,L574=27),"+8",IF(OR(L574=28,L574=29),"+9",IF(L574=30,"+10"," "))))))))))))))))</f>
        <v>+2</v>
      </c>
      <c r="N574" s="3" t="n">
        <v>18</v>
      </c>
      <c r="O574" s="1" t="str">
        <f aca="false">IF(N574=1,"-5",IF(OR(N574=2,N574=3),"-4",IF(OR(N574=4,N574=5),"-3",IF(OR(N574=6,N574=7),"-2",IF(OR(N574=8,N574=9),"-1",IF(OR(N574=10,N574=11),"0",IF(OR(N574=12,N574=13),"+1",IF(OR(N574=14,N574=15),"+2",IF(OR(N574=16,N574=17),"+3",IF(OR(N574=18,N574=19),"+4",IF(OR(N574=20,N574=21),"+5",IF(OR(N574=22,N574=23),"+6",IF(OR(N574=24,N574=25),"+7",IF(OR(N574=26,N574=27),"+8",IF(OR(N574=28,N574=29),"+9",IF(N574=30,"+10"," "))))))))))))))))</f>
        <v>+4</v>
      </c>
      <c r="P574" s="3" t="n">
        <v>8</v>
      </c>
      <c r="Q574" s="1" t="str">
        <f aca="false">IF(P574=1,"-5",IF(OR(P574=2,P574=3),"-4",IF(OR(P574=4,P574=5),"-3",IF(OR(P574=6,P574=7),"-2",IF(OR(P574=8,P574=9),"-1",IF(OR(P574=10,P574=11),"0",IF(OR(P574=12,P574=13),"+1",IF(OR(P574=14,P574=15),"+2",IF(OR(P574=16,P574=17),"+3",IF(OR(P574=18,P574=19),"+4",IF(OR(P574=20,P574=21),"+5",IF(OR(P574=22,P574=23),"+6",IF(OR(P574=24,P574=25),"+7",IF(OR(P574=26,P574=27),"+8",IF(OR(P574=28,P574=29),"+9",IF(P574=30,"+10"," "))))))))))))))))</f>
        <v>-1</v>
      </c>
      <c r="R574" s="3" t="n">
        <v>13</v>
      </c>
      <c r="S574" s="1" t="str">
        <f aca="false">IF(R574=1,"-5",IF(OR(R574=2,R574=3),"-4",IF(OR(R574=4,R574=5),"-3",IF(OR(R574=6,R574=7),"-2",IF(OR(R574=8,R574=9),"-1",IF(OR(R574=10,R574=11),"0",IF(OR(R574=12,R574=13),"+1",IF(OR(R574=14,R574=15),"+2",IF(OR(R574=16,R574=17),"+3",IF(OR(R574=18,R574=19),"+4",IF(OR(R574=20,R574=21),"+5",IF(OR(R574=22,R574=23),"+6",IF(OR(R574=24,R574=25),"+7",IF(OR(R574=26,R574=27),"+8",IF(OR(R574=28,R574=29),"+9",IF(R574=30,"+10"," "))))))))))))))))</f>
        <v>+1</v>
      </c>
      <c r="T574" s="3" t="n">
        <v>8</v>
      </c>
      <c r="U574" s="1" t="str">
        <f aca="false">IF(T574=1,"-5",IF(OR(T574=2,T574=3),"-4",IF(OR(T574=4,T574=5),"-3",IF(OR(T574=6,T574=7),"-2",IF(OR(T574=8,T574=9),"-1",IF(OR(T574=10,T574=11),"0",IF(OR(T574=12,T574=13),"+1",IF(OR(T574=14,T574=15),"+2",IF(OR(T574=16,T574=17),"+3",IF(OR(T574=18,T574=19),"+4",IF(OR(T574=20,T574=21),"+5",IF(OR(T574=22,T574=23),"+6",IF(OR(T574=24,T574=25),"+7",IF(OR(T574=26,T574=27),"+8",IF(OR(T574=28,T574=29),"+9",IF(T574=30,"+10"," "))))))))))))))))</f>
        <v>-1</v>
      </c>
      <c r="V574" s="3" t="s">
        <v>2720</v>
      </c>
      <c r="W574" s="3" t="s">
        <v>1409</v>
      </c>
      <c r="X574" s="11" t="s">
        <v>2721</v>
      </c>
      <c r="Y574" s="11" t="s">
        <v>2722</v>
      </c>
      <c r="Z574" s="11" t="s">
        <v>37</v>
      </c>
      <c r="AA574" s="12" t="s">
        <v>37</v>
      </c>
    </row>
    <row r="575" customFormat="false" ht="16.4" hidden="false" customHeight="false" outlineLevel="0" collapsed="false">
      <c r="A575" s="15" t="s">
        <v>2723</v>
      </c>
      <c r="B575" s="3" t="s">
        <v>938</v>
      </c>
      <c r="C575" s="3" t="s">
        <v>37</v>
      </c>
      <c r="D575" s="16" t="n">
        <v>6</v>
      </c>
      <c r="E575" s="6" t="n">
        <f aca="false">VLOOKUP(D575,'[1]REF Tables'!$A$2:$B$40,2)</f>
        <v>2300</v>
      </c>
      <c r="F575" s="3" t="s">
        <v>50</v>
      </c>
      <c r="G575" s="3" t="n">
        <v>13</v>
      </c>
      <c r="H575" s="3" t="s">
        <v>848</v>
      </c>
      <c r="I575" s="3" t="s">
        <v>2724</v>
      </c>
      <c r="J575" s="3" t="n">
        <v>19</v>
      </c>
      <c r="K575" s="1" t="str">
        <f aca="false">IF(J575=1,"-5",IF(OR(J575=2,J575=3),"-4",IF(OR(J575=4,J575=5),"-3",IF(OR(J575=6,J575=7),"-2",IF(OR(J575=8,J575=9),"-1",IF(OR(J575=10,J575=11),"0",IF(OR(J575=12,J575=13),"+1",IF(OR(J575=14,J575=15),"+2",IF(OR(J575=16,J575=17),"+3",IF(OR(J575=18,J575=19),"+4",IF(OR(J575=20,J575=21),"+5",IF(OR(J575=22,J575=23),"+6",IF(OR(J575=24,J575=25),"+7",IF(OR(J575=26,J575=27),"+8",IF(OR(J575=28,J575=29),"+9",IF(J575=30,"+10"," "))))))))))))))))</f>
        <v>+4</v>
      </c>
      <c r="L575" s="3" t="n">
        <v>10</v>
      </c>
      <c r="M575" s="1" t="str">
        <f aca="false">IF(L575=1,"-5",IF(OR(L575=2,L575=3),"-4",IF(OR(L575=4,L575=5),"-3",IF(OR(L575=6,L575=7),"-2",IF(OR(L575=8,L575=9),"-1",IF(OR(L575=10,L575=11),"0",IF(OR(L575=12,L575=13),"+1",IF(OR(L575=14,L575=15),"+2",IF(OR(L575=16,L575=17),"+3",IF(OR(L575=18,L575=19),"+4",IF(OR(L575=20,L575=21),"+5",IF(OR(L575=22,L575=23),"+6",IF(OR(L575=24,L575=25),"+7",IF(OR(L575=26,L575=27),"+8",IF(OR(L575=28,L575=29),"+9",IF(L575=30,"+10"," "))))))))))))))))</f>
        <v>0</v>
      </c>
      <c r="N575" s="3" t="n">
        <v>16</v>
      </c>
      <c r="O575" s="1" t="str">
        <f aca="false">IF(N575=1,"-5",IF(OR(N575=2,N575=3),"-4",IF(OR(N575=4,N575=5),"-3",IF(OR(N575=6,N575=7),"-2",IF(OR(N575=8,N575=9),"-1",IF(OR(N575=10,N575=11),"0",IF(OR(N575=12,N575=13),"+1",IF(OR(N575=14,N575=15),"+2",IF(OR(N575=16,N575=17),"+3",IF(OR(N575=18,N575=19),"+4",IF(OR(N575=20,N575=21),"+5",IF(OR(N575=22,N575=23),"+6",IF(OR(N575=24,N575=25),"+7",IF(OR(N575=26,N575=27),"+8",IF(OR(N575=28,N575=29),"+9",IF(N575=30,"+10"," "))))))))))))))))</f>
        <v>+3</v>
      </c>
      <c r="P575" s="3" t="n">
        <v>5</v>
      </c>
      <c r="Q575" s="1" t="str">
        <f aca="false">IF(P575=1,"-5",IF(OR(P575=2,P575=3),"-4",IF(OR(P575=4,P575=5),"-3",IF(OR(P575=6,P575=7),"-2",IF(OR(P575=8,P575=9),"-1",IF(OR(P575=10,P575=11),"0",IF(OR(P575=12,P575=13),"+1",IF(OR(P575=14,P575=15),"+2",IF(OR(P575=16,P575=17),"+3",IF(OR(P575=18,P575=19),"+4",IF(OR(P575=20,P575=21),"+5",IF(OR(P575=22,P575=23),"+6",IF(OR(P575=24,P575=25),"+7",IF(OR(P575=26,P575=27),"+8",IF(OR(P575=28,P575=29),"+9",IF(P575=30,"+10"," "))))))))))))))))</f>
        <v>-3</v>
      </c>
      <c r="R575" s="3" t="n">
        <v>12</v>
      </c>
      <c r="S575" s="1" t="str">
        <f aca="false">IF(R575=1,"-5",IF(OR(R575=2,R575=3),"-4",IF(OR(R575=4,R575=5),"-3",IF(OR(R575=6,R575=7),"-2",IF(OR(R575=8,R575=9),"-1",IF(OR(R575=10,R575=11),"0",IF(OR(R575=12,R575=13),"+1",IF(OR(R575=14,R575=15),"+2",IF(OR(R575=16,R575=17),"+3",IF(OR(R575=18,R575=19),"+4",IF(OR(R575=20,R575=21),"+5",IF(OR(R575=22,R575=23),"+6",IF(OR(R575=24,R575=25),"+7",IF(OR(R575=26,R575=27),"+8",IF(OR(R575=28,R575=29),"+9",IF(R575=30,"+10"," "))))))))))))))))</f>
        <v>+1</v>
      </c>
      <c r="T575" s="3" t="n">
        <v>6</v>
      </c>
      <c r="U575" s="1" t="str">
        <f aca="false">IF(T575=1,"-5",IF(OR(T575=2,T575=3),"-4",IF(OR(T575=4,T575=5),"-3",IF(OR(T575=6,T575=7),"-2",IF(OR(T575=8,T575=9),"-1",IF(OR(T575=10,T575=11),"0",IF(OR(T575=12,T575=13),"+1",IF(OR(T575=14,T575=15),"+2",IF(OR(T575=16,T575=17),"+3",IF(OR(T575=18,T575=19),"+4",IF(OR(T575=20,T575=21),"+5",IF(OR(T575=22,T575=23),"+6",IF(OR(T575=24,T575=25),"+7",IF(OR(T575=26,T575=27),"+8",IF(OR(T575=28,T575=29),"+9",IF(T575=30,"+10"," "))))))))))))))))</f>
        <v>-2</v>
      </c>
      <c r="V575" s="3" t="s">
        <v>72</v>
      </c>
      <c r="W575" s="3" t="s">
        <v>37</v>
      </c>
      <c r="X575" s="11" t="s">
        <v>2725</v>
      </c>
      <c r="Y575" s="11" t="s">
        <v>2726</v>
      </c>
      <c r="Z575" s="11" t="s">
        <v>37</v>
      </c>
      <c r="AA575" s="12" t="s">
        <v>37</v>
      </c>
    </row>
    <row r="576" customFormat="false" ht="16.4" hidden="false" customHeight="false" outlineLevel="0" collapsed="false">
      <c r="A576" s="15" t="s">
        <v>2727</v>
      </c>
      <c r="B576" s="3" t="s">
        <v>105</v>
      </c>
      <c r="C576" s="3" t="s">
        <v>85</v>
      </c>
      <c r="D576" s="16" t="n">
        <v>0.5</v>
      </c>
      <c r="E576" s="3" t="n">
        <f aca="false">VLOOKUP(D576,'[1]REF Tables'!$A$2:$B$40,2)</f>
        <v>100</v>
      </c>
      <c r="F576" s="3" t="s">
        <v>50</v>
      </c>
      <c r="G576" s="3" t="n">
        <v>13</v>
      </c>
      <c r="H576" s="3" t="s">
        <v>2728</v>
      </c>
      <c r="I576" s="3" t="s">
        <v>210</v>
      </c>
      <c r="J576" s="3" t="n">
        <v>16</v>
      </c>
      <c r="K576" s="1" t="str">
        <f aca="false">IF(J576=1,"-5",IF(OR(J576=2,J576=3),"-4",IF(OR(J576=4,J576=5),"-3",IF(OR(J576=6,J576=7),"-2",IF(OR(J576=8,J576=9),"-1",IF(OR(J576=10,J576=11),"0",IF(OR(J576=12,J576=13),"+1",IF(OR(J576=14,J576=15),"+2",IF(OR(J576=16,J576=17),"+3",IF(OR(J576=18,J576=19),"+4",IF(OR(J576=20,J576=21),"+5",IF(OR(J576=22,J576=23),"+6",IF(OR(J576=24,J576=25),"+7",IF(OR(J576=26,J576=27),"+8",IF(OR(J576=28,J576=29),"+9",IF(J576=30,"+10"," "))))))))))))))))</f>
        <v>+3</v>
      </c>
      <c r="L576" s="3" t="n">
        <v>13</v>
      </c>
      <c r="M576" s="1" t="str">
        <f aca="false">IF(L576=1,"-5",IF(OR(L576=2,L576=3),"-4",IF(OR(L576=4,L576=5),"-3",IF(OR(L576=6,L576=7),"-2",IF(OR(L576=8,L576=9),"-1",IF(OR(L576=10,L576=11),"0",IF(OR(L576=12,L576=13),"+1",IF(OR(L576=14,L576=15),"+2",IF(OR(L576=16,L576=17),"+3",IF(OR(L576=18,L576=19),"+4",IF(OR(L576=20,L576=21),"+5",IF(OR(L576=22,L576=23),"+6",IF(OR(L576=24,L576=25),"+7",IF(OR(L576=26,L576=27),"+8",IF(OR(L576=28,L576=29),"+9",IF(L576=30,"+10"," "))))))))))))))))</f>
        <v>+1</v>
      </c>
      <c r="N576" s="3" t="n">
        <v>13</v>
      </c>
      <c r="O576" s="1" t="str">
        <f aca="false">IF(N576=1,"-5",IF(OR(N576=2,N576=3),"-4",IF(OR(N576=4,N576=5),"-3",IF(OR(N576=6,N576=7),"-2",IF(OR(N576=8,N576=9),"-1",IF(OR(N576=10,N576=11),"0",IF(OR(N576=12,N576=13),"+1",IF(OR(N576=14,N576=15),"+2",IF(OR(N576=16,N576=17),"+3",IF(OR(N576=18,N576=19),"+4",IF(OR(N576=20,N576=21),"+5",IF(OR(N576=22,N576=23),"+6",IF(OR(N576=24,N576=25),"+7",IF(OR(N576=26,N576=27),"+8",IF(OR(N576=28,N576=29),"+9",IF(N576=30,"+10"," "))))))))))))))))</f>
        <v>+1</v>
      </c>
      <c r="P576" s="3" t="n">
        <v>7</v>
      </c>
      <c r="Q576" s="1" t="str">
        <f aca="false">IF(P576=1,"-5",IF(OR(P576=2,P576=3),"-4",IF(OR(P576=4,P576=5),"-3",IF(OR(P576=6,P576=7),"-2",IF(OR(P576=8,P576=9),"-1",IF(OR(P576=10,P576=11),"0",IF(OR(P576=12,P576=13),"+1",IF(OR(P576=14,P576=15),"+2",IF(OR(P576=16,P576=17),"+3",IF(OR(P576=18,P576=19),"+4",IF(OR(P576=20,P576=21),"+5",IF(OR(P576=22,P576=23),"+6",IF(OR(P576=24,P576=25),"+7",IF(OR(P576=26,P576=27),"+8",IF(OR(P576=28,P576=29),"+9",IF(P576=30,"+10"," "))))))))))))))))</f>
        <v>-2</v>
      </c>
      <c r="R576" s="3" t="n">
        <v>11</v>
      </c>
      <c r="S576" s="1" t="str">
        <f aca="false">IF(R576=1,"-5",IF(OR(R576=2,R576=3),"-4",IF(OR(R576=4,R576=5),"-3",IF(OR(R576=6,R576=7),"-2",IF(OR(R576=8,R576=9),"-1",IF(OR(R576=10,R576=11),"0",IF(OR(R576=12,R576=13),"+1",IF(OR(R576=14,R576=15),"+2",IF(OR(R576=16,R576=17),"+3",IF(OR(R576=18,R576=19),"+4",IF(OR(R576=20,R576=21),"+5",IF(OR(R576=22,R576=23),"+6",IF(OR(R576=24,R576=25),"+7",IF(OR(R576=26,R576=27),"+8",IF(OR(R576=28,R576=29),"+9",IF(R576=30,"+10"," "))))))))))))))))</f>
        <v>0</v>
      </c>
      <c r="T576" s="3" t="n">
        <v>8</v>
      </c>
      <c r="U576" s="1" t="str">
        <f aca="false">IF(T576=1,"-5",IF(OR(T576=2,T576=3),"-4",IF(OR(T576=4,T576=5),"-3",IF(OR(T576=6,T576=7),"-2",IF(OR(T576=8,T576=9),"-1",IF(OR(T576=10,T576=11),"0",IF(OR(T576=12,T576=13),"+1",IF(OR(T576=14,T576=15),"+2",IF(OR(T576=16,T576=17),"+3",IF(OR(T576=18,T576=19),"+4",IF(OR(T576=20,T576=21),"+5",IF(OR(T576=22,T576=23),"+6",IF(OR(T576=24,T576=25),"+7",IF(OR(T576=26,T576=27),"+8",IF(OR(T576=28,T576=29),"+9",IF(T576=30,"+10"," "))))))))))))))))</f>
        <v>-1</v>
      </c>
      <c r="V576" s="3" t="s">
        <v>72</v>
      </c>
      <c r="W576" s="3" t="s">
        <v>2729</v>
      </c>
      <c r="X576" s="11" t="s">
        <v>2730</v>
      </c>
      <c r="Y576" s="11" t="s">
        <v>1923</v>
      </c>
      <c r="Z576" s="11" t="s">
        <v>37</v>
      </c>
      <c r="AA576" s="12" t="s">
        <v>37</v>
      </c>
    </row>
    <row r="577" customFormat="false" ht="16.4" hidden="false" customHeight="false" outlineLevel="0" collapsed="false">
      <c r="A577" s="15" t="s">
        <v>2731</v>
      </c>
      <c r="B577" s="3" t="s">
        <v>214</v>
      </c>
      <c r="C577" s="3" t="s">
        <v>230</v>
      </c>
      <c r="D577" s="16" t="n">
        <v>5</v>
      </c>
      <c r="E577" s="6" t="n">
        <f aca="false">VLOOKUP(D577,'[1]REF Tables'!$A$2:$B$40,2)</f>
        <v>1800</v>
      </c>
      <c r="F577" s="3" t="s">
        <v>30</v>
      </c>
      <c r="G577" s="3" t="n">
        <v>19</v>
      </c>
      <c r="H577" s="3" t="s">
        <v>2732</v>
      </c>
      <c r="I577" s="3" t="s">
        <v>2733</v>
      </c>
      <c r="J577" s="3" t="n">
        <v>17</v>
      </c>
      <c r="K577" s="1" t="str">
        <f aca="false">IF(J577=1,"-5",IF(OR(J577=2,J577=3),"-4",IF(OR(J577=4,J577=5),"-3",IF(OR(J577=6,J577=7),"-2",IF(OR(J577=8,J577=9),"-1",IF(OR(J577=10,J577=11),"0",IF(OR(J577=12,J577=13),"+1",IF(OR(J577=14,J577=15),"+2",IF(OR(J577=16,J577=17),"+3",IF(OR(J577=18,J577=19),"+4",IF(OR(J577=20,J577=21),"+5",IF(OR(J577=22,J577=23),"+6",IF(OR(J577=24,J577=25),"+7",IF(OR(J577=26,J577=27),"+8",IF(OR(J577=28,J577=29),"+9",IF(J577=30,"+10"," "))))))))))))))))</f>
        <v>+3</v>
      </c>
      <c r="L577" s="3" t="n">
        <v>10</v>
      </c>
      <c r="M577" s="1" t="str">
        <f aca="false">IF(L577=1,"-5",IF(OR(L577=2,L577=3),"-4",IF(OR(L577=4,L577=5),"-3",IF(OR(L577=6,L577=7),"-2",IF(OR(L577=8,L577=9),"-1",IF(OR(L577=10,L577=11),"0",IF(OR(L577=12,L577=13),"+1",IF(OR(L577=14,L577=15),"+2",IF(OR(L577=16,L577=17),"+3",IF(OR(L577=18,L577=19),"+4",IF(OR(L577=20,L577=21),"+5",IF(OR(L577=22,L577=23),"+6",IF(OR(L577=24,L577=25),"+7",IF(OR(L577=26,L577=27),"+8",IF(OR(L577=28,L577=29),"+9",IF(L577=30,"+10"," "))))))))))))))))</f>
        <v>0</v>
      </c>
      <c r="N577" s="3" t="n">
        <v>22</v>
      </c>
      <c r="O577" s="1" t="str">
        <f aca="false">IF(N577=1,"-5",IF(OR(N577=2,N577=3),"-4",IF(OR(N577=4,N577=5),"-3",IF(OR(N577=6,N577=7),"-2",IF(OR(N577=8,N577=9),"-1",IF(OR(N577=10,N577=11),"0",IF(OR(N577=12,N577=13),"+1",IF(OR(N577=14,N577=15),"+2",IF(OR(N577=16,N577=17),"+3",IF(OR(N577=18,N577=19),"+4",IF(OR(N577=20,N577=21),"+5",IF(OR(N577=22,N577=23),"+6",IF(OR(N577=24,N577=25),"+7",IF(OR(N577=26,N577=27),"+8",IF(OR(N577=28,N577=29),"+9",IF(N577=30,"+10"," "))))))))))))))))</f>
        <v>+6</v>
      </c>
      <c r="P577" s="3" t="n">
        <v>11</v>
      </c>
      <c r="Q577" s="1" t="str">
        <f aca="false">IF(P577=1,"-5",IF(OR(P577=2,P577=3),"-4",IF(OR(P577=4,P577=5),"-3",IF(OR(P577=6,P577=7),"-2",IF(OR(P577=8,P577=9),"-1",IF(OR(P577=10,P577=11),"0",IF(OR(P577=12,P577=13),"+1",IF(OR(P577=14,P577=15),"+2",IF(OR(P577=16,P577=17),"+3",IF(OR(P577=18,P577=19),"+4",IF(OR(P577=20,P577=21),"+5",IF(OR(P577=22,P577=23),"+6",IF(OR(P577=24,P577=25),"+7",IF(OR(P577=26,P577=27),"+8",IF(OR(P577=28,P577=29),"+9",IF(P577=30,"+10"," "))))))))))))))))</f>
        <v>0</v>
      </c>
      <c r="R577" s="3" t="n">
        <v>10</v>
      </c>
      <c r="S577" s="1" t="str">
        <f aca="false">IF(R577=1,"-5",IF(OR(R577=2,R577=3),"-4",IF(OR(R577=4,R577=5),"-3",IF(OR(R577=6,R577=7),"-2",IF(OR(R577=8,R577=9),"-1",IF(OR(R577=10,R577=11),"0",IF(OR(R577=12,R577=13),"+1",IF(OR(R577=14,R577=15),"+2",IF(OR(R577=16,R577=17),"+3",IF(OR(R577=18,R577=19),"+4",IF(OR(R577=20,R577=21),"+5",IF(OR(R577=22,R577=23),"+6",IF(OR(R577=24,R577=25),"+7",IF(OR(R577=26,R577=27),"+8",IF(OR(R577=28,R577=29),"+9",IF(R577=30,"+10"," "))))))))))))))))</f>
        <v>0</v>
      </c>
      <c r="T577" s="3" t="n">
        <v>11</v>
      </c>
      <c r="U577" s="1" t="str">
        <f aca="false">IF(T577=1,"-5",IF(OR(T577=2,T577=3),"-4",IF(OR(T577=4,T577=5),"-3",IF(OR(T577=6,T577=7),"-2",IF(OR(T577=8,T577=9),"-1",IF(OR(T577=10,T577=11),"0",IF(OR(T577=12,T577=13),"+1",IF(OR(T577=14,T577=15),"+2",IF(OR(T577=16,T577=17),"+3",IF(OR(T577=18,T577=19),"+4",IF(OR(T577=20,T577=21),"+5",IF(OR(T577=22,T577=23),"+6",IF(OR(T577=24,T577=25),"+7",IF(OR(T577=26,T577=27),"+8",IF(OR(T577=28,T577=29),"+9",IF(T577=30,"+10"," "))))))))))))))))</f>
        <v>0</v>
      </c>
      <c r="V577" s="3" t="s">
        <v>2734</v>
      </c>
      <c r="W577" s="3" t="s">
        <v>623</v>
      </c>
      <c r="X577" s="11" t="s">
        <v>2735</v>
      </c>
      <c r="Y577" s="11" t="s">
        <v>2736</v>
      </c>
      <c r="Z577" s="11" t="s">
        <v>37</v>
      </c>
      <c r="AA577" s="12" t="s">
        <v>37</v>
      </c>
    </row>
    <row r="578" customFormat="false" ht="16.4" hidden="false" customHeight="false" outlineLevel="0" collapsed="false">
      <c r="A578" s="15" t="s">
        <v>2737</v>
      </c>
      <c r="B578" s="3" t="s">
        <v>2738</v>
      </c>
      <c r="C578" s="3" t="s">
        <v>222</v>
      </c>
      <c r="D578" s="16" t="n">
        <v>0.125</v>
      </c>
      <c r="E578" s="3" t="n">
        <f aca="false">VLOOKUP(D578,'[1]REF Tables'!$A$2:$B$40,2)</f>
        <v>25</v>
      </c>
      <c r="F578" s="3" t="s">
        <v>165</v>
      </c>
      <c r="G578" s="3" t="n">
        <v>13</v>
      </c>
      <c r="H578" s="3" t="s">
        <v>1252</v>
      </c>
      <c r="I578" s="3" t="s">
        <v>42</v>
      </c>
      <c r="J578" s="3" t="n">
        <v>8</v>
      </c>
      <c r="K578" s="1" t="str">
        <f aca="false">IF(J578=1,"-5",IF(OR(J578=2,J578=3),"-4",IF(OR(J578=4,J578=5),"-3",IF(OR(J578=6,J578=7),"-2",IF(OR(J578=8,J578=9),"-1",IF(OR(J578=10,J578=11),"0",IF(OR(J578=12,J578=13),"+1",IF(OR(J578=14,J578=15),"+2",IF(OR(J578=16,J578=17),"+3",IF(OR(J578=18,J578=19),"+4",IF(OR(J578=20,J578=21),"+5",IF(OR(J578=22,J578=23),"+6",IF(OR(J578=24,J578=25),"+7",IF(OR(J578=26,J578=27),"+8",IF(OR(J578=28,J578=29),"+9",IF(J578=30,"+10"," "))))))))))))))))</f>
        <v>-1</v>
      </c>
      <c r="L578" s="3" t="n">
        <v>14</v>
      </c>
      <c r="M578" s="1" t="str">
        <f aca="false">IF(L578=1,"-5",IF(OR(L578=2,L578=3),"-4",IF(OR(L578=4,L578=5),"-3",IF(OR(L578=6,L578=7),"-2",IF(OR(L578=8,L578=9),"-1",IF(OR(L578=10,L578=11),"0",IF(OR(L578=12,L578=13),"+1",IF(OR(L578=14,L578=15),"+2",IF(OR(L578=16,L578=17),"+3",IF(OR(L578=18,L578=19),"+4",IF(OR(L578=20,L578=21),"+5",IF(OR(L578=22,L578=23),"+6",IF(OR(L578=24,L578=25),"+7",IF(OR(L578=26,L578=27),"+8",IF(OR(L578=28,L578=29),"+9",IF(L578=30,"+10"," "))))))))))))))))</f>
        <v>+2</v>
      </c>
      <c r="N578" s="3" t="n">
        <v>10</v>
      </c>
      <c r="O578" s="1" t="str">
        <f aca="false">IF(N578=1,"-5",IF(OR(N578=2,N578=3),"-4",IF(OR(N578=4,N578=5),"-3",IF(OR(N578=6,N578=7),"-2",IF(OR(N578=8,N578=9),"-1",IF(OR(N578=10,N578=11),"0",IF(OR(N578=12,N578=13),"+1",IF(OR(N578=14,N578=15),"+2",IF(OR(N578=16,N578=17),"+3",IF(OR(N578=18,N578=19),"+4",IF(OR(N578=20,N578=21),"+5",IF(OR(N578=22,N578=23),"+6",IF(OR(N578=24,N578=25),"+7",IF(OR(N578=26,N578=27),"+8",IF(OR(N578=28,N578=29),"+9",IF(N578=30,"+10"," "))))))))))))))))</f>
        <v>0</v>
      </c>
      <c r="P578" s="3" t="n">
        <v>8</v>
      </c>
      <c r="Q578" s="1" t="str">
        <f aca="false">IF(P578=1,"-5",IF(OR(P578=2,P578=3),"-4",IF(OR(P578=4,P578=5),"-3",IF(OR(P578=6,P578=7),"-2",IF(OR(P578=8,P578=9),"-1",IF(OR(P578=10,P578=11),"0",IF(OR(P578=12,P578=13),"+1",IF(OR(P578=14,P578=15),"+2",IF(OR(P578=16,P578=17),"+3",IF(OR(P578=18,P578=19),"+4",IF(OR(P578=20,P578=21),"+5",IF(OR(P578=22,P578=23),"+6",IF(OR(P578=24,P578=25),"+7",IF(OR(P578=26,P578=27),"+8",IF(OR(P578=28,P578=29),"+9",IF(P578=30,"+10"," "))))))))))))))))</f>
        <v>-1</v>
      </c>
      <c r="R578" s="3" t="n">
        <v>7</v>
      </c>
      <c r="S578" s="1" t="str">
        <f aca="false">IF(R578=1,"-5",IF(OR(R578=2,R578=3),"-4",IF(OR(R578=4,R578=5),"-3",IF(OR(R578=6,R578=7),"-2",IF(OR(R578=8,R578=9),"-1",IF(OR(R578=10,R578=11),"0",IF(OR(R578=12,R578=13),"+1",IF(OR(R578=14,R578=15),"+2",IF(OR(R578=16,R578=17),"+3",IF(OR(R578=18,R578=19),"+4",IF(OR(R578=20,R578=21),"+5",IF(OR(R578=22,R578=23),"+6",IF(OR(R578=24,R578=25),"+7",IF(OR(R578=26,R578=27),"+8",IF(OR(R578=28,R578=29),"+9",IF(R578=30,"+10"," "))))))))))))))))</f>
        <v>-2</v>
      </c>
      <c r="T578" s="3" t="n">
        <v>7</v>
      </c>
      <c r="U578" s="1" t="str">
        <f aca="false">IF(T578=1,"-5",IF(OR(T578=2,T578=3),"-4",IF(OR(T578=4,T578=5),"-3",IF(OR(T578=6,T578=7),"-2",IF(OR(T578=8,T578=9),"-1",IF(OR(T578=10,T578=11),"0",IF(OR(T578=12,T578=13),"+1",IF(OR(T578=14,T578=15),"+2",IF(OR(T578=16,T578=17),"+3",IF(OR(T578=18,T578=19),"+4",IF(OR(T578=20,T578=21),"+5",IF(OR(T578=22,T578=23),"+6",IF(OR(T578=24,T578=25),"+7",IF(OR(T578=26,T578=27),"+8",IF(OR(T578=28,T578=29),"+9",IF(T578=30,"+10"," "))))))))))))))))</f>
        <v>-2</v>
      </c>
      <c r="V578" s="3" t="s">
        <v>560</v>
      </c>
      <c r="W578" s="3" t="s">
        <v>226</v>
      </c>
      <c r="X578" s="11" t="s">
        <v>2739</v>
      </c>
      <c r="Y578" s="11" t="s">
        <v>2740</v>
      </c>
      <c r="Z578" s="11" t="s">
        <v>37</v>
      </c>
      <c r="AA578" s="12" t="s">
        <v>37</v>
      </c>
    </row>
    <row r="579" customFormat="false" ht="16.4" hidden="false" customHeight="false" outlineLevel="0" collapsed="false">
      <c r="A579" s="15" t="s">
        <v>2741</v>
      </c>
      <c r="B579" s="3" t="s">
        <v>2738</v>
      </c>
      <c r="C579" s="3" t="s">
        <v>222</v>
      </c>
      <c r="D579" s="16" t="n">
        <v>1</v>
      </c>
      <c r="E579" s="3" t="n">
        <f aca="false">VLOOKUP(D579,'[1]REF Tables'!$A$2:$B$40,2)</f>
        <v>200</v>
      </c>
      <c r="F579" s="3" t="s">
        <v>165</v>
      </c>
      <c r="G579" s="3" t="n">
        <v>12</v>
      </c>
      <c r="H579" s="3" t="s">
        <v>720</v>
      </c>
      <c r="I579" s="3" t="s">
        <v>42</v>
      </c>
      <c r="J579" s="3" t="n">
        <v>8</v>
      </c>
      <c r="K579" s="1" t="str">
        <f aca="false">IF(J579=1,"-5",IF(OR(J579=2,J579=3),"-4",IF(OR(J579=4,J579=5),"-3",IF(OR(J579=6,J579=7),"-2",IF(OR(J579=8,J579=9),"-1",IF(OR(J579=10,J579=11),"0",IF(OR(J579=12,J579=13),"+1",IF(OR(J579=14,J579=15),"+2",IF(OR(J579=16,J579=17),"+3",IF(OR(J579=18,J579=19),"+4",IF(OR(J579=20,J579=21),"+5",IF(OR(J579=22,J579=23),"+6",IF(OR(J579=24,J579=25),"+7",IF(OR(J579=26,J579=27),"+8",IF(OR(J579=28,J579=29),"+9",IF(J579=30,"+10"," "))))))))))))))))</f>
        <v>-1</v>
      </c>
      <c r="L579" s="3" t="n">
        <v>14</v>
      </c>
      <c r="M579" s="1" t="str">
        <f aca="false">IF(L579=1,"-5",IF(OR(L579=2,L579=3),"-4",IF(OR(L579=4,L579=5),"-3",IF(OR(L579=6,L579=7),"-2",IF(OR(L579=8,L579=9),"-1",IF(OR(L579=10,L579=11),"0",IF(OR(L579=12,L579=13),"+1",IF(OR(L579=14,L579=15),"+2",IF(OR(L579=16,L579=17),"+3",IF(OR(L579=18,L579=19),"+4",IF(OR(L579=20,L579=21),"+5",IF(OR(L579=22,L579=23),"+6",IF(OR(L579=24,L579=25),"+7",IF(OR(L579=26,L579=27),"+8",IF(OR(L579=28,L579=29),"+9",IF(L579=30,"+10"," "))))))))))))))))</f>
        <v>+2</v>
      </c>
      <c r="N579" s="3" t="n">
        <v>12</v>
      </c>
      <c r="O579" s="1" t="str">
        <f aca="false">IF(N579=1,"-5",IF(OR(N579=2,N579=3),"-4",IF(OR(N579=4,N579=5),"-3",IF(OR(N579=6,N579=7),"-2",IF(OR(N579=8,N579=9),"-1",IF(OR(N579=10,N579=11),"0",IF(OR(N579=12,N579=13),"+1",IF(OR(N579=14,N579=15),"+2",IF(OR(N579=16,N579=17),"+3",IF(OR(N579=18,N579=19),"+4",IF(OR(N579=20,N579=21),"+5",IF(OR(N579=22,N579=23),"+6",IF(OR(N579=24,N579=25),"+7",IF(OR(N579=26,N579=27),"+8",IF(OR(N579=28,N579=29),"+9",IF(N579=30,"+10"," "))))))))))))))))</f>
        <v>+1</v>
      </c>
      <c r="P579" s="3" t="n">
        <v>8</v>
      </c>
      <c r="Q579" s="1" t="str">
        <f aca="false">IF(P579=1,"-5",IF(OR(P579=2,P579=3),"-4",IF(OR(P579=4,P579=5),"-3",IF(OR(P579=6,P579=7),"-2",IF(OR(P579=8,P579=9),"-1",IF(OR(P579=10,P579=11),"0",IF(OR(P579=12,P579=13),"+1",IF(OR(P579=14,P579=15),"+2",IF(OR(P579=16,P579=17),"+3",IF(OR(P579=18,P579=19),"+4",IF(OR(P579=20,P579=21),"+5",IF(OR(P579=22,P579=23),"+6",IF(OR(P579=24,P579=25),"+7",IF(OR(P579=26,P579=27),"+8",IF(OR(P579=28,P579=29),"+9",IF(P579=30,"+10"," "))))))))))))))))</f>
        <v>-1</v>
      </c>
      <c r="R579" s="3" t="n">
        <v>11</v>
      </c>
      <c r="S579" s="1" t="str">
        <f aca="false">IF(R579=1,"-5",IF(OR(R579=2,R579=3),"-4",IF(OR(R579=4,R579=5),"-3",IF(OR(R579=6,R579=7),"-2",IF(OR(R579=8,R579=9),"-1",IF(OR(R579=10,R579=11),"0",IF(OR(R579=12,R579=13),"+1",IF(OR(R579=14,R579=15),"+2",IF(OR(R579=16,R579=17),"+3",IF(OR(R579=18,R579=19),"+4",IF(OR(R579=20,R579=21),"+5",IF(OR(R579=22,R579=23),"+6",IF(OR(R579=24,R579=25),"+7",IF(OR(R579=26,R579=27),"+8",IF(OR(R579=28,R579=29),"+9",IF(R579=30,"+10"," "))))))))))))))))</f>
        <v>0</v>
      </c>
      <c r="T579" s="3" t="n">
        <v>12</v>
      </c>
      <c r="U579" s="1" t="str">
        <f aca="false">IF(T579=1,"-5",IF(OR(T579=2,T579=3),"-4",IF(OR(T579=4,T579=5),"-3",IF(OR(T579=6,T579=7),"-2",IF(OR(T579=8,T579=9),"-1",IF(OR(T579=10,T579=11),"0",IF(OR(T579=12,T579=13),"+1",IF(OR(T579=14,T579=15),"+2",IF(OR(T579=16,T579=17),"+3",IF(OR(T579=18,T579=19),"+4",IF(OR(T579=20,T579=21),"+5",IF(OR(T579=22,T579=23),"+6",IF(OR(T579=24,T579=25),"+7",IF(OR(T579=26,T579=27),"+8",IF(OR(T579=28,T579=29),"+9",IF(T579=30,"+10"," "))))))))))))))))</f>
        <v>+1</v>
      </c>
      <c r="V579" s="3" t="s">
        <v>375</v>
      </c>
      <c r="W579" s="3" t="s">
        <v>226</v>
      </c>
      <c r="X579" s="11" t="s">
        <v>2742</v>
      </c>
      <c r="Y579" s="11" t="s">
        <v>2743</v>
      </c>
      <c r="Z579" s="11" t="s">
        <v>37</v>
      </c>
      <c r="AA579" s="12" t="s">
        <v>37</v>
      </c>
    </row>
    <row r="580" customFormat="false" ht="16.4" hidden="false" customHeight="false" outlineLevel="0" collapsed="false">
      <c r="A580" s="15" t="s">
        <v>2744</v>
      </c>
      <c r="B580" s="3" t="s">
        <v>105</v>
      </c>
      <c r="C580" s="3" t="s">
        <v>222</v>
      </c>
      <c r="D580" s="16" t="n">
        <v>3</v>
      </c>
      <c r="E580" s="3" t="n">
        <f aca="false">VLOOKUP(D580,'[1]REF Tables'!$A$2:$B$40,2)</f>
        <v>700</v>
      </c>
      <c r="F580" s="3" t="s">
        <v>50</v>
      </c>
      <c r="G580" s="3" t="n">
        <v>12</v>
      </c>
      <c r="H580" s="3" t="s">
        <v>93</v>
      </c>
      <c r="I580" s="3" t="s">
        <v>153</v>
      </c>
      <c r="J580" s="3" t="n">
        <v>18</v>
      </c>
      <c r="K580" s="1" t="str">
        <f aca="false">IF(J580=1,"-5",IF(OR(J580=2,J580=3),"-4",IF(OR(J580=4,J580=5),"-3",IF(OR(J580=6,J580=7),"-2",IF(OR(J580=8,J580=9),"-1",IF(OR(J580=10,J580=11),"0",IF(OR(J580=12,J580=13),"+1",IF(OR(J580=14,J580=15),"+2",IF(OR(J580=16,J580=17),"+3",IF(OR(J580=18,J580=19),"+4",IF(OR(J580=20,J580=21),"+5",IF(OR(J580=22,J580=23),"+6",IF(OR(J580=24,J580=25),"+7",IF(OR(J580=26,J580=27),"+8",IF(OR(J580=28,J580=29),"+9",IF(J580=30,"+10"," "))))))))))))))))</f>
        <v>+4</v>
      </c>
      <c r="L580" s="3" t="n">
        <v>13</v>
      </c>
      <c r="M580" s="1" t="str">
        <f aca="false">IF(L580=1,"-5",IF(OR(L580=2,L580=3),"-4",IF(OR(L580=4,L580=5),"-3",IF(OR(L580=6,L580=7),"-2",IF(OR(L580=8,L580=9),"-1",IF(OR(L580=10,L580=11),"0",IF(OR(L580=12,L580=13),"+1",IF(OR(L580=14,L580=15),"+2",IF(OR(L580=16,L580=17),"+3",IF(OR(L580=18,L580=19),"+4",IF(OR(L580=20,L580=21),"+5",IF(OR(L580=22,L580=23),"+6",IF(OR(L580=24,L580=25),"+7",IF(OR(L580=26,L580=27),"+8",IF(OR(L580=28,L580=29),"+9",IF(L580=30,"+10"," "))))))))))))))))</f>
        <v>+1</v>
      </c>
      <c r="N580" s="3" t="n">
        <v>16</v>
      </c>
      <c r="O580" s="1" t="str">
        <f aca="false">IF(N580=1,"-5",IF(OR(N580=2,N580=3),"-4",IF(OR(N580=4,N580=5),"-3",IF(OR(N580=6,N580=7),"-2",IF(OR(N580=8,N580=9),"-1",IF(OR(N580=10,N580=11),"0",IF(OR(N580=12,N580=13),"+1",IF(OR(N580=14,N580=15),"+2",IF(OR(N580=16,N580=17),"+3",IF(OR(N580=18,N580=19),"+4",IF(OR(N580=20,N580=21),"+5",IF(OR(N580=22,N580=23),"+6",IF(OR(N580=24,N580=25),"+7",IF(OR(N580=26,N580=27),"+8",IF(OR(N580=28,N580=29),"+9",IF(N580=30,"+10"," "))))))))))))))))</f>
        <v>+3</v>
      </c>
      <c r="P580" s="3" t="n">
        <v>8</v>
      </c>
      <c r="Q580" s="1" t="str">
        <f aca="false">IF(P580=1,"-5",IF(OR(P580=2,P580=3),"-4",IF(OR(P580=4,P580=5),"-3",IF(OR(P580=6,P580=7),"-2",IF(OR(P580=8,P580=9),"-1",IF(OR(P580=10,P580=11),"0",IF(OR(P580=12,P580=13),"+1",IF(OR(P580=14,P580=15),"+2",IF(OR(P580=16,P580=17),"+3",IF(OR(P580=18,P580=19),"+4",IF(OR(P580=20,P580=21),"+5",IF(OR(P580=22,P580=23),"+6",IF(OR(P580=24,P580=25),"+7",IF(OR(P580=26,P580=27),"+8",IF(OR(P580=28,P580=29),"+9",IF(P580=30,"+10"," "))))))))))))))))</f>
        <v>-1</v>
      </c>
      <c r="R580" s="3" t="n">
        <v>12</v>
      </c>
      <c r="S580" s="1" t="str">
        <f aca="false">IF(R580=1,"-5",IF(OR(R580=2,R580=3),"-4",IF(OR(R580=4,R580=5),"-3",IF(OR(R580=6,R580=7),"-2",IF(OR(R580=8,R580=9),"-1",IF(OR(R580=10,R580=11),"0",IF(OR(R580=12,R580=13),"+1",IF(OR(R580=14,R580=15),"+2",IF(OR(R580=16,R580=17),"+3",IF(OR(R580=18,R580=19),"+4",IF(OR(R580=20,R580=21),"+5",IF(OR(R580=22,R580=23),"+6",IF(OR(R580=24,R580=25),"+7",IF(OR(R580=26,R580=27),"+8",IF(OR(R580=28,R580=29),"+9",IF(R580=30,"+10"," "))))))))))))))))</f>
        <v>+1</v>
      </c>
      <c r="T580" s="3" t="n">
        <v>7</v>
      </c>
      <c r="U580" s="1" t="str">
        <f aca="false">IF(T580=1,"-5",IF(OR(T580=2,T580=3),"-4",IF(OR(T580=4,T580=5),"-3",IF(OR(T580=6,T580=7),"-2",IF(OR(T580=8,T580=9),"-1",IF(OR(T580=10,T580=11),"0",IF(OR(T580=12,T580=13),"+1",IF(OR(T580=14,T580=15),"+2",IF(OR(T580=16,T580=17),"+3",IF(OR(T580=18,T580=19),"+4",IF(OR(T580=20,T580=21),"+5",IF(OR(T580=22,T580=23),"+6",IF(OR(T580=24,T580=25),"+7",IF(OR(T580=26,T580=27),"+8",IF(OR(T580=28,T580=29),"+9",IF(T580=30,"+10"," "))))))))))))))))</f>
        <v>-2</v>
      </c>
      <c r="V580" s="3" t="s">
        <v>525</v>
      </c>
      <c r="W580" s="3" t="s">
        <v>2745</v>
      </c>
      <c r="X580" s="11" t="s">
        <v>2746</v>
      </c>
      <c r="Y580" s="11" t="s">
        <v>2747</v>
      </c>
      <c r="Z580" s="11" t="s">
        <v>37</v>
      </c>
      <c r="AA580" s="12" t="s">
        <v>37</v>
      </c>
    </row>
    <row r="581" customFormat="false" ht="16.4" hidden="false" customHeight="false" outlineLevel="0" collapsed="false">
      <c r="A581" s="15" t="s">
        <v>2748</v>
      </c>
      <c r="B581" s="3" t="s">
        <v>105</v>
      </c>
      <c r="C581" s="3" t="s">
        <v>222</v>
      </c>
      <c r="D581" s="16" t="n">
        <v>9</v>
      </c>
      <c r="E581" s="6" t="n">
        <f aca="false">VLOOKUP(D581,'[1]REF Tables'!$A$2:$B$40,2)</f>
        <v>5000</v>
      </c>
      <c r="F581" s="3" t="s">
        <v>121</v>
      </c>
      <c r="G581" s="3" t="n">
        <v>15</v>
      </c>
      <c r="H581" s="3" t="s">
        <v>2749</v>
      </c>
      <c r="I581" s="3" t="s">
        <v>153</v>
      </c>
      <c r="J581" s="3" t="n">
        <v>24</v>
      </c>
      <c r="K581" s="1" t="str">
        <f aca="false">IF(J581=1,"-5",IF(OR(J581=2,J581=3),"-4",IF(OR(J581=4,J581=5),"-3",IF(OR(J581=6,J581=7),"-2",IF(OR(J581=8,J581=9),"-1",IF(OR(J581=10,J581=11),"0",IF(OR(J581=12,J581=13),"+1",IF(OR(J581=14,J581=15),"+2",IF(OR(J581=16,J581=17),"+3",IF(OR(J581=18,J581=19),"+4",IF(OR(J581=20,J581=21),"+5",IF(OR(J581=22,J581=23),"+6",IF(OR(J581=24,J581=25),"+7",IF(OR(J581=26,J581=27),"+8",IF(OR(J581=28,J581=29),"+9",IF(J581=30,"+10"," "))))))))))))))))</f>
        <v>+7</v>
      </c>
      <c r="L581" s="3" t="n">
        <v>10</v>
      </c>
      <c r="M581" s="1" t="str">
        <f aca="false">IF(L581=1,"-5",IF(OR(L581=2,L581=3),"-4",IF(OR(L581=4,L581=5),"-3",IF(OR(L581=6,L581=7),"-2",IF(OR(L581=8,L581=9),"-1",IF(OR(L581=10,L581=11),"0",IF(OR(L581=12,L581=13),"+1",IF(OR(L581=14,L581=15),"+2",IF(OR(L581=16,L581=17),"+3",IF(OR(L581=18,L581=19),"+4",IF(OR(L581=20,L581=21),"+5",IF(OR(L581=22,L581=23),"+6",IF(OR(L581=24,L581=25),"+7",IF(OR(L581=26,L581=27),"+8",IF(OR(L581=28,L581=29),"+9",IF(L581=30,"+10"," "))))))))))))))))</f>
        <v>0</v>
      </c>
      <c r="N581" s="3" t="n">
        <v>22</v>
      </c>
      <c r="O581" s="1" t="str">
        <f aca="false">IF(N581=1,"-5",IF(OR(N581=2,N581=3),"-4",IF(OR(N581=4,N581=5),"-3",IF(OR(N581=6,N581=7),"-2",IF(OR(N581=8,N581=9),"-1",IF(OR(N581=10,N581=11),"0",IF(OR(N581=12,N581=13),"+1",IF(OR(N581=14,N581=15),"+2",IF(OR(N581=16,N581=17),"+3",IF(OR(N581=18,N581=19),"+4",IF(OR(N581=20,N581=21),"+5",IF(OR(N581=22,N581=23),"+6",IF(OR(N581=24,N581=25),"+7",IF(OR(N581=26,N581=27),"+8",IF(OR(N581=28,N581=29),"+9",IF(N581=30,"+10"," "))))))))))))))))</f>
        <v>+6</v>
      </c>
      <c r="P581" s="3" t="n">
        <v>9</v>
      </c>
      <c r="Q581" s="1" t="str">
        <f aca="false">IF(P581=1,"-5",IF(OR(P581=2,P581=3),"-4",IF(OR(P581=4,P581=5),"-3",IF(OR(P581=6,P581=7),"-2",IF(OR(P581=8,P581=9),"-1",IF(OR(P581=10,P581=11),"0",IF(OR(P581=12,P581=13),"+1",IF(OR(P581=14,P581=15),"+2",IF(OR(P581=16,P581=17),"+3",IF(OR(P581=18,P581=19),"+4",IF(OR(P581=20,P581=21),"+5",IF(OR(P581=22,P581=23),"+6",IF(OR(P581=24,P581=25),"+7",IF(OR(P581=26,P581=27),"+8",IF(OR(P581=28,P581=29),"+9",IF(P581=30,"+10"," "))))))))))))))))</f>
        <v>-1</v>
      </c>
      <c r="R581" s="3" t="n">
        <v>13</v>
      </c>
      <c r="S581" s="1" t="str">
        <f aca="false">IF(R581=1,"-5",IF(OR(R581=2,R581=3),"-4",IF(OR(R581=4,R581=5),"-3",IF(OR(R581=6,R581=7),"-2",IF(OR(R581=8,R581=9),"-1",IF(OR(R581=10,R581=11),"0",IF(OR(R581=12,R581=13),"+1",IF(OR(R581=14,R581=15),"+2",IF(OR(R581=16,R581=17),"+3",IF(OR(R581=18,R581=19),"+4",IF(OR(R581=20,R581=21),"+5",IF(OR(R581=22,R581=23),"+6",IF(OR(R581=24,R581=25),"+7",IF(OR(R581=26,R581=27),"+8",IF(OR(R581=28,R581=29),"+9",IF(R581=30,"+10"," "))))))))))))))))</f>
        <v>+1</v>
      </c>
      <c r="T581" s="3" t="n">
        <v>9</v>
      </c>
      <c r="U581" s="1" t="str">
        <f aca="false">IF(T581=1,"-5",IF(OR(T581=2,T581=3),"-4",IF(OR(T581=4,T581=5),"-3",IF(OR(T581=6,T581=7),"-2",IF(OR(T581=8,T581=9),"-1",IF(OR(T581=10,T581=11),"0",IF(OR(T581=12,T581=13),"+1",IF(OR(T581=14,T581=15),"+2",IF(OR(T581=16,T581=17),"+3",IF(OR(T581=18,T581=19),"+4",IF(OR(T581=20,T581=21),"+5",IF(OR(T581=22,T581=23),"+6",IF(OR(T581=24,T581=25),"+7",IF(OR(T581=26,T581=27),"+8",IF(OR(T581=28,T581=29),"+9",IF(T581=30,"+10"," "))))))))))))))))</f>
        <v>-1</v>
      </c>
      <c r="V581" s="3" t="s">
        <v>498</v>
      </c>
      <c r="W581" s="3" t="s">
        <v>2745</v>
      </c>
      <c r="X581" s="11" t="s">
        <v>2750</v>
      </c>
      <c r="Y581" s="11" t="s">
        <v>2751</v>
      </c>
      <c r="Z581" s="11" t="s">
        <v>37</v>
      </c>
      <c r="AA581" s="12" t="s">
        <v>37</v>
      </c>
    </row>
    <row r="582" customFormat="false" ht="16.4" hidden="false" customHeight="false" outlineLevel="0" collapsed="false">
      <c r="A582" s="15" t="s">
        <v>2752</v>
      </c>
      <c r="B582" s="3" t="s">
        <v>1502</v>
      </c>
      <c r="C582" s="3" t="s">
        <v>222</v>
      </c>
      <c r="D582" s="16" t="n">
        <v>10</v>
      </c>
      <c r="E582" s="6" t="n">
        <f aca="false">VLOOKUP(D582,'[1]REF Tables'!$A$2:$B$40,2)</f>
        <v>5900</v>
      </c>
      <c r="F582" s="3" t="s">
        <v>30</v>
      </c>
      <c r="G582" s="3" t="n">
        <v>15</v>
      </c>
      <c r="H582" s="3" t="s">
        <v>2339</v>
      </c>
      <c r="I582" s="3" t="s">
        <v>131</v>
      </c>
      <c r="J582" s="3" t="n">
        <v>15</v>
      </c>
      <c r="K582" s="1" t="str">
        <f aca="false">IF(J582=1,"-5",IF(OR(J582=2,J582=3),"-4",IF(OR(J582=4,J582=5),"-3",IF(OR(J582=6,J582=7),"-2",IF(OR(J582=8,J582=9),"-1",IF(OR(J582=10,J582=11),"0",IF(OR(J582=12,J582=13),"+1",IF(OR(J582=14,J582=15),"+2",IF(OR(J582=16,J582=17),"+3",IF(OR(J582=18,J582=19),"+4",IF(OR(J582=20,J582=21),"+5",IF(OR(J582=22,J582=23),"+6",IF(OR(J582=24,J582=25),"+7",IF(OR(J582=26,J582=27),"+8",IF(OR(J582=28,J582=29),"+9",IF(J582=30,"+10"," "))))))))))))))))</f>
        <v>+2</v>
      </c>
      <c r="L582" s="3" t="n">
        <v>14</v>
      </c>
      <c r="M582" s="1" t="str">
        <f aca="false">IF(L582=1,"-5",IF(OR(L582=2,L582=3),"-4",IF(OR(L582=4,L582=5),"-3",IF(OR(L582=6,L582=7),"-2",IF(OR(L582=8,L582=9),"-1",IF(OR(L582=10,L582=11),"0",IF(OR(L582=12,L582=13),"+1",IF(OR(L582=14,L582=15),"+2",IF(OR(L582=16,L582=17),"+3",IF(OR(L582=18,L582=19),"+4",IF(OR(L582=20,L582=21),"+5",IF(OR(L582=22,L582=23),"+6",IF(OR(L582=24,L582=25),"+7",IF(OR(L582=26,L582=27),"+8",IF(OR(L582=28,L582=29),"+9",IF(L582=30,"+10"," "))))))))))))))))</f>
        <v>+2</v>
      </c>
      <c r="N582" s="3" t="n">
        <v>18</v>
      </c>
      <c r="O582" s="1" t="str">
        <f aca="false">IF(N582=1,"-5",IF(OR(N582=2,N582=3),"-4",IF(OR(N582=4,N582=5),"-3",IF(OR(N582=6,N582=7),"-2",IF(OR(N582=8,N582=9),"-1",IF(OR(N582=10,N582=11),"0",IF(OR(N582=12,N582=13),"+1",IF(OR(N582=14,N582=15),"+2",IF(OR(N582=16,N582=17),"+3",IF(OR(N582=18,N582=19),"+4",IF(OR(N582=20,N582=21),"+5",IF(OR(N582=22,N582=23),"+6",IF(OR(N582=24,N582=25),"+7",IF(OR(N582=26,N582=27),"+8",IF(OR(N582=28,N582=29),"+9",IF(N582=30,"+10"," "))))))))))))))))</f>
        <v>+4</v>
      </c>
      <c r="P582" s="3" t="n">
        <v>13</v>
      </c>
      <c r="Q582" s="1" t="str">
        <f aca="false">IF(P582=1,"-5",IF(OR(P582=2,P582=3),"-4",IF(OR(P582=4,P582=5),"-3",IF(OR(P582=6,P582=7),"-2",IF(OR(P582=8,P582=9),"-1",IF(OR(P582=10,P582=11),"0",IF(OR(P582=12,P582=13),"+1",IF(OR(P582=14,P582=15),"+2",IF(OR(P582=16,P582=17),"+3",IF(OR(P582=18,P582=19),"+4",IF(OR(P582=20,P582=21),"+5",IF(OR(P582=22,P582=23),"+6",IF(OR(P582=24,P582=25),"+7",IF(OR(P582=26,P582=27),"+8",IF(OR(P582=28,P582=29),"+9",IF(P582=30,"+10"," "))))))))))))))))</f>
        <v>+1</v>
      </c>
      <c r="R582" s="3" t="n">
        <v>15</v>
      </c>
      <c r="S582" s="1" t="str">
        <f aca="false">IF(R582=1,"-5",IF(OR(R582=2,R582=3),"-4",IF(OR(R582=4,R582=5),"-3",IF(OR(R582=6,R582=7),"-2",IF(OR(R582=8,R582=9),"-1",IF(OR(R582=10,R582=11),"0",IF(OR(R582=12,R582=13),"+1",IF(OR(R582=14,R582=15),"+2",IF(OR(R582=16,R582=17),"+3",IF(OR(R582=18,R582=19),"+4",IF(OR(R582=20,R582=21),"+5",IF(OR(R582=22,R582=23),"+6",IF(OR(R582=24,R582=25),"+7",IF(OR(R582=26,R582=27),"+8",IF(OR(R582=28,R582=29),"+9",IF(R582=30,"+10"," "))))))))))))))))</f>
        <v>+2</v>
      </c>
      <c r="T582" s="3" t="n">
        <v>15</v>
      </c>
      <c r="U582" s="1" t="str">
        <f aca="false">IF(T582=1,"-5",IF(OR(T582=2,T582=3),"-4",IF(OR(T582=4,T582=5),"-3",IF(OR(T582=6,T582=7),"-2",IF(OR(T582=8,T582=9),"-1",IF(OR(T582=10,T582=11),"0",IF(OR(T582=12,T582=13),"+1",IF(OR(T582=14,T582=15),"+2",IF(OR(T582=16,T582=17),"+3",IF(OR(T582=18,T582=19),"+4",IF(OR(T582=20,T582=21),"+5",IF(OR(T582=22,T582=23),"+6",IF(OR(T582=24,T582=25),"+7",IF(OR(T582=26,T582=27),"+8",IF(OR(T582=28,T582=29),"+9",IF(T582=30,"+10"," "))))))))))))))))</f>
        <v>+2</v>
      </c>
      <c r="V582" s="3" t="s">
        <v>2753</v>
      </c>
      <c r="W582" s="3" t="s">
        <v>772</v>
      </c>
      <c r="X582" s="11" t="s">
        <v>2754</v>
      </c>
      <c r="Y582" s="11" t="s">
        <v>2755</v>
      </c>
      <c r="Z582" s="11" t="s">
        <v>37</v>
      </c>
      <c r="AA582" s="12" t="s">
        <v>37</v>
      </c>
    </row>
    <row r="583" customFormat="false" ht="16.4" hidden="false" customHeight="false" outlineLevel="0" collapsed="false">
      <c r="A583" s="15" t="s">
        <v>2756</v>
      </c>
      <c r="B583" s="3" t="s">
        <v>2757</v>
      </c>
      <c r="C583" s="3" t="s">
        <v>85</v>
      </c>
      <c r="D583" s="16" t="n">
        <v>7</v>
      </c>
      <c r="E583" s="6" t="n">
        <f aca="false">VLOOKUP(D583,'[1]REF Tables'!$A$2:$B$40,2)</f>
        <v>2900</v>
      </c>
      <c r="F583" s="3" t="s">
        <v>50</v>
      </c>
      <c r="G583" s="3" t="n">
        <v>15</v>
      </c>
      <c r="H583" s="3" t="s">
        <v>984</v>
      </c>
      <c r="I583" s="3" t="s">
        <v>224</v>
      </c>
      <c r="J583" s="3" t="n">
        <v>19</v>
      </c>
      <c r="K583" s="1" t="str">
        <f aca="false">IF(J583=1,"-5",IF(OR(J583=2,J583=3),"-4",IF(OR(J583=4,J583=5),"-3",IF(OR(J583=6,J583=7),"-2",IF(OR(J583=8,J583=9),"-1",IF(OR(J583=10,J583=11),"0",IF(OR(J583=12,J583=13),"+1",IF(OR(J583=14,J583=15),"+2",IF(OR(J583=16,J583=17),"+3",IF(OR(J583=18,J583=19),"+4",IF(OR(J583=20,J583=21),"+5",IF(OR(J583=22,J583=23),"+6",IF(OR(J583=24,J583=25),"+7",IF(OR(J583=26,J583=27),"+8",IF(OR(J583=28,J583=29),"+9",IF(J583=30,"+10"," "))))))))))))))))</f>
        <v>+4</v>
      </c>
      <c r="L583" s="3" t="n">
        <v>16</v>
      </c>
      <c r="M583" s="1" t="str">
        <f aca="false">IF(L583=1,"-5",IF(OR(L583=2,L583=3),"-4",IF(OR(L583=4,L583=5),"-3",IF(OR(L583=6,L583=7),"-2",IF(OR(L583=8,L583=9),"-1",IF(OR(L583=10,L583=11),"0",IF(OR(L583=12,L583=13),"+1",IF(OR(L583=14,L583=15),"+2",IF(OR(L583=16,L583=17),"+3",IF(OR(L583=18,L583=19),"+4",IF(OR(L583=20,L583=21),"+5",IF(OR(L583=22,L583=23),"+6",IF(OR(L583=24,L583=25),"+7",IF(OR(L583=26,L583=27),"+8",IF(OR(L583=28,L583=29),"+9",IF(L583=30,"+10"," "))))))))))))))))</f>
        <v>+3</v>
      </c>
      <c r="N583" s="3" t="n">
        <v>17</v>
      </c>
      <c r="O583" s="1" t="str">
        <f aca="false">IF(N583=1,"-5",IF(OR(N583=2,N583=3),"-4",IF(OR(N583=4,N583=5),"-3",IF(OR(N583=6,N583=7),"-2",IF(OR(N583=8,N583=9),"-1",IF(OR(N583=10,N583=11),"0",IF(OR(N583=12,N583=13),"+1",IF(OR(N583=14,N583=15),"+2",IF(OR(N583=16,N583=17),"+3",IF(OR(N583=18,N583=19),"+4",IF(OR(N583=20,N583=21),"+5",IF(OR(N583=22,N583=23),"+6",IF(OR(N583=24,N583=25),"+7",IF(OR(N583=26,N583=27),"+8",IF(OR(N583=28,N583=29),"+9",IF(N583=30,"+10"," "))))))))))))))))</f>
        <v>+3</v>
      </c>
      <c r="P583" s="3" t="n">
        <v>17</v>
      </c>
      <c r="Q583" s="1" t="str">
        <f aca="false">IF(P583=1,"-5",IF(OR(P583=2,P583=3),"-4",IF(OR(P583=4,P583=5),"-3",IF(OR(P583=6,P583=7),"-2",IF(OR(P583=8,P583=9),"-1",IF(OR(P583=10,P583=11),"0",IF(OR(P583=12,P583=13),"+1",IF(OR(P583=14,P583=15),"+2",IF(OR(P583=16,P583=17),"+3",IF(OR(P583=18,P583=19),"+4",IF(OR(P583=20,P583=21),"+5",IF(OR(P583=22,P583=23),"+6",IF(OR(P583=24,P583=25),"+7",IF(OR(P583=26,P583=27),"+8",IF(OR(P583=28,P583=29),"+9",IF(P583=30,"+10"," "))))))))))))))))</f>
        <v>+3</v>
      </c>
      <c r="R583" s="3" t="n">
        <v>15</v>
      </c>
      <c r="S583" s="1" t="str">
        <f aca="false">IF(R583=1,"-5",IF(OR(R583=2,R583=3),"-4",IF(OR(R583=4,R583=5),"-3",IF(OR(R583=6,R583=7),"-2",IF(OR(R583=8,R583=9),"-1",IF(OR(R583=10,R583=11),"0",IF(OR(R583=12,R583=13),"+1",IF(OR(R583=14,R583=15),"+2",IF(OR(R583=16,R583=17),"+3",IF(OR(R583=18,R583=19),"+4",IF(OR(R583=20,R583=21),"+5",IF(OR(R583=22,R583=23),"+6",IF(OR(R583=24,R583=25),"+7",IF(OR(R583=26,R583=27),"+8",IF(OR(R583=28,R583=29),"+9",IF(R583=30,"+10"," "))))))))))))))))</f>
        <v>+2</v>
      </c>
      <c r="T583" s="3" t="n">
        <v>18</v>
      </c>
      <c r="U583" s="1" t="str">
        <f aca="false">IF(T583=1,"-5",IF(OR(T583=2,T583=3),"-4",IF(OR(T583=4,T583=5),"-3",IF(OR(T583=6,T583=7),"-2",IF(OR(T583=8,T583=9),"-1",IF(OR(T583=10,T583=11),"0",IF(OR(T583=12,T583=13),"+1",IF(OR(T583=14,T583=15),"+2",IF(OR(T583=16,T583=17),"+3",IF(OR(T583=18,T583=19),"+4",IF(OR(T583=20,T583=21),"+5",IF(OR(T583=22,T583=23),"+6",IF(OR(T583=24,T583=25),"+7",IF(OR(T583=26,T583=27),"+8",IF(OR(T583=28,T583=29),"+9",IF(T583=30,"+10"," "))))))))))))))))</f>
        <v>+4</v>
      </c>
      <c r="V583" s="3" t="s">
        <v>2758</v>
      </c>
      <c r="W583" s="3" t="s">
        <v>2759</v>
      </c>
      <c r="X583" s="11" t="s">
        <v>2760</v>
      </c>
      <c r="Y583" s="11" t="s">
        <v>2761</v>
      </c>
      <c r="Z583" s="11" t="s">
        <v>37</v>
      </c>
      <c r="AA583" s="12" t="s">
        <v>37</v>
      </c>
    </row>
    <row r="584" customFormat="false" ht="16.4" hidden="false" customHeight="false" outlineLevel="0" collapsed="false">
      <c r="A584" s="15" t="s">
        <v>2762</v>
      </c>
      <c r="B584" s="3" t="s">
        <v>2757</v>
      </c>
      <c r="C584" s="3" t="s">
        <v>85</v>
      </c>
      <c r="D584" s="16" t="n">
        <v>12</v>
      </c>
      <c r="E584" s="6" t="n">
        <f aca="false">VLOOKUP(D584,'[1]REF Tables'!$A$2:$B$40,2)</f>
        <v>8400</v>
      </c>
      <c r="F584" s="3" t="s">
        <v>121</v>
      </c>
      <c r="G584" s="3" t="n">
        <v>16</v>
      </c>
      <c r="H584" s="3" t="s">
        <v>2763</v>
      </c>
      <c r="I584" s="3" t="s">
        <v>2764</v>
      </c>
      <c r="J584" s="3" t="n">
        <v>23</v>
      </c>
      <c r="K584" s="1" t="str">
        <f aca="false">IF(J584=1,"-5",IF(OR(J584=2,J584=3),"-4",IF(OR(J584=4,J584=5),"-3",IF(OR(J584=6,J584=7),"-2",IF(OR(J584=8,J584=9),"-1",IF(OR(J584=10,J584=11),"0",IF(OR(J584=12,J584=13),"+1",IF(OR(J584=14,J584=15),"+2",IF(OR(J584=16,J584=17),"+3",IF(OR(J584=18,J584=19),"+4",IF(OR(J584=20,J584=21),"+5",IF(OR(J584=22,J584=23),"+6",IF(OR(J584=24,J584=25),"+7",IF(OR(J584=26,J584=27),"+8",IF(OR(J584=28,J584=29),"+9",IF(J584=30,"+10"," "))))))))))))))))</f>
        <v>+6</v>
      </c>
      <c r="L584" s="3" t="n">
        <v>13</v>
      </c>
      <c r="M584" s="1" t="str">
        <f aca="false">IF(L584=1,"-5",IF(OR(L584=2,L584=3),"-4",IF(OR(L584=4,L584=5),"-3",IF(OR(L584=6,L584=7),"-2",IF(OR(L584=8,L584=9),"-1",IF(OR(L584=10,L584=11),"0",IF(OR(L584=12,L584=13),"+1",IF(OR(L584=14,L584=15),"+2",IF(OR(L584=16,L584=17),"+3",IF(OR(L584=18,L584=19),"+4",IF(OR(L584=20,L584=21),"+5",IF(OR(L584=22,L584=23),"+6",IF(OR(L584=24,L584=25),"+7",IF(OR(L584=26,L584=27),"+8",IF(OR(L584=28,L584=29),"+9",IF(L584=30,"+10"," "))))))))))))))))</f>
        <v>+1</v>
      </c>
      <c r="N584" s="3" t="n">
        <v>19</v>
      </c>
      <c r="O584" s="1" t="str">
        <f aca="false">IF(N584=1,"-5",IF(OR(N584=2,N584=3),"-4",IF(OR(N584=4,N584=5),"-3",IF(OR(N584=6,N584=7),"-2",IF(OR(N584=8,N584=9),"-1",IF(OR(N584=10,N584=11),"0",IF(OR(N584=12,N584=13),"+1",IF(OR(N584=14,N584=15),"+2",IF(OR(N584=16,N584=17),"+3",IF(OR(N584=18,N584=19),"+4",IF(OR(N584=20,N584=21),"+5",IF(OR(N584=22,N584=23),"+6",IF(OR(N584=24,N584=25),"+7",IF(OR(N584=26,N584=27),"+8",IF(OR(N584=28,N584=29),"+9",IF(N584=30,"+10"," "))))))))))))))))</f>
        <v>+4</v>
      </c>
      <c r="P584" s="3" t="n">
        <v>19</v>
      </c>
      <c r="Q584" s="1" t="str">
        <f aca="false">IF(P584=1,"-5",IF(OR(P584=2,P584=3),"-4",IF(OR(P584=4,P584=5),"-3",IF(OR(P584=6,P584=7),"-2",IF(OR(P584=8,P584=9),"-1",IF(OR(P584=10,P584=11),"0",IF(OR(P584=12,P584=13),"+1",IF(OR(P584=14,P584=15),"+2",IF(OR(P584=16,P584=17),"+3",IF(OR(P584=18,P584=19),"+4",IF(OR(P584=20,P584=21),"+5",IF(OR(P584=22,P584=23),"+6",IF(OR(P584=24,P584=25),"+7",IF(OR(P584=26,P584=27),"+8",IF(OR(P584=28,P584=29),"+9",IF(P584=30,"+10"," "))))))))))))))))</f>
        <v>+4</v>
      </c>
      <c r="R584" s="3" t="n">
        <v>17</v>
      </c>
      <c r="S584" s="1" t="str">
        <f aca="false">IF(R584=1,"-5",IF(OR(R584=2,R584=3),"-4",IF(OR(R584=4,R584=5),"-3",IF(OR(R584=6,R584=7),"-2",IF(OR(R584=8,R584=9),"-1",IF(OR(R584=10,R584=11),"0",IF(OR(R584=12,R584=13),"+1",IF(OR(R584=14,R584=15),"+2",IF(OR(R584=16,R584=17),"+3",IF(OR(R584=18,R584=19),"+4",IF(OR(R584=20,R584=21),"+5",IF(OR(R584=22,R584=23),"+6",IF(OR(R584=24,R584=25),"+7",IF(OR(R584=26,R584=27),"+8",IF(OR(R584=28,R584=29),"+9",IF(R584=30,"+10"," "))))))))))))))))</f>
        <v>+3</v>
      </c>
      <c r="T584" s="3" t="n">
        <v>20</v>
      </c>
      <c r="U584" s="1" t="str">
        <f aca="false">IF(T584=1,"-5",IF(OR(T584=2,T584=3),"-4",IF(OR(T584=4,T584=5),"-3",IF(OR(T584=6,T584=7),"-2",IF(OR(T584=8,T584=9),"-1",IF(OR(T584=10,T584=11),"0",IF(OR(T584=12,T584=13),"+1",IF(OR(T584=14,T584=15),"+2",IF(OR(T584=16,T584=17),"+3",IF(OR(T584=18,T584=19),"+4",IF(OR(T584=20,T584=21),"+5",IF(OR(T584=22,T584=23),"+6",IF(OR(T584=24,T584=25),"+7",IF(OR(T584=26,T584=27),"+8",IF(OR(T584=28,T584=29),"+9",IF(T584=30,"+10"," "))))))))))))))))</f>
        <v>+5</v>
      </c>
      <c r="V584" s="3" t="s">
        <v>2765</v>
      </c>
      <c r="W584" s="3" t="s">
        <v>2759</v>
      </c>
      <c r="X584" s="11" t="s">
        <v>2766</v>
      </c>
      <c r="Y584" s="11" t="s">
        <v>2767</v>
      </c>
      <c r="Z584" s="11" t="s">
        <v>37</v>
      </c>
      <c r="AA584" s="12" t="s">
        <v>37</v>
      </c>
    </row>
    <row r="585" customFormat="false" ht="16.4" hidden="false" customHeight="false" outlineLevel="0" collapsed="false">
      <c r="A585" s="15" t="s">
        <v>2768</v>
      </c>
      <c r="B585" s="3" t="s">
        <v>2757</v>
      </c>
      <c r="C585" s="3" t="s">
        <v>85</v>
      </c>
      <c r="D585" s="16" t="n">
        <v>4</v>
      </c>
      <c r="E585" s="6" t="n">
        <f aca="false">VLOOKUP(D585,'[1]REF Tables'!$A$2:$B$40,2)</f>
        <v>1100</v>
      </c>
      <c r="F585" s="3" t="s">
        <v>30</v>
      </c>
      <c r="G585" s="3" t="n">
        <v>14</v>
      </c>
      <c r="H585" s="3" t="s">
        <v>1077</v>
      </c>
      <c r="I585" s="3" t="s">
        <v>42</v>
      </c>
      <c r="J585" s="3" t="n">
        <v>16</v>
      </c>
      <c r="K585" s="1" t="str">
        <f aca="false">IF(J585=1,"-5",IF(OR(J585=2,J585=3),"-4",IF(OR(J585=4,J585=5),"-3",IF(OR(J585=6,J585=7),"-2",IF(OR(J585=8,J585=9),"-1",IF(OR(J585=10,J585=11),"0",IF(OR(J585=12,J585=13),"+1",IF(OR(J585=14,J585=15),"+2",IF(OR(J585=16,J585=17),"+3",IF(OR(J585=18,J585=19),"+4",IF(OR(J585=20,J585=21),"+5",IF(OR(J585=22,J585=23),"+6",IF(OR(J585=24,J585=25),"+7",IF(OR(J585=26,J585=27),"+8",IF(OR(J585=28,J585=29),"+9",IF(J585=30,"+10"," "))))))))))))))))</f>
        <v>+3</v>
      </c>
      <c r="L585" s="3" t="n">
        <v>14</v>
      </c>
      <c r="M585" s="1" t="str">
        <f aca="false">IF(L585=1,"-5",IF(OR(L585=2,L585=3),"-4",IF(OR(L585=4,L585=5),"-3",IF(OR(L585=6,L585=7),"-2",IF(OR(L585=8,L585=9),"-1",IF(OR(L585=10,L585=11),"0",IF(OR(L585=12,L585=13),"+1",IF(OR(L585=14,L585=15),"+2",IF(OR(L585=16,L585=17),"+3",IF(OR(L585=18,L585=19),"+4",IF(OR(L585=20,L585=21),"+5",IF(OR(L585=22,L585=23),"+6",IF(OR(L585=24,L585=25),"+7",IF(OR(L585=26,L585=27),"+8",IF(OR(L585=28,L585=29),"+9",IF(L585=30,"+10"," "))))))))))))))))</f>
        <v>+2</v>
      </c>
      <c r="N585" s="3" t="n">
        <v>13</v>
      </c>
      <c r="O585" s="1" t="str">
        <f aca="false">IF(N585=1,"-5",IF(OR(N585=2,N585=3),"-4",IF(OR(N585=4,N585=5),"-3",IF(OR(N585=6,N585=7),"-2",IF(OR(N585=8,N585=9),"-1",IF(OR(N585=10,N585=11),"0",IF(OR(N585=12,N585=13),"+1",IF(OR(N585=14,N585=15),"+2",IF(OR(N585=16,N585=17),"+3",IF(OR(N585=18,N585=19),"+4",IF(OR(N585=20,N585=21),"+5",IF(OR(N585=22,N585=23),"+6",IF(OR(N585=24,N585=25),"+7",IF(OR(N585=26,N585=27),"+8",IF(OR(N585=28,N585=29),"+9",IF(N585=30,"+10"," "))))))))))))))))</f>
        <v>+1</v>
      </c>
      <c r="P585" s="3" t="n">
        <v>14</v>
      </c>
      <c r="Q585" s="1" t="str">
        <f aca="false">IF(P585=1,"-5",IF(OR(P585=2,P585=3),"-4",IF(OR(P585=4,P585=5),"-3",IF(OR(P585=6,P585=7),"-2",IF(OR(P585=8,P585=9),"-1",IF(OR(P585=10,P585=11),"0",IF(OR(P585=12,P585=13),"+1",IF(OR(P585=14,P585=15),"+2",IF(OR(P585=16,P585=17),"+3",IF(OR(P585=18,P585=19),"+4",IF(OR(P585=20,P585=21),"+5",IF(OR(P585=22,P585=23),"+6",IF(OR(P585=24,P585=25),"+7",IF(OR(P585=26,P585=27),"+8",IF(OR(P585=28,P585=29),"+9",IF(P585=30,"+10"," "))))))))))))))))</f>
        <v>+2</v>
      </c>
      <c r="R585" s="3" t="n">
        <v>12</v>
      </c>
      <c r="S585" s="1" t="str">
        <f aca="false">IF(R585=1,"-5",IF(OR(R585=2,R585=3),"-4",IF(OR(R585=4,R585=5),"-3",IF(OR(R585=6,R585=7),"-2",IF(OR(R585=8,R585=9),"-1",IF(OR(R585=10,R585=11),"0",IF(OR(R585=12,R585=13),"+1",IF(OR(R585=14,R585=15),"+2",IF(OR(R585=16,R585=17),"+3",IF(OR(R585=18,R585=19),"+4",IF(OR(R585=20,R585=21),"+5",IF(OR(R585=22,R585=23),"+6",IF(OR(R585=24,R585=25),"+7",IF(OR(R585=26,R585=27),"+8",IF(OR(R585=28,R585=29),"+9",IF(R585=30,"+10"," "))))))))))))))))</f>
        <v>+1</v>
      </c>
      <c r="T585" s="3" t="n">
        <v>16</v>
      </c>
      <c r="U585" s="1" t="str">
        <f aca="false">IF(T585=1,"-5",IF(OR(T585=2,T585=3),"-4",IF(OR(T585=4,T585=5),"-3",IF(OR(T585=6,T585=7),"-2",IF(OR(T585=8,T585=9),"-1",IF(OR(T585=10,T585=11),"0",IF(OR(T585=12,T585=13),"+1",IF(OR(T585=14,T585=15),"+2",IF(OR(T585=16,T585=17),"+3",IF(OR(T585=18,T585=19),"+4",IF(OR(T585=20,T585=21),"+5",IF(OR(T585=22,T585=23),"+6",IF(OR(T585=24,T585=25),"+7",IF(OR(T585=26,T585=27),"+8",IF(OR(T585=28,T585=29),"+9",IF(T585=30,"+10"," "))))))))))))))))</f>
        <v>+3</v>
      </c>
      <c r="V585" s="3" t="s">
        <v>2769</v>
      </c>
      <c r="W585" s="3" t="s">
        <v>2759</v>
      </c>
      <c r="X585" s="11" t="s">
        <v>2770</v>
      </c>
      <c r="Y585" s="11" t="s">
        <v>2771</v>
      </c>
      <c r="Z585" s="11" t="s">
        <v>37</v>
      </c>
      <c r="AA585" s="12" t="s">
        <v>37</v>
      </c>
    </row>
    <row r="586" customFormat="false" ht="91" hidden="false" customHeight="false" outlineLevel="0" collapsed="false">
      <c r="A586" s="15" t="s">
        <v>2772</v>
      </c>
      <c r="B586" s="3" t="s">
        <v>2757</v>
      </c>
      <c r="C586" s="3" t="s">
        <v>85</v>
      </c>
      <c r="D586" s="16" t="n">
        <v>4</v>
      </c>
      <c r="E586" s="6" t="n">
        <f aca="false">VLOOKUP(D586,'[1]REF Tables'!$A$2:$B$40,2)</f>
        <v>1100</v>
      </c>
      <c r="F586" s="3" t="s">
        <v>30</v>
      </c>
      <c r="G586" s="3" t="n">
        <v>14</v>
      </c>
      <c r="H586" s="3" t="s">
        <v>1077</v>
      </c>
      <c r="I586" s="3" t="s">
        <v>42</v>
      </c>
      <c r="J586" s="3" t="n">
        <v>16</v>
      </c>
      <c r="K586" s="1" t="str">
        <f aca="false">IF(J586=1,"-5",IF(OR(J586=2,J586=3),"-4",IF(OR(J586=4,J586=5),"-3",IF(OR(J586=6,J586=7),"-2",IF(OR(J586=8,J586=9),"-1",IF(OR(J586=10,J586=11),"0",IF(OR(J586=12,J586=13),"+1",IF(OR(J586=14,J586=15),"+2",IF(OR(J586=16,J586=17),"+3",IF(OR(J586=18,J586=19),"+4",IF(OR(J586=20,J586=21),"+5",IF(OR(J586=22,J586=23),"+6",IF(OR(J586=24,J586=25),"+7",IF(OR(J586=26,J586=27),"+8",IF(OR(J586=28,J586=29),"+9",IF(J586=30,"+10"," "))))))))))))))))</f>
        <v>+3</v>
      </c>
      <c r="L586" s="3" t="n">
        <v>14</v>
      </c>
      <c r="M586" s="1" t="str">
        <f aca="false">IF(L586=1,"-5",IF(OR(L586=2,L586=3),"-4",IF(OR(L586=4,L586=5),"-3",IF(OR(L586=6,L586=7),"-2",IF(OR(L586=8,L586=9),"-1",IF(OR(L586=10,L586=11),"0",IF(OR(L586=12,L586=13),"+1",IF(OR(L586=14,L586=15),"+2",IF(OR(L586=16,L586=17),"+3",IF(OR(L586=18,L586=19),"+4",IF(OR(L586=20,L586=21),"+5",IF(OR(L586=22,L586=23),"+6",IF(OR(L586=24,L586=25),"+7",IF(OR(L586=26,L586=27),"+8",IF(OR(L586=28,L586=29),"+9",IF(L586=30,"+10"," "))))))))))))))))</f>
        <v>+2</v>
      </c>
      <c r="N586" s="3" t="n">
        <v>13</v>
      </c>
      <c r="O586" s="1" t="str">
        <f aca="false">IF(N586=1,"-5",IF(OR(N586=2,N586=3),"-4",IF(OR(N586=4,N586=5),"-3",IF(OR(N586=6,N586=7),"-2",IF(OR(N586=8,N586=9),"-1",IF(OR(N586=10,N586=11),"0",IF(OR(N586=12,N586=13),"+1",IF(OR(N586=14,N586=15),"+2",IF(OR(N586=16,N586=17),"+3",IF(OR(N586=18,N586=19),"+4",IF(OR(N586=20,N586=21),"+5",IF(OR(N586=22,N586=23),"+6",IF(OR(N586=24,N586=25),"+7",IF(OR(N586=26,N586=27),"+8",IF(OR(N586=28,N586=29),"+9",IF(N586=30,"+10"," "))))))))))))))))</f>
        <v>+1</v>
      </c>
      <c r="P586" s="3" t="n">
        <v>14</v>
      </c>
      <c r="Q586" s="1" t="str">
        <f aca="false">IF(P586=1,"-5",IF(OR(P586=2,P586=3),"-4",IF(OR(P586=4,P586=5),"-3",IF(OR(P586=6,P586=7),"-2",IF(OR(P586=8,P586=9),"-1",IF(OR(P586=10,P586=11),"0",IF(OR(P586=12,P586=13),"+1",IF(OR(P586=14,P586=15),"+2",IF(OR(P586=16,P586=17),"+3",IF(OR(P586=18,P586=19),"+4",IF(OR(P586=20,P586=21),"+5",IF(OR(P586=22,P586=23),"+6",IF(OR(P586=24,P586=25),"+7",IF(OR(P586=26,P586=27),"+8",IF(OR(P586=28,P586=29),"+9",IF(P586=30,"+10"," "))))))))))))))))</f>
        <v>+2</v>
      </c>
      <c r="R586" s="3" t="n">
        <v>14</v>
      </c>
      <c r="S586" s="1" t="str">
        <f aca="false">IF(R586=1,"-5",IF(OR(R586=2,R586=3),"-4",IF(OR(R586=4,R586=5),"-3",IF(OR(R586=6,R586=7),"-2",IF(OR(R586=8,R586=9),"-1",IF(OR(R586=10,R586=11),"0",IF(OR(R586=12,R586=13),"+1",IF(OR(R586=14,R586=15),"+2",IF(OR(R586=16,R586=17),"+3",IF(OR(R586=18,R586=19),"+4",IF(OR(R586=20,R586=21),"+5",IF(OR(R586=22,R586=23),"+6",IF(OR(R586=24,R586=25),"+7",IF(OR(R586=26,R586=27),"+8",IF(OR(R586=28,R586=29),"+9",IF(R586=30,"+10"," "))))))))))))))))</f>
        <v>+2</v>
      </c>
      <c r="T586" s="3" t="n">
        <v>16</v>
      </c>
      <c r="U586" s="1" t="str">
        <f aca="false">IF(T586=1,"-5",IF(OR(T586=2,T586=3),"-4",IF(OR(T586=4,T586=5),"-3",IF(OR(T586=6,T586=7),"-2",IF(OR(T586=8,T586=9),"-1",IF(OR(T586=10,T586=11),"0",IF(OR(T586=12,T586=13),"+1",IF(OR(T586=14,T586=15),"+2",IF(OR(T586=16,T586=17),"+3",IF(OR(T586=18,T586=19),"+4",IF(OR(T586=20,T586=21),"+5",IF(OR(T586=22,T586=23),"+6",IF(OR(T586=24,T586=25),"+7",IF(OR(T586=26,T586=27),"+8",IF(OR(T586=28,T586=29),"+9",IF(T586=30,"+10"," "))))))))))))))))</f>
        <v>+3</v>
      </c>
      <c r="V586" s="20" t="s">
        <v>2773</v>
      </c>
      <c r="W586" s="3" t="s">
        <v>2759</v>
      </c>
      <c r="X586" s="11" t="s">
        <v>2774</v>
      </c>
      <c r="Y586" s="11" t="s">
        <v>2775</v>
      </c>
      <c r="Z586" s="11" t="s">
        <v>37</v>
      </c>
      <c r="AA586" s="12" t="s">
        <v>37</v>
      </c>
      <c r="AB586" s="1"/>
      <c r="AC586" s="1"/>
      <c r="AD586" s="1"/>
      <c r="AE586" s="1"/>
      <c r="AF586" s="1"/>
    </row>
    <row r="587" customFormat="false" ht="76.1" hidden="false" customHeight="false" outlineLevel="0" collapsed="false">
      <c r="A587" s="15" t="s">
        <v>2776</v>
      </c>
      <c r="B587" s="3" t="s">
        <v>2777</v>
      </c>
      <c r="C587" s="3" t="s">
        <v>85</v>
      </c>
      <c r="D587" s="16" t="n">
        <v>2</v>
      </c>
      <c r="E587" s="3" t="n">
        <f aca="false">VLOOKUP(D587,'[1]REF Tables'!$A$2:$B$40,2)</f>
        <v>450</v>
      </c>
      <c r="F587" s="3" t="s">
        <v>30</v>
      </c>
      <c r="G587" s="3" t="n">
        <v>14</v>
      </c>
      <c r="H587" s="3" t="s">
        <v>1620</v>
      </c>
      <c r="I587" s="3" t="s">
        <v>42</v>
      </c>
      <c r="J587" s="3" t="n">
        <v>15</v>
      </c>
      <c r="K587" s="1" t="str">
        <f aca="false">IF(J587=1,"-5",IF(OR(J587=2,J587=3),"-4",IF(OR(J587=4,J587=5),"-3",IF(OR(J587=6,J587=7),"-2",IF(OR(J587=8,J587=9),"-1",IF(OR(J587=10,J587=11),"0",IF(OR(J587=12,J587=13),"+1",IF(OR(J587=14,J587=15),"+2",IF(OR(J587=16,J587=17),"+3",IF(OR(J587=18,J587=19),"+4",IF(OR(J587=20,J587=21),"+5",IF(OR(J587=22,J587=23),"+6",IF(OR(J587=24,J587=25),"+7",IF(OR(J587=26,J587=27),"+8",IF(OR(J587=28,J587=29),"+9",IF(J587=30,"+10"," "))))))))))))))))</f>
        <v>+2</v>
      </c>
      <c r="L587" s="3" t="n">
        <v>14</v>
      </c>
      <c r="M587" s="1" t="str">
        <f aca="false">IF(L587=1,"-5",IF(OR(L587=2,L587=3),"-4",IF(OR(L587=4,L587=5),"-3",IF(OR(L587=6,L587=7),"-2",IF(OR(L587=8,L587=9),"-1",IF(OR(L587=10,L587=11),"0",IF(OR(L587=12,L587=13),"+1",IF(OR(L587=14,L587=15),"+2",IF(OR(L587=16,L587=17),"+3",IF(OR(L587=18,L587=19),"+4",IF(OR(L587=20,L587=21),"+5",IF(OR(L587=22,L587=23),"+6",IF(OR(L587=24,L587=25),"+7",IF(OR(L587=26,L587=27),"+8",IF(OR(L587=28,L587=29),"+9",IF(L587=30,"+10"," "))))))))))))))))</f>
        <v>+2</v>
      </c>
      <c r="N587" s="3" t="n">
        <v>14</v>
      </c>
      <c r="O587" s="1" t="str">
        <f aca="false">IF(N587=1,"-5",IF(OR(N587=2,N587=3),"-4",IF(OR(N587=4,N587=5),"-3",IF(OR(N587=6,N587=7),"-2",IF(OR(N587=8,N587=9),"-1",IF(OR(N587=10,N587=11),"0",IF(OR(N587=12,N587=13),"+1",IF(OR(N587=14,N587=15),"+2",IF(OR(N587=16,N587=17),"+3",IF(OR(N587=18,N587=19),"+4",IF(OR(N587=20,N587=21),"+5",IF(OR(N587=22,N587=23),"+6",IF(OR(N587=24,N587=25),"+7",IF(OR(N587=26,N587=27),"+8",IF(OR(N587=28,N587=29),"+9",IF(N587=30,"+10"," "))))))))))))))))</f>
        <v>+2</v>
      </c>
      <c r="P587" s="3" t="n">
        <v>6</v>
      </c>
      <c r="Q587" s="1" t="str">
        <f aca="false">IF(P587=1,"-5",IF(OR(P587=2,P587=3),"-4",IF(OR(P587=4,P587=5),"-3",IF(OR(P587=6,P587=7),"-2",IF(OR(P587=8,P587=9),"-1",IF(OR(P587=10,P587=11),"0",IF(OR(P587=12,P587=13),"+1",IF(OR(P587=14,P587=15),"+2",IF(OR(P587=16,P587=17),"+3",IF(OR(P587=18,P587=19),"+4",IF(OR(P587=20,P587=21),"+5",IF(OR(P587=22,P587=23),"+6",IF(OR(P587=24,P587=25),"+7",IF(OR(P587=26,P587=27),"+8",IF(OR(P587=28,P587=29),"+9",IF(P587=30,"+10"," "))))))))))))))))</f>
        <v>-2</v>
      </c>
      <c r="R587" s="3" t="n">
        <v>11</v>
      </c>
      <c r="S587" s="1" t="str">
        <f aca="false">IF(R587=1,"-5",IF(OR(R587=2,R587=3),"-4",IF(OR(R587=4,R587=5),"-3",IF(OR(R587=6,R587=7),"-2",IF(OR(R587=8,R587=9),"-1",IF(OR(R587=10,R587=11),"0",IF(OR(R587=12,R587=13),"+1",IF(OR(R587=14,R587=15),"+2",IF(OR(R587=16,R587=17),"+3",IF(OR(R587=18,R587=19),"+4",IF(OR(R587=20,R587=21),"+5",IF(OR(R587=22,R587=23),"+6",IF(OR(R587=24,R587=25),"+7",IF(OR(R587=26,R587=27),"+8",IF(OR(R587=28,R587=29),"+9",IF(R587=30,"+10"," "))))))))))))))))</f>
        <v>0</v>
      </c>
      <c r="T587" s="3" t="n">
        <v>4</v>
      </c>
      <c r="U587" s="1" t="str">
        <f aca="false">IF(T587=1,"-5",IF(OR(T587=2,T587=3),"-4",IF(OR(T587=4,T587=5),"-3",IF(OR(T587=6,T587=7),"-2",IF(OR(T587=8,T587=9),"-1",IF(OR(T587=10,T587=11),"0",IF(OR(T587=12,T587=13),"+1",IF(OR(T587=14,T587=15),"+2",IF(OR(T587=16,T587=17),"+3",IF(OR(T587=18,T587=19),"+4",IF(OR(T587=20,T587=21),"+5",IF(OR(T587=22,T587=23),"+6",IF(OR(T587=24,T587=25),"+7",IF(OR(T587=26,T587=27),"+8",IF(OR(T587=28,T587=29),"+9",IF(T587=30,"+10"," "))))))))))))))))</f>
        <v>-3</v>
      </c>
      <c r="V587" s="20" t="s">
        <v>2778</v>
      </c>
      <c r="W587" s="3" t="s">
        <v>2759</v>
      </c>
      <c r="X587" s="11" t="s">
        <v>2779</v>
      </c>
      <c r="Y587" s="11" t="s">
        <v>2780</v>
      </c>
      <c r="Z587" s="11" t="s">
        <v>37</v>
      </c>
      <c r="AA587" s="12" t="s">
        <v>37</v>
      </c>
    </row>
    <row r="588" customFormat="false" ht="16.4" hidden="false" customHeight="false" outlineLevel="0" collapsed="false">
      <c r="A588" s="15" t="s">
        <v>2781</v>
      </c>
      <c r="B588" s="3" t="s">
        <v>2782</v>
      </c>
      <c r="C588" s="3" t="s">
        <v>85</v>
      </c>
      <c r="D588" s="16" t="n">
        <v>5</v>
      </c>
      <c r="E588" s="6" t="n">
        <f aca="false">VLOOKUP(D588,'[1]REF Tables'!$A$2:$B$40,2)</f>
        <v>1800</v>
      </c>
      <c r="F588" s="3" t="s">
        <v>30</v>
      </c>
      <c r="G588" s="3" t="n">
        <v>14</v>
      </c>
      <c r="H588" s="3" t="s">
        <v>2783</v>
      </c>
      <c r="I588" s="3" t="s">
        <v>42</v>
      </c>
      <c r="J588" s="3" t="n">
        <v>16</v>
      </c>
      <c r="K588" s="1" t="str">
        <f aca="false">IF(J588=1,"-5",IF(OR(J588=2,J588=3),"-4",IF(OR(J588=4,J588=5),"-3",IF(OR(J588=6,J588=7),"-2",IF(OR(J588=8,J588=9),"-1",IF(OR(J588=10,J588=11),"0",IF(OR(J588=12,J588=13),"+1",IF(OR(J588=14,J588=15),"+2",IF(OR(J588=16,J588=17),"+3",IF(OR(J588=18,J588=19),"+4",IF(OR(J588=20,J588=21),"+5",IF(OR(J588=22,J588=23),"+6",IF(OR(J588=24,J588=25),"+7",IF(OR(J588=26,J588=27),"+8",IF(OR(J588=28,J588=29),"+9",IF(J588=30,"+10"," "))))))))))))))))</f>
        <v>+3</v>
      </c>
      <c r="L588" s="3" t="n">
        <v>14</v>
      </c>
      <c r="M588" s="1" t="str">
        <f aca="false">IF(L588=1,"-5",IF(OR(L588=2,L588=3),"-4",IF(OR(L588=4,L588=5),"-3",IF(OR(L588=6,L588=7),"-2",IF(OR(L588=8,L588=9),"-1",IF(OR(L588=10,L588=11),"0",IF(OR(L588=12,L588=13),"+1",IF(OR(L588=14,L588=15),"+2",IF(OR(L588=16,L588=17),"+3",IF(OR(L588=18,L588=19),"+4",IF(OR(L588=20,L588=21),"+5",IF(OR(L588=22,L588=23),"+6",IF(OR(L588=24,L588=25),"+7",IF(OR(L588=26,L588=27),"+8",IF(OR(L588=28,L588=29),"+9",IF(L588=30,"+10"," "))))))))))))))))</f>
        <v>+2</v>
      </c>
      <c r="N588" s="3" t="n">
        <v>13</v>
      </c>
      <c r="O588" s="1" t="str">
        <f aca="false">IF(N588=1,"-5",IF(OR(N588=2,N588=3),"-4",IF(OR(N588=4,N588=5),"-3",IF(OR(N588=6,N588=7),"-2",IF(OR(N588=8,N588=9),"-1",IF(OR(N588=10,N588=11),"0",IF(OR(N588=12,N588=13),"+1",IF(OR(N588=14,N588=15),"+2",IF(OR(N588=16,N588=17),"+3",IF(OR(N588=18,N588=19),"+4",IF(OR(N588=20,N588=21),"+5",IF(OR(N588=22,N588=23),"+6",IF(OR(N588=24,N588=25),"+7",IF(OR(N588=26,N588=27),"+8",IF(OR(N588=28,N588=29),"+9",IF(N588=30,"+10"," "))))))))))))))))</f>
        <v>+1</v>
      </c>
      <c r="P588" s="3" t="n">
        <v>14</v>
      </c>
      <c r="Q588" s="1" t="str">
        <f aca="false">IF(P588=1,"-5",IF(OR(P588=2,P588=3),"-4",IF(OR(P588=4,P588=5),"-3",IF(OR(P588=6,P588=7),"-2",IF(OR(P588=8,P588=9),"-1",IF(OR(P588=10,P588=11),"0",IF(OR(P588=12,P588=13),"+1",IF(OR(P588=14,P588=15),"+2",IF(OR(P588=16,P588=17),"+3",IF(OR(P588=18,P588=19),"+4",IF(OR(P588=20,P588=21),"+5",IF(OR(P588=22,P588=23),"+6",IF(OR(P588=24,P588=25),"+7",IF(OR(P588=26,P588=27),"+8",IF(OR(P588=28,P588=29),"+9",IF(P588=30,"+10"," "))))))))))))))))</f>
        <v>+2</v>
      </c>
      <c r="R588" s="3" t="n">
        <v>12</v>
      </c>
      <c r="S588" s="1" t="str">
        <f aca="false">IF(R588=1,"-5",IF(OR(R588=2,R588=3),"-4",IF(OR(R588=4,R588=5),"-3",IF(OR(R588=6,R588=7),"-2",IF(OR(R588=8,R588=9),"-1",IF(OR(R588=10,R588=11),"0",IF(OR(R588=12,R588=13),"+1",IF(OR(R588=14,R588=15),"+2",IF(OR(R588=16,R588=17),"+3",IF(OR(R588=18,R588=19),"+4",IF(OR(R588=20,R588=21),"+5",IF(OR(R588=22,R588=23),"+6",IF(OR(R588=24,R588=25),"+7",IF(OR(R588=26,R588=27),"+8",IF(OR(R588=28,R588=29),"+9",IF(R588=30,"+10"," "))))))))))))))))</f>
        <v>+1</v>
      </c>
      <c r="T588" s="3" t="n">
        <v>16</v>
      </c>
      <c r="U588" s="1" t="str">
        <f aca="false">IF(T588=1,"-5",IF(OR(T588=2,T588=3),"-4",IF(OR(T588=4,T588=5),"-3",IF(OR(T588=6,T588=7),"-2",IF(OR(T588=8,T588=9),"-1",IF(OR(T588=10,T588=11),"0",IF(OR(T588=12,T588=13),"+1",IF(OR(T588=14,T588=15),"+2",IF(OR(T588=16,T588=17),"+3",IF(OR(T588=18,T588=19),"+4",IF(OR(T588=20,T588=21),"+5",IF(OR(T588=22,T588=23),"+6",IF(OR(T588=24,T588=25),"+7",IF(OR(T588=26,T588=27),"+8",IF(OR(T588=28,T588=29),"+9",IF(T588=30,"+10"," "))))))))))))))))</f>
        <v>+3</v>
      </c>
      <c r="V588" s="3" t="s">
        <v>2784</v>
      </c>
      <c r="W588" s="3" t="s">
        <v>2759</v>
      </c>
      <c r="X588" s="11" t="s">
        <v>2785</v>
      </c>
      <c r="Y588" s="11" t="s">
        <v>2786</v>
      </c>
      <c r="Z588" s="11" t="s">
        <v>37</v>
      </c>
      <c r="AA588" s="12" t="s">
        <v>37</v>
      </c>
    </row>
    <row r="589" customFormat="false" ht="16.4" hidden="false" customHeight="false" outlineLevel="0" collapsed="false">
      <c r="A589" s="15" t="s">
        <v>2787</v>
      </c>
      <c r="B589" s="3" t="s">
        <v>2782</v>
      </c>
      <c r="C589" s="3" t="s">
        <v>85</v>
      </c>
      <c r="D589" s="16" t="n">
        <v>3</v>
      </c>
      <c r="E589" s="3" t="n">
        <f aca="false">VLOOKUP(D589,'[1]REF Tables'!$A$2:$B$40,2)</f>
        <v>700</v>
      </c>
      <c r="F589" s="3" t="s">
        <v>30</v>
      </c>
      <c r="G589" s="3" t="n">
        <v>12</v>
      </c>
      <c r="H589" s="3" t="s">
        <v>365</v>
      </c>
      <c r="I589" s="3" t="s">
        <v>42</v>
      </c>
      <c r="J589" s="3" t="n">
        <v>16</v>
      </c>
      <c r="K589" s="1" t="str">
        <f aca="false">IF(J589=1,"-5",IF(OR(J589=2,J589=3),"-4",IF(OR(J589=4,J589=5),"-3",IF(OR(J589=6,J589=7),"-2",IF(OR(J589=8,J589=9),"-1",IF(OR(J589=10,J589=11),"0",IF(OR(J589=12,J589=13),"+1",IF(OR(J589=14,J589=15),"+2",IF(OR(J589=16,J589=17),"+3",IF(OR(J589=18,J589=19),"+4",IF(OR(J589=20,J589=21),"+5",IF(OR(J589=22,J589=23),"+6",IF(OR(J589=24,J589=25),"+7",IF(OR(J589=26,J589=27),"+8",IF(OR(J589=28,J589=29),"+9",IF(J589=30,"+10"," "))))))))))))))))</f>
        <v>+3</v>
      </c>
      <c r="L589" s="3" t="n">
        <v>14</v>
      </c>
      <c r="M589" s="1" t="str">
        <f aca="false">IF(L589=1,"-5",IF(OR(L589=2,L589=3),"-4",IF(OR(L589=4,L589=5),"-3",IF(OR(L589=6,L589=7),"-2",IF(OR(L589=8,L589=9),"-1",IF(OR(L589=10,L589=11),"0",IF(OR(L589=12,L589=13),"+1",IF(OR(L589=14,L589=15),"+2",IF(OR(L589=16,L589=17),"+3",IF(OR(L589=18,L589=19),"+4",IF(OR(L589=20,L589=21),"+5",IF(OR(L589=22,L589=23),"+6",IF(OR(L589=24,L589=25),"+7",IF(OR(L589=26,L589=27),"+8",IF(OR(L589=28,L589=29),"+9",IF(L589=30,"+10"," "))))))))))))))))</f>
        <v>+2</v>
      </c>
      <c r="N589" s="3" t="n">
        <v>13</v>
      </c>
      <c r="O589" s="1" t="str">
        <f aca="false">IF(N589=1,"-5",IF(OR(N589=2,N589=3),"-4",IF(OR(N589=4,N589=5),"-3",IF(OR(N589=6,N589=7),"-2",IF(OR(N589=8,N589=9),"-1",IF(OR(N589=10,N589=11),"0",IF(OR(N589=12,N589=13),"+1",IF(OR(N589=14,N589=15),"+2",IF(OR(N589=16,N589=17),"+3",IF(OR(N589=18,N589=19),"+4",IF(OR(N589=20,N589=21),"+5",IF(OR(N589=22,N589=23),"+6",IF(OR(N589=24,N589=25),"+7",IF(OR(N589=26,N589=27),"+8",IF(OR(N589=28,N589=29),"+9",IF(N589=30,"+10"," "))))))))))))))))</f>
        <v>+1</v>
      </c>
      <c r="P589" s="3" t="n">
        <v>14</v>
      </c>
      <c r="Q589" s="1" t="str">
        <f aca="false">IF(P589=1,"-5",IF(OR(P589=2,P589=3),"-4",IF(OR(P589=4,P589=5),"-3",IF(OR(P589=6,P589=7),"-2",IF(OR(P589=8,P589=9),"-1",IF(OR(P589=10,P589=11),"0",IF(OR(P589=12,P589=13),"+1",IF(OR(P589=14,P589=15),"+2",IF(OR(P589=16,P589=17),"+3",IF(OR(P589=18,P589=19),"+4",IF(OR(P589=20,P589=21),"+5",IF(OR(P589=22,P589=23),"+6",IF(OR(P589=24,P589=25),"+7",IF(OR(P589=26,P589=27),"+8",IF(OR(P589=28,P589=29),"+9",IF(P589=30,"+10"," "))))))))))))))))</f>
        <v>+2</v>
      </c>
      <c r="R589" s="3" t="n">
        <v>12</v>
      </c>
      <c r="S589" s="1" t="str">
        <f aca="false">IF(R589=1,"-5",IF(OR(R589=2,R589=3),"-4",IF(OR(R589=4,R589=5),"-3",IF(OR(R589=6,R589=7),"-2",IF(OR(R589=8,R589=9),"-1",IF(OR(R589=10,R589=11),"0",IF(OR(R589=12,R589=13),"+1",IF(OR(R589=14,R589=15),"+2",IF(OR(R589=16,R589=17),"+3",IF(OR(R589=18,R589=19),"+4",IF(OR(R589=20,R589=21),"+5",IF(OR(R589=22,R589=23),"+6",IF(OR(R589=24,R589=25),"+7",IF(OR(R589=26,R589=27),"+8",IF(OR(R589=28,R589=29),"+9",IF(R589=30,"+10"," "))))))))))))))))</f>
        <v>+1</v>
      </c>
      <c r="T589" s="3" t="n">
        <v>16</v>
      </c>
      <c r="U589" s="1" t="str">
        <f aca="false">IF(T589=1,"-5",IF(OR(T589=2,T589=3),"-4",IF(OR(T589=4,T589=5),"-3",IF(OR(T589=6,T589=7),"-2",IF(OR(T589=8,T589=9),"-1",IF(OR(T589=10,T589=11),"0",IF(OR(T589=12,T589=13),"+1",IF(OR(T589=14,T589=15),"+2",IF(OR(T589=16,T589=17),"+3",IF(OR(T589=18,T589=19),"+4",IF(OR(T589=20,T589=21),"+5",IF(OR(T589=22,T589=23),"+6",IF(OR(T589=24,T589=25),"+7",IF(OR(T589=26,T589=27),"+8",IF(OR(T589=28,T589=29),"+9",IF(T589=30,"+10"," "))))))))))))))))</f>
        <v>+3</v>
      </c>
      <c r="V589" s="3" t="s">
        <v>2788</v>
      </c>
      <c r="W589" s="3" t="s">
        <v>2759</v>
      </c>
      <c r="X589" s="11" t="s">
        <v>2789</v>
      </c>
      <c r="Y589" s="11" t="s">
        <v>2790</v>
      </c>
      <c r="Z589" s="11" t="s">
        <v>37</v>
      </c>
      <c r="AA589" s="12" t="s">
        <v>37</v>
      </c>
    </row>
    <row r="590" customFormat="false" ht="16.4" hidden="false" customHeight="false" outlineLevel="0" collapsed="false">
      <c r="A590" s="15" t="s">
        <v>2791</v>
      </c>
      <c r="B590" s="3" t="s">
        <v>2777</v>
      </c>
      <c r="C590" s="3" t="s">
        <v>85</v>
      </c>
      <c r="D590" s="16" t="n">
        <v>1</v>
      </c>
      <c r="E590" s="3" t="n">
        <f aca="false">VLOOKUP(D590,'[1]REF Tables'!$A$2:$B$40,2)</f>
        <v>200</v>
      </c>
      <c r="F590" s="3" t="s">
        <v>30</v>
      </c>
      <c r="G590" s="3" t="n">
        <v>11</v>
      </c>
      <c r="H590" s="3" t="s">
        <v>1173</v>
      </c>
      <c r="I590" s="3" t="s">
        <v>42</v>
      </c>
      <c r="J590" s="3" t="n">
        <v>11</v>
      </c>
      <c r="K590" s="1" t="str">
        <f aca="false">IF(J590=1,"-5",IF(OR(J590=2,J590=3),"-4",IF(OR(J590=4,J590=5),"-3",IF(OR(J590=6,J590=7),"-2",IF(OR(J590=8,J590=9),"-1",IF(OR(J590=10,J590=11),"0",IF(OR(J590=12,J590=13),"+1",IF(OR(J590=14,J590=15),"+2",IF(OR(J590=16,J590=17),"+3",IF(OR(J590=18,J590=19),"+4",IF(OR(J590=20,J590=21),"+5",IF(OR(J590=22,J590=23),"+6",IF(OR(J590=24,J590=25),"+7",IF(OR(J590=26,J590=27),"+8",IF(OR(J590=28,J590=29),"+9",IF(J590=30,"+10"," "))))))))))))))))</f>
        <v>0</v>
      </c>
      <c r="L590" s="3" t="n">
        <v>12</v>
      </c>
      <c r="M590" s="1" t="str">
        <f aca="false">IF(L590=1,"-5",IF(OR(L590=2,L590=3),"-4",IF(OR(L590=4,L590=5),"-3",IF(OR(L590=6,L590=7),"-2",IF(OR(L590=8,L590=9),"-1",IF(OR(L590=10,L590=11),"0",IF(OR(L590=12,L590=13),"+1",IF(OR(L590=14,L590=15),"+2",IF(OR(L590=16,L590=17),"+3",IF(OR(L590=18,L590=19),"+4",IF(OR(L590=20,L590=21),"+5",IF(OR(L590=22,L590=23),"+6",IF(OR(L590=24,L590=25),"+7",IF(OR(L590=26,L590=27),"+8",IF(OR(L590=28,L590=29),"+9",IF(L590=30,"+10"," "))))))))))))))))</f>
        <v>+1</v>
      </c>
      <c r="N590" s="3" t="n">
        <v>11</v>
      </c>
      <c r="O590" s="1" t="str">
        <f aca="false">IF(N590=1,"-5",IF(OR(N590=2,N590=3),"-4",IF(OR(N590=4,N590=5),"-3",IF(OR(N590=6,N590=7),"-2",IF(OR(N590=8,N590=9),"-1",IF(OR(N590=10,N590=11),"0",IF(OR(N590=12,N590=13),"+1",IF(OR(N590=14,N590=15),"+2",IF(OR(N590=16,N590=17),"+3",IF(OR(N590=18,N590=19),"+4",IF(OR(N590=20,N590=21),"+5",IF(OR(N590=22,N590=23),"+6",IF(OR(N590=24,N590=25),"+7",IF(OR(N590=26,N590=27),"+8",IF(OR(N590=28,N590=29),"+9",IF(N590=30,"+10"," "))))))))))))))))</f>
        <v>0</v>
      </c>
      <c r="P590" s="3" t="n">
        <v>13</v>
      </c>
      <c r="Q590" s="1" t="str">
        <f aca="false">IF(P590=1,"-5",IF(OR(P590=2,P590=3),"-4",IF(OR(P590=4,P590=5),"-3",IF(OR(P590=6,P590=7),"-2",IF(OR(P590=8,P590=9),"-1",IF(OR(P590=10,P590=11),"0",IF(OR(P590=12,P590=13),"+1",IF(OR(P590=14,P590=15),"+2",IF(OR(P590=16,P590=17),"+3",IF(OR(P590=18,P590=19),"+4",IF(OR(P590=20,P590=21),"+5",IF(OR(P590=22,P590=23),"+6",IF(OR(P590=24,P590=25),"+7",IF(OR(P590=26,P590=27),"+8",IF(OR(P590=28,P590=29),"+9",IF(P590=30,"+10"," "))))))))))))))))</f>
        <v>+1</v>
      </c>
      <c r="R590" s="3" t="n">
        <v>12</v>
      </c>
      <c r="S590" s="1" t="str">
        <f aca="false">IF(R590=1,"-5",IF(OR(R590=2,R590=3),"-4",IF(OR(R590=4,R590=5),"-3",IF(OR(R590=6,R590=7),"-2",IF(OR(R590=8,R590=9),"-1",IF(OR(R590=10,R590=11),"0",IF(OR(R590=12,R590=13),"+1",IF(OR(R590=14,R590=15),"+2",IF(OR(R590=16,R590=17),"+3",IF(OR(R590=18,R590=19),"+4",IF(OR(R590=20,R590=21),"+5",IF(OR(R590=22,R590=23),"+6",IF(OR(R590=24,R590=25),"+7",IF(OR(R590=26,R590=27),"+8",IF(OR(R590=28,R590=29),"+9",IF(R590=30,"+10"," "))))))))))))))))</f>
        <v>+1</v>
      </c>
      <c r="T590" s="3" t="n">
        <v>14</v>
      </c>
      <c r="U590" s="1" t="str">
        <f aca="false">IF(T590=1,"-5",IF(OR(T590=2,T590=3),"-4",IF(OR(T590=4,T590=5),"-3",IF(OR(T590=6,T590=7),"-2",IF(OR(T590=8,T590=9),"-1",IF(OR(T590=10,T590=11),"0",IF(OR(T590=12,T590=13),"+1",IF(OR(T590=14,T590=15),"+2",IF(OR(T590=16,T590=17),"+3",IF(OR(T590=18,T590=19),"+4",IF(OR(T590=20,T590=21),"+5",IF(OR(T590=22,T590=23),"+6",IF(OR(T590=24,T590=25),"+7",IF(OR(T590=26,T590=27),"+8",IF(OR(T590=28,T590=29),"+9",IF(T590=30,"+10"," "))))))))))))))))</f>
        <v>+2</v>
      </c>
      <c r="V590" s="3" t="s">
        <v>2792</v>
      </c>
      <c r="W590" s="3" t="s">
        <v>2759</v>
      </c>
      <c r="X590" s="11" t="s">
        <v>2793</v>
      </c>
      <c r="Y590" s="11" t="s">
        <v>2794</v>
      </c>
      <c r="Z590" s="11" t="s">
        <v>37</v>
      </c>
      <c r="AA590" s="12" t="s">
        <v>37</v>
      </c>
    </row>
    <row r="591" customFormat="false" ht="16.4" hidden="false" customHeight="false" outlineLevel="0" collapsed="false">
      <c r="A591" s="7" t="s">
        <v>2795</v>
      </c>
      <c r="B591" s="1" t="s">
        <v>699</v>
      </c>
      <c r="C591" s="1" t="s">
        <v>49</v>
      </c>
      <c r="D591" s="8" t="n">
        <v>26</v>
      </c>
      <c r="E591" s="17" t="str">
        <f aca="false">VLOOKUP(D591,'[1]REF Tables'!$A$2:$B$40,2)</f>
        <v/>
      </c>
      <c r="F591" s="1" t="s">
        <v>50</v>
      </c>
      <c r="G591" s="10" t="n">
        <v>21</v>
      </c>
      <c r="H591" s="1" t="s">
        <v>2796</v>
      </c>
      <c r="I591" s="1" t="s">
        <v>2494</v>
      </c>
      <c r="J591" s="10" t="n">
        <v>27</v>
      </c>
      <c r="K591" s="1" t="str">
        <f aca="false">IF(J591=1,"-5",IF(OR(J591=2,J591=3),"-4",IF(OR(J591=4,J591=5),"-3",IF(OR(J591=6,J591=7),"-2",IF(OR(J591=8,J591=9),"-1",IF(OR(J591=10,J591=11),"0",IF(OR(J591=12,J591=13),"+1",IF(OR(J591=14,J591=15),"+2",IF(OR(J591=16,J591=17),"+3",IF(OR(J591=18,J591=19),"+4",IF(OR(J591=20,J591=21),"+5",IF(OR(J591=22,J591=23),"+6",IF(OR(J591=24,J591=25),"+7",IF(OR(J591=26,J591=27),"+8",IF(OR(J591=28,J591=29),"+9",IF(J591=30,"+10"," "))))))))))))))))</f>
        <v>+8</v>
      </c>
      <c r="L591" s="10" t="n">
        <v>24</v>
      </c>
      <c r="M591" s="1" t="str">
        <f aca="false">IF(L591=1,"-5",IF(OR(L591=2,L591=3),"-4",IF(OR(L591=4,L591=5),"-3",IF(OR(L591=6,L591=7),"-2",IF(OR(L591=8,L591=9),"-1",IF(OR(L591=10,L591=11),"0",IF(OR(L591=12,L591=13),"+1",IF(OR(L591=14,L591=15),"+2",IF(OR(L591=16,L591=17),"+3",IF(OR(L591=18,L591=19),"+4",IF(OR(L591=20,L591=21),"+5",IF(OR(L591=22,L591=23),"+6",IF(OR(L591=24,L591=25),"+7",IF(OR(L591=26,L591=27),"+8",IF(OR(L591=28,L591=29),"+9",IF(L591=30,"+10"," "))))))))))))))))</f>
        <v>+7</v>
      </c>
      <c r="N591" s="10" t="n">
        <v>28</v>
      </c>
      <c r="O591" s="1" t="str">
        <f aca="false">IF(N591=1,"-5",IF(OR(N591=2,N591=3),"-4",IF(OR(N591=4,N591=5),"-3",IF(OR(N591=6,N591=7),"-2",IF(OR(N591=8,N591=9),"-1",IF(OR(N591=10,N591=11),"0",IF(OR(N591=12,N591=13),"+1",IF(OR(N591=14,N591=15),"+2",IF(OR(N591=16,N591=17),"+3",IF(OR(N591=18,N591=19),"+4",IF(OR(N591=20,N591=21),"+5",IF(OR(N591=22,N591=23),"+6",IF(OR(N591=24,N591=25),"+7",IF(OR(N591=26,N591=27),"+8",IF(OR(N591=28,N591=29),"+9",IF(N591=30,"+10"," "))))))))))))))))</f>
        <v>+9</v>
      </c>
      <c r="P591" s="10" t="n">
        <v>26</v>
      </c>
      <c r="Q591" s="1" t="str">
        <f aca="false">IF(P591=1,"-5",IF(OR(P591=2,P591=3),"-4",IF(OR(P591=4,P591=5),"-3",IF(OR(P591=6,P591=7),"-2",IF(OR(P591=8,P591=9),"-1",IF(OR(P591=10,P591=11),"0",IF(OR(P591=12,P591=13),"+1",IF(OR(P591=14,P591=15),"+2",IF(OR(P591=16,P591=17),"+3",IF(OR(P591=18,P591=19),"+4",IF(OR(P591=20,P591=21),"+5",IF(OR(P591=22,P591=23),"+6",IF(OR(P591=24,P591=25),"+7",IF(OR(P591=26,P591=27),"+8",IF(OR(P591=28,P591=29),"+9",IF(P591=30,"+10"," "))))))))))))))))</f>
        <v>+8</v>
      </c>
      <c r="R591" s="10" t="n">
        <v>27</v>
      </c>
      <c r="S591" s="1" t="str">
        <f aca="false">IF(R591=1,"-5",IF(OR(R591=2,R591=3),"-4",IF(OR(R591=4,R591=5),"-3",IF(OR(R591=6,R591=7),"-2",IF(OR(R591=8,R591=9),"-1",IF(OR(R591=10,R591=11),"0",IF(OR(R591=12,R591=13),"+1",IF(OR(R591=14,R591=15),"+2",IF(OR(R591=16,R591=17),"+3",IF(OR(R591=18,R591=19),"+4",IF(OR(R591=20,R591=21),"+5",IF(OR(R591=22,R591=23),"+6",IF(OR(R591=24,R591=25),"+7",IF(OR(R591=26,R591=27),"+8",IF(OR(R591=28,R591=29),"+9",IF(R591=30,"+10"," "))))))))))))))))</f>
        <v>+8</v>
      </c>
      <c r="T591" s="10" t="n">
        <v>30</v>
      </c>
      <c r="U591" s="1" t="str">
        <f aca="false">IF(T591=1,"-5",IF(OR(T591=2,T591=3),"-4",IF(OR(T591=4,T591=5),"-3",IF(OR(T591=6,T591=7),"-2",IF(OR(T591=8,T591=9),"-1",IF(OR(T591=10,T591=11),"0",IF(OR(T591=12,T591=13),"+1",IF(OR(T591=14,T591=15),"+2",IF(OR(T591=16,T591=17),"+3",IF(OR(T591=18,T591=19),"+4",IF(OR(T591=20,T591=21),"+5",IF(OR(T591=22,T591=23),"+6",IF(OR(T591=24,T591=25),"+7",IF(OR(T591=26,T591=27),"+8",IF(OR(T591=28,T591=29),"+9",IF(T591=30,"+10"," "))))))))))))))))</f>
        <v>+10</v>
      </c>
      <c r="V591" s="1" t="s">
        <v>2797</v>
      </c>
      <c r="W591" s="1" t="s">
        <v>174</v>
      </c>
      <c r="X591" s="11" t="s">
        <v>2798</v>
      </c>
      <c r="Y591" s="11" t="s">
        <v>2799</v>
      </c>
      <c r="Z591" s="11" t="s">
        <v>37</v>
      </c>
      <c r="AA591" s="12" t="s">
        <v>2800</v>
      </c>
    </row>
    <row r="592" customFormat="false" ht="16.4" hidden="false" customHeight="false" outlineLevel="0" collapsed="false">
      <c r="A592" s="14" t="s">
        <v>2801</v>
      </c>
      <c r="B592" s="1" t="s">
        <v>77</v>
      </c>
      <c r="C592" s="1" t="s">
        <v>85</v>
      </c>
      <c r="D592" s="5" t="n">
        <v>0.25</v>
      </c>
      <c r="E592" s="3" t="n">
        <f aca="false">VLOOKUP(D592,'[1]REF Tables'!$A$2:$B$40,2)</f>
        <v>50</v>
      </c>
      <c r="F592" s="1" t="s">
        <v>30</v>
      </c>
      <c r="G592" s="1" t="n">
        <v>8</v>
      </c>
      <c r="H592" s="1" t="s">
        <v>2193</v>
      </c>
      <c r="I592" s="3" t="s">
        <v>160</v>
      </c>
      <c r="J592" s="1" t="n">
        <v>13</v>
      </c>
      <c r="K592" s="1" t="str">
        <f aca="false">IF(J592=1,"-5",IF(OR(J592=2,J592=3),"-4",IF(OR(J592=4,J592=5),"-3",IF(OR(J592=6,J592=7),"-2",IF(OR(J592=8,J592=9),"-1",IF(OR(J592=10,J592=11),"0",IF(OR(J592=12,J592=13),"+1",IF(OR(J592=14,J592=15),"+2",IF(OR(J592=16,J592=17),"+3",IF(OR(J592=18,J592=19),"+4",IF(OR(J592=20,J592=21),"+5",IF(OR(J592=22,J592=23),"+6",IF(OR(J592=24,J592=25),"+7",IF(OR(J592=26,J592=27),"+8",IF(OR(J592=28,J592=29),"+9",IF(J592=30,"+10"," "))))))))))))))))</f>
        <v>+1</v>
      </c>
      <c r="L592" s="1" t="n">
        <v>6</v>
      </c>
      <c r="M592" s="1" t="str">
        <f aca="false">IF(L592=1,"-5",IF(OR(L592=2,L592=3),"-4",IF(OR(L592=4,L592=5),"-3",IF(OR(L592=6,L592=7),"-2",IF(OR(L592=8,L592=9),"-1",IF(OR(L592=10,L592=11),"0",IF(OR(L592=12,L592=13),"+1",IF(OR(L592=14,L592=15),"+2",IF(OR(L592=16,L592=17),"+3",IF(OR(L592=18,L592=19),"+4",IF(OR(L592=20,L592=21),"+5",IF(OR(L592=22,L592=23),"+6",IF(OR(L592=24,L592=25),"+7",IF(OR(L592=26,L592=27),"+8",IF(OR(L592=28,L592=29),"+9",IF(L592=30,"+10"," "))))))))))))))))</f>
        <v>-2</v>
      </c>
      <c r="N592" s="1" t="n">
        <v>16</v>
      </c>
      <c r="O592" s="1" t="str">
        <f aca="false">IF(N592=1,"-5",IF(OR(N592=2,N592=3),"-4",IF(OR(N592=4,N592=5),"-3",IF(OR(N592=6,N592=7),"-2",IF(OR(N592=8,N592=9),"-1",IF(OR(N592=10,N592=11),"0",IF(OR(N592=12,N592=13),"+1",IF(OR(N592=14,N592=15),"+2",IF(OR(N592=16,N592=17),"+3",IF(OR(N592=18,N592=19),"+4",IF(OR(N592=20,N592=21),"+5",IF(OR(N592=22,N592=23),"+6",IF(OR(N592=24,N592=25),"+7",IF(OR(N592=26,N592=27),"+8",IF(OR(N592=28,N592=29),"+9",IF(N592=30,"+10"," "))))))))))))))))</f>
        <v>+3</v>
      </c>
      <c r="P592" s="1" t="n">
        <v>3</v>
      </c>
      <c r="Q592" s="1" t="str">
        <f aca="false">IF(P592=1,"-5",IF(OR(P592=2,P592=3),"-4",IF(OR(P592=4,P592=5),"-3",IF(OR(P592=6,P592=7),"-2",IF(OR(P592=8,P592=9),"-1",IF(OR(P592=10,P592=11),"0",IF(OR(P592=12,P592=13),"+1",IF(OR(P592=14,P592=15),"+2",IF(OR(P592=16,P592=17),"+3",IF(OR(P592=18,P592=19),"+4",IF(OR(P592=20,P592=21),"+5",IF(OR(P592=22,P592=23),"+6",IF(OR(P592=24,P592=25),"+7",IF(OR(P592=26,P592=27),"+8",IF(OR(P592=28,P592=29),"+9",IF(P592=30,"+10"," "))))))))))))))))</f>
        <v>-4</v>
      </c>
      <c r="R592" s="1" t="n">
        <v>6</v>
      </c>
      <c r="S592" s="1" t="str">
        <f aca="false">IF(R592=1,"-5",IF(OR(R592=2,R592=3),"-4",IF(OR(R592=4,R592=5),"-3",IF(OR(R592=6,R592=7),"-2",IF(OR(R592=8,R592=9),"-1",IF(OR(R592=10,R592=11),"0",IF(OR(R592=12,R592=13),"+1",IF(OR(R592=14,R592=15),"+2",IF(OR(R592=16,R592=17),"+3",IF(OR(R592=18,R592=19),"+4",IF(OR(R592=20,R592=21),"+5",IF(OR(R592=22,R592=23),"+6",IF(OR(R592=24,R592=25),"+7",IF(OR(R592=26,R592=27),"+8",IF(OR(R592=28,R592=29),"+9",IF(R592=30,"+10"," "))))))))))))))))</f>
        <v>-2</v>
      </c>
      <c r="T592" s="1" t="n">
        <v>5</v>
      </c>
      <c r="U592" s="1" t="str">
        <f aca="false">IF(T592=1,"-5",IF(OR(T592=2,T592=3),"-4",IF(OR(T592=4,T592=5),"-3",IF(OR(T592=6,T592=7),"-2",IF(OR(T592=8,T592=9),"-1",IF(OR(T592=10,T592=11),"0",IF(OR(T592=12,T592=13),"+1",IF(OR(T592=14,T592=15),"+2",IF(OR(T592=16,T592=17),"+3",IF(OR(T592=18,T592=19),"+4",IF(OR(T592=20,T592=21),"+5",IF(OR(T592=22,T592=23),"+6",IF(OR(T592=24,T592=25),"+7",IF(OR(T592=26,T592=27),"+8",IF(OR(T592=28,T592=29),"+9",IF(T592=30,"+10"," "))))))))))))))))</f>
        <v>-3</v>
      </c>
      <c r="V592" s="1" t="s">
        <v>2802</v>
      </c>
      <c r="W592" s="1" t="s">
        <v>2521</v>
      </c>
      <c r="X592" s="2" t="s">
        <v>2803</v>
      </c>
      <c r="Y592" s="2" t="s">
        <v>2804</v>
      </c>
      <c r="Z592" s="2" t="s">
        <v>37</v>
      </c>
      <c r="AA592" s="1" t="s">
        <v>37</v>
      </c>
    </row>
    <row r="593" customFormat="false" ht="16.4" hidden="false" customHeight="false" outlineLevel="0" collapsed="false">
      <c r="A593" s="15" t="s">
        <v>2805</v>
      </c>
      <c r="B593" s="3" t="s">
        <v>77</v>
      </c>
      <c r="C593" s="3" t="s">
        <v>85</v>
      </c>
      <c r="D593" s="16" t="n">
        <v>2</v>
      </c>
      <c r="E593" s="3" t="n">
        <f aca="false">VLOOKUP(D593,'[1]REF Tables'!$A$2:$B$40,2)</f>
        <v>450</v>
      </c>
      <c r="F593" s="3" t="s">
        <v>50</v>
      </c>
      <c r="G593" s="3" t="n">
        <v>8</v>
      </c>
      <c r="H593" s="3" t="s">
        <v>2806</v>
      </c>
      <c r="I593" s="3" t="s">
        <v>42</v>
      </c>
      <c r="J593" s="3" t="n">
        <v>19</v>
      </c>
      <c r="K593" s="1" t="str">
        <f aca="false">IF(J593=1,"-5",IF(OR(J593=2,J593=3),"-4",IF(OR(J593=4,J593=5),"-3",IF(OR(J593=6,J593=7),"-2",IF(OR(J593=8,J593=9),"-1",IF(OR(J593=10,J593=11),"0",IF(OR(J593=12,J593=13),"+1",IF(OR(J593=14,J593=15),"+2",IF(OR(J593=16,J593=17),"+3",IF(OR(J593=18,J593=19),"+4",IF(OR(J593=20,J593=21),"+5",IF(OR(J593=22,J593=23),"+6",IF(OR(J593=24,J593=25),"+7",IF(OR(J593=26,J593=27),"+8",IF(OR(J593=28,J593=29),"+9",IF(J593=30,"+10"," "))))))))))))))))</f>
        <v>+4</v>
      </c>
      <c r="L593" s="3" t="n">
        <v>6</v>
      </c>
      <c r="M593" s="1" t="str">
        <f aca="false">IF(L593=1,"-5",IF(OR(L593=2,L593=3),"-4",IF(OR(L593=4,L593=5),"-3",IF(OR(L593=6,L593=7),"-2",IF(OR(L593=8,L593=9),"-1",IF(OR(L593=10,L593=11),"0",IF(OR(L593=12,L593=13),"+1",IF(OR(L593=14,L593=15),"+2",IF(OR(L593=16,L593=17),"+3",IF(OR(L593=18,L593=19),"+4",IF(OR(L593=20,L593=21),"+5",IF(OR(L593=22,L593=23),"+6",IF(OR(L593=24,L593=25),"+7",IF(OR(L593=26,L593=27),"+8",IF(OR(L593=28,L593=29),"+9",IF(L593=30,"+10"," "))))))))))))))))</f>
        <v>-2</v>
      </c>
      <c r="N593" s="3" t="n">
        <v>18</v>
      </c>
      <c r="O593" s="1" t="str">
        <f aca="false">IF(N593=1,"-5",IF(OR(N593=2,N593=3),"-4",IF(OR(N593=4,N593=5),"-3",IF(OR(N593=6,N593=7),"-2",IF(OR(N593=8,N593=9),"-1",IF(OR(N593=10,N593=11),"0",IF(OR(N593=12,N593=13),"+1",IF(OR(N593=14,N593=15),"+2",IF(OR(N593=16,N593=17),"+3",IF(OR(N593=18,N593=19),"+4",IF(OR(N593=20,N593=21),"+5",IF(OR(N593=22,N593=23),"+6",IF(OR(N593=24,N593=25),"+7",IF(OR(N593=26,N593=27),"+8",IF(OR(N593=28,N593=29),"+9",IF(N593=30,"+10"," "))))))))))))))))</f>
        <v>+4</v>
      </c>
      <c r="P593" s="3" t="n">
        <v>3</v>
      </c>
      <c r="Q593" s="1" t="str">
        <f aca="false">IF(P593=1,"-5",IF(OR(P593=2,P593=3),"-4",IF(OR(P593=4,P593=5),"-3",IF(OR(P593=6,P593=7),"-2",IF(OR(P593=8,P593=9),"-1",IF(OR(P593=10,P593=11),"0",IF(OR(P593=12,P593=13),"+1",IF(OR(P593=14,P593=15),"+2",IF(OR(P593=16,P593=17),"+3",IF(OR(P593=18,P593=19),"+4",IF(OR(P593=20,P593=21),"+5",IF(OR(P593=22,P593=23),"+6",IF(OR(P593=24,P593=25),"+7",IF(OR(P593=26,P593=27),"+8",IF(OR(P593=28,P593=29),"+9",IF(P593=30,"+10"," "))))))))))))))))</f>
        <v>-4</v>
      </c>
      <c r="R593" s="3" t="n">
        <v>6</v>
      </c>
      <c r="S593" s="1" t="str">
        <f aca="false">IF(R593=1,"-5",IF(OR(R593=2,R593=3),"-4",IF(OR(R593=4,R593=5),"-3",IF(OR(R593=6,R593=7),"-2",IF(OR(R593=8,R593=9),"-1",IF(OR(R593=10,R593=11),"0",IF(OR(R593=12,R593=13),"+1",IF(OR(R593=14,R593=15),"+2",IF(OR(R593=16,R593=17),"+3",IF(OR(R593=18,R593=19),"+4",IF(OR(R593=20,R593=21),"+5",IF(OR(R593=22,R593=23),"+6",IF(OR(R593=24,R593=25),"+7",IF(OR(R593=26,R593=27),"+8",IF(OR(R593=28,R593=29),"+9",IF(R593=30,"+10"," "))))))))))))))))</f>
        <v>-2</v>
      </c>
      <c r="T593" s="3" t="n">
        <v>5</v>
      </c>
      <c r="U593" s="1" t="str">
        <f aca="false">IF(T593=1,"-5",IF(OR(T593=2,T593=3),"-4",IF(OR(T593=4,T593=5),"-3",IF(OR(T593=6,T593=7),"-2",IF(OR(T593=8,T593=9),"-1",IF(OR(T593=10,T593=11),"0",IF(OR(T593=12,T593=13),"+1",IF(OR(T593=14,T593=15),"+2",IF(OR(T593=16,T593=17),"+3",IF(OR(T593=18,T593=19),"+4",IF(OR(T593=20,T593=21),"+5",IF(OR(T593=22,T593=23),"+6",IF(OR(T593=24,T593=25),"+7",IF(OR(T593=26,T593=27),"+8",IF(OR(T593=28,T593=29),"+9",IF(T593=30,"+10"," "))))))))))))))))</f>
        <v>-3</v>
      </c>
      <c r="V593" s="3" t="s">
        <v>2802</v>
      </c>
      <c r="W593" s="3" t="s">
        <v>2807</v>
      </c>
      <c r="X593" s="11" t="s">
        <v>2808</v>
      </c>
      <c r="Y593" s="11" t="s">
        <v>2809</v>
      </c>
      <c r="Z593" s="11" t="s">
        <v>37</v>
      </c>
      <c r="AA593" s="12" t="s">
        <v>37</v>
      </c>
    </row>
    <row r="594" customFormat="false" ht="673.1" hidden="false" customHeight="false" outlineLevel="0" collapsed="false">
      <c r="A594" s="15" t="s">
        <v>2810</v>
      </c>
      <c r="B594" s="3" t="s">
        <v>77</v>
      </c>
      <c r="C594" s="3" t="s">
        <v>85</v>
      </c>
      <c r="D594" s="16" t="n">
        <v>5</v>
      </c>
      <c r="E594" s="6" t="n">
        <f aca="false">VLOOKUP(D594,'[1]REF Tables'!$A$2:$B$40,2)</f>
        <v>1800</v>
      </c>
      <c r="F594" s="3" t="s">
        <v>50</v>
      </c>
      <c r="G594" s="3" t="n">
        <v>15</v>
      </c>
      <c r="H594" s="3" t="s">
        <v>533</v>
      </c>
      <c r="I594" s="3" t="s">
        <v>1314</v>
      </c>
      <c r="J594" s="3" t="n">
        <v>10</v>
      </c>
      <c r="K594" s="1" t="str">
        <f aca="false">IF(J594=1,"-5",IF(OR(J594=2,J594=3),"-4",IF(OR(J594=4,J594=5),"-3",IF(OR(J594=6,J594=7),"-2",IF(OR(J594=8,J594=9),"-1",IF(OR(J594=10,J594=11),"0",IF(OR(J594=12,J594=13),"+1",IF(OR(J594=14,J594=15),"+2",IF(OR(J594=16,J594=17),"+3",IF(OR(J594=18,J594=19),"+4",IF(OR(J594=20,J594=21),"+5",IF(OR(J594=22,J594=23),"+6",IF(OR(J594=24,J594=25),"+7",IF(OR(J594=26,J594=27),"+8",IF(OR(J594=28,J594=29),"+9",IF(J594=30,"+10"," "))))))))))))))))</f>
        <v>0</v>
      </c>
      <c r="L594" s="3" t="n">
        <v>8</v>
      </c>
      <c r="M594" s="1" t="str">
        <f aca="false">IF(L594=1,"-5",IF(OR(L594=2,L594=3),"-4",IF(OR(L594=4,L594=5),"-3",IF(OR(L594=6,L594=7),"-2",IF(OR(L594=8,L594=9),"-1",IF(OR(L594=10,L594=11),"0",IF(OR(L594=12,L594=13),"+1",IF(OR(L594=14,L594=15),"+2",IF(OR(L594=16,L594=17),"+3",IF(OR(L594=18,L594=19),"+4",IF(OR(L594=20,L594=21),"+5",IF(OR(L594=22,L594=23),"+6",IF(OR(L594=24,L594=25),"+7",IF(OR(L594=26,L594=27),"+8",IF(OR(L594=28,L594=29),"+9",IF(L594=30,"+10"," "))))))))))))))))</f>
        <v>-1</v>
      </c>
      <c r="N594" s="3" t="n">
        <v>16</v>
      </c>
      <c r="O594" s="1" t="str">
        <f aca="false">IF(N594=1,"-5",IF(OR(N594=2,N594=3),"-4",IF(OR(N594=4,N594=5),"-3",IF(OR(N594=6,N594=7),"-2",IF(OR(N594=8,N594=9),"-1",IF(OR(N594=10,N594=11),"0",IF(OR(N594=12,N594=13),"+1",IF(OR(N594=14,N594=15),"+2",IF(OR(N594=16,N594=17),"+3",IF(OR(N594=18,N594=19),"+4",IF(OR(N594=20,N594=21),"+5",IF(OR(N594=22,N594=23),"+6",IF(OR(N594=24,N594=25),"+7",IF(OR(N594=26,N594=27),"+8",IF(OR(N594=28,N594=29),"+9",IF(N594=30,"+10"," "))))))))))))))))</f>
        <v>+3</v>
      </c>
      <c r="P594" s="3" t="n">
        <v>3</v>
      </c>
      <c r="Q594" s="1" t="str">
        <f aca="false">IF(P594=1,"-5",IF(OR(P594=2,P594=3),"-4",IF(OR(P594=4,P594=5),"-3",IF(OR(P594=6,P594=7),"-2",IF(OR(P594=8,P594=9),"-1",IF(OR(P594=10,P594=11),"0",IF(OR(P594=12,P594=13),"+1",IF(OR(P594=14,P594=15),"+2",IF(OR(P594=16,P594=17),"+3",IF(OR(P594=18,P594=19),"+4",IF(OR(P594=20,P594=21),"+5",IF(OR(P594=22,P594=23),"+6",IF(OR(P594=24,P594=25),"+7",IF(OR(P594=26,P594=27),"+8",IF(OR(P594=28,P594=29),"+9",IF(P594=30,"+10"," "))))))))))))))))</f>
        <v>-4</v>
      </c>
      <c r="R594" s="3" t="n">
        <v>8</v>
      </c>
      <c r="S594" s="1" t="str">
        <f aca="false">IF(R594=1,"-5",IF(OR(R594=2,R594=3),"-4",IF(OR(R594=4,R594=5),"-3",IF(OR(R594=6,R594=7),"-2",IF(OR(R594=8,R594=9),"-1",IF(OR(R594=10,R594=11),"0",IF(OR(R594=12,R594=13),"+1",IF(OR(R594=14,R594=15),"+2",IF(OR(R594=16,R594=17),"+3",IF(OR(R594=18,R594=19),"+4",IF(OR(R594=20,R594=21),"+5",IF(OR(R594=22,R594=23),"+6",IF(OR(R594=24,R594=25),"+7",IF(OR(R594=26,R594=27),"+8",IF(OR(R594=28,R594=29),"+9",IF(R594=30,"+10"," "))))))))))))))))</f>
        <v>-1</v>
      </c>
      <c r="T594" s="3" t="n">
        <v>5</v>
      </c>
      <c r="U594" s="1" t="str">
        <f aca="false">IF(T594=1,"-5",IF(OR(T594=2,T594=3),"-4",IF(OR(T594=4,T594=5),"-3",IF(OR(T594=6,T594=7),"-2",IF(OR(T594=8,T594=9),"-1",IF(OR(T594=10,T594=11),"0",IF(OR(T594=12,T594=13),"+1",IF(OR(T594=14,T594=15),"+2",IF(OR(T594=16,T594=17),"+3",IF(OR(T594=18,T594=19),"+4",IF(OR(T594=20,T594=21),"+5",IF(OR(T594=22,T594=23),"+6",IF(OR(T594=24,T594=25),"+7",IF(OR(T594=26,T594=27),"+8",IF(OR(T594=28,T594=29),"+9",IF(T594=30,"+10"," "))))))))))))))))</f>
        <v>-3</v>
      </c>
      <c r="V594" s="3" t="s">
        <v>1925</v>
      </c>
      <c r="W594" s="3" t="s">
        <v>2811</v>
      </c>
      <c r="X594" s="19" t="s">
        <v>2812</v>
      </c>
      <c r="Y594" s="11" t="s">
        <v>2813</v>
      </c>
      <c r="Z594" s="11" t="s">
        <v>37</v>
      </c>
      <c r="AA594" s="12" t="s">
        <v>37</v>
      </c>
    </row>
  </sheetData>
  <dataValidations count="1">
    <dataValidation allowBlank="true" errorStyle="stop" operator="between" showDropDown="false" showErrorMessage="true" showInputMessage="false" sqref="D19 D102 D136 D402" type="list">
      <formula1>#REF!</formula1>
      <formula2>0</formula2>
    </dataValidation>
  </dataValidations>
  <hyperlinks>
    <hyperlink ref="A2" r:id="rId1" display="Aarakocra"/>
    <hyperlink ref="A3" r:id="rId2" display="Abjurateur"/>
    <hyperlink ref="A4" r:id="rId3" display="Aboleth"/>
    <hyperlink ref="A5" r:id="rId4" display="Abominion"/>
    <hyperlink ref="A6" r:id="rId5" display="Acolyte"/>
    <hyperlink ref="A7" r:id="rId6" display="Aigle géant"/>
    <hyperlink ref="A8" r:id="rId7" display="Alhoon"/>
    <hyperlink ref="A9" r:id="rId8" display="Allip"/>
    <hyperlink ref="A10" r:id="rId9" display="Allosaure"/>
    <hyperlink ref="A11" r:id="rId10" display="Âme en peine"/>
    <hyperlink ref="A12" r:id="rId11" display="Androsphinx"/>
    <hyperlink ref="A13" r:id="rId12" display="Ankheg"/>
    <hyperlink ref="A14" r:id="rId13" display="Ankylosaure"/>
    <hyperlink ref="A15" r:id="rId14" display="Apprenti magicien"/>
    <hyperlink ref="A16" r:id="rId15" display="Araignée de monte, femelle"/>
    <hyperlink ref="A17" r:id="rId16" display="Araignée de monte, mâle"/>
    <hyperlink ref="A18" r:id="rId17" display="Araignée de phase"/>
    <hyperlink ref="A19" r:id="rId18" display="Araignée géante"/>
    <hyperlink ref="A20" r:id="rId19" display="Araignée-loup géante"/>
    <hyperlink ref="A21" r:id="rId20" display="Arbre éveillé"/>
    <hyperlink ref="A22" r:id="rId21" display="Arbuste éveillé"/>
    <hyperlink ref="A23" r:id="rId22" display="Arcanaloth"/>
    <hyperlink ref="A24" r:id="rId23" display="Archer"/>
    <hyperlink ref="A25" r:id="rId24" display="Archer"/>
    <hyperlink ref="A26" r:id="rId25" display="Archidruide"/>
    <hyperlink ref="A27" r:id="rId26" display="Archimage"/>
    <hyperlink ref="A28" r:id="rId27" display="Armure animée"/>
    <hyperlink ref="A29" r:id="rId28" display="Assassin"/>
    <hyperlink ref="A30" r:id="rId29" display="Aurochs"/>
    <hyperlink ref="A31" r:id="rId30" display="Azer"/>
    <hyperlink ref="A32" r:id="rId31" display="Babau"/>
    <hyperlink ref="A33" r:id="rId32" display="Babélien"/>
    <hyperlink ref="A34" r:id="rId33" display="Babouin"/>
    <hyperlink ref="A35" r:id="rId34" display="Baiser de la mort"/>
    <hyperlink ref="A36" r:id="rId35" display="Balor"/>
    <hyperlink ref="A37" r:id="rId36" display="Banderhobb"/>
    <hyperlink ref="A38" r:id="rId37" display="Bandit"/>
    <hyperlink ref="A39" r:id="rId38" display="Bandit, Capitaine"/>
    <hyperlink ref="A41" r:id="rId39" display="Banshie"/>
    <hyperlink ref="A42" r:id="rId40" display="Barde"/>
    <hyperlink ref="A43" r:id="rId41" display="Barghest"/>
    <hyperlink ref="A44" r:id="rId42" display="Barlgura"/>
    <hyperlink ref="A45" r:id="rId43" display="Basilic"/>
    <hyperlink ref="A46" r:id="rId44" display="Bec de hache"/>
    <hyperlink ref="A47" r:id="rId45" display="Béhir"/>
    <hyperlink ref="A48" r:id="rId46" display="Belette"/>
    <hyperlink ref="A49" r:id="rId47" display="Belette géante"/>
    <hyperlink ref="A50" r:id="rId48" display="Berserker"/>
    <hyperlink ref="A51" r:id="rId49" display="Bête éclipsante"/>
    <hyperlink ref="A52" r:id="rId50" display="Blaireau"/>
    <hyperlink ref="A53" r:id="rId51" display="Blaireau géant"/>
    <hyperlink ref="A54" r:id="rId52" display="Blême"/>
    <hyperlink ref="A55" r:id="rId53" display="Bodak"/>
    <hyperlink ref="A56" r:id="rId54" display="Boeuf"/>
    <hyperlink ref="A57" r:id="rId55" display="Boiseux"/>
    <hyperlink ref="A58" r:id="rId56" display="Bonnet rouge"/>
    <hyperlink ref="A59" r:id="rId57" display="Bretteur"/>
    <hyperlink ref="A60" r:id="rId58" display="Bretteur"/>
    <hyperlink ref="A61" r:id="rId59" display="Brutacien"/>
    <hyperlink ref="A62" r:id="rId60" display="Bulette"/>
    <hyperlink ref="A63" r:id="rId61" display="Cambion"/>
    <hyperlink ref="A64" r:id="rId62" display="Catoblépas"/>
    <hyperlink ref="A65" r:id="rId63" display="Centaure"/>
    <hyperlink ref="A66" r:id="rId64" display="Cerf"/>
    <hyperlink ref="A67" r:id="rId65" display="Cerveau, vénérable"/>
    <hyperlink ref="A68" r:id="rId66" display="Chacal"/>
    <hyperlink ref="A69" r:id="rId67" display="Chameau"/>
    <hyperlink ref="A70" r:id="rId68" display="Champion"/>
    <hyperlink ref="A71" r:id="rId69" display="Champion"/>
    <hyperlink ref="A72" r:id="rId70" display="Charognard rampant"/>
    <hyperlink ref="A73" r:id="rId71" display="Chasme"/>
    <hyperlink ref="A74" r:id="rId72" display="Chat"/>
    <hyperlink ref="A75" r:id="rId73" display="Chauve-souris"/>
    <hyperlink ref="A76" r:id="rId74" display="Chauve-souris géante"/>
    <hyperlink ref="A77" r:id="rId75" display="Cheval de guerre"/>
    <hyperlink ref="A78" r:id="rId76" display="Cheval de selle"/>
    <hyperlink ref="A79" r:id="rId77" display="Cheval de trait"/>
    <hyperlink ref="A80" r:id="rId78" display="Chevalier"/>
    <hyperlink ref="A81" r:id="rId79" display="Chevalier de la mort"/>
    <hyperlink ref="A82" r:id="rId80" display="Chevalier noir"/>
    <hyperlink ref="A83" r:id="rId81" display="Chevalier noir"/>
    <hyperlink ref="A84" r:id="rId82" display="Chèvre"/>
    <hyperlink ref="A85" r:id="rId83" display="Chèvre géante"/>
    <hyperlink ref="A86" r:id="rId84" display="Chien de chasse infernal"/>
    <hyperlink ref="A87" r:id="rId85" display="Chien de chasse yeth"/>
    <hyperlink ref="A88" r:id="rId86" display="Chien du trépas"/>
    <hyperlink ref="A89" r:id="rId87" display="Chien esquiveur"/>
    <hyperlink ref="A90" r:id="rId88" display="Chimère"/>
    <hyperlink ref="A91" r:id="rId89" display="Chitine"/>
    <hyperlink ref="A92" r:id="rId90" display="Choldrith"/>
    <hyperlink ref="A93" r:id="rId91" display="Chouette"/>
    <hyperlink ref="A94" r:id="rId92" display="Chouette géante"/>
    <hyperlink ref="A95" r:id="rId93" display="Chuul"/>
    <hyperlink ref="A96" r:id="rId94" display="Cockatrice"/>
    <hyperlink ref="A97" r:id="rId95" display="Corbeau"/>
    <hyperlink ref="A98" r:id="rId96" display="Couatl"/>
    <hyperlink ref="A99" r:id="rId97" display="Crabe"/>
    <hyperlink ref="A100" r:id="rId98" display="Crabe géant"/>
    <hyperlink ref="A101" r:id="rId99" display="Crabe-pêcheur"/>
    <hyperlink ref="A102" r:id="rId100" display="Crânefeu"/>
    <hyperlink ref="A103" r:id="rId101" display="Crapaud géant"/>
    <hyperlink ref="A104" r:id="rId102" display="Criard"/>
    <hyperlink ref="A105" r:id="rId103" display="Crocodile"/>
    <hyperlink ref="A106" r:id="rId104" display="Crocodile géant"/>
    <hyperlink ref="A107" r:id="rId105" display="Croque-mitaine"/>
    <hyperlink ref="A108" r:id="rId106" display="Cube gélatineux"/>
    <hyperlink ref="A109" r:id="rId107" display="Cuirassier astral"/>
    <hyperlink ref="A110" r:id="rId108" display="Cultiste"/>
    <hyperlink ref="A111" r:id="rId109" display="Cyclope"/>
    <hyperlink ref="A112" r:id="rId110" display="Dao"/>
    <hyperlink ref="A113" r:id="rId111" display="Dargon d'émeraude, adulte"/>
    <hyperlink ref="A114" r:id="rId112" display="Dauphin"/>
    <hyperlink ref="A115" r:id="rId113" display="Demi-dragon rouge, vétéran"/>
    <hyperlink ref="A116" r:id="rId114" display="Demi-liche"/>
    <hyperlink ref="A117" r:id="rId115" display="Demi-ogre"/>
    <hyperlink ref="A118" r:id="rId116" display="Démogorgon"/>
    <hyperlink ref="A119" r:id="rId117" display="Démon des ombres"/>
    <hyperlink ref="A120" r:id="rId118" display="Démon glouton"/>
    <hyperlink ref="A121" r:id="rId119" display="Destrier noir"/>
    <hyperlink ref="A122" r:id="rId120" display="Déva"/>
    <hyperlink ref="A123" r:id="rId121" display="Devin"/>
    <hyperlink ref="A124" r:id="rId122" display="Dévoreur d'âme"/>
    <hyperlink ref="A125" r:id="rId123" display="Dévoreur d'intellect"/>
    <hyperlink ref="A126" r:id="rId124" display="Diable à chaînes"/>
    <hyperlink ref="A127" r:id="rId125" display="Diable barbelé"/>
    <hyperlink ref="A128" r:id="rId126" display="Diable barbu"/>
    <hyperlink ref="A129" r:id="rId127" display="Diable cornu"/>
    <hyperlink ref="A130" r:id="rId128" display="Diable épineux"/>
    <hyperlink ref="A131" r:id="rId129" display="Diable gelé"/>
    <hyperlink ref="A132" r:id="rId130" display="Diable osseux"/>
    <hyperlink ref="A133" r:id="rId131" display="Diablotin"/>
    <hyperlink ref="A134" r:id="rId132" display="Diantrefosse"/>
    <hyperlink ref="A135" r:id="rId133" display="Djinn"/>
    <hyperlink ref="A136" r:id="rId134" display="Doppelganger"/>
    <hyperlink ref="A137" r:id="rId135" display="Dracoliche bleue, adulte"/>
    <hyperlink ref="A138" r:id="rId136" display="Draconien, fantassin"/>
    <hyperlink ref="A139" r:id="rId137" display="Draegloth"/>
    <hyperlink ref="A140" r:id="rId138" display="Dragon blanc, adulte"/>
    <hyperlink ref="A141" r:id="rId139" display="Dragon blanc, ancien"/>
    <hyperlink ref="A142" r:id="rId140" display="Dragon blanc, dragonnet"/>
    <hyperlink ref="A143" r:id="rId141" display="Dragon blanc, jeune"/>
    <hyperlink ref="A144" r:id="rId142" display="Dragon bleu, adulte"/>
    <hyperlink ref="A145" r:id="rId143" display="Dragon bleu, ancien"/>
    <hyperlink ref="A146" r:id="rId144" display="Dragon bleu, dragonnet"/>
    <hyperlink ref="A147" r:id="rId145" display="Dragon bleu, jeune"/>
    <hyperlink ref="A148" r:id="rId146" display="Dragon d'agent, ancien"/>
    <hyperlink ref="A149" r:id="rId147" display="Dragon d'airain, adulte"/>
    <hyperlink ref="A150" r:id="rId148" display="Dragon d'airain, ancien"/>
    <hyperlink ref="A151" r:id="rId149" display="Dragon d'airain, dragonnet"/>
    <hyperlink ref="A152" r:id="rId150" display="Dragon d'airain, jeune"/>
    <hyperlink ref="A153" r:id="rId151" display="Dragon d'améthyste, adulte"/>
    <hyperlink ref="A154" r:id="rId152" display="Dragon d'argent, adulte"/>
    <hyperlink ref="A155" r:id="rId153" display="Dragon d'argent, dragonnet"/>
    <hyperlink ref="A156" r:id="rId154" display="Dragon d'argent, jeune"/>
    <hyperlink ref="A157" r:id="rId155" display="Dragon de bronze ancien"/>
    <hyperlink ref="A158" r:id="rId156" display="Dragon de bronze, adulte"/>
    <hyperlink ref="A159" r:id="rId157" display="Dragon de bronze, dragonnet"/>
    <hyperlink ref="A160" r:id="rId158" display="Dragon de bronze, jeune"/>
    <hyperlink ref="A161" r:id="rId159" display="Dragon de cristal, adulte"/>
    <hyperlink ref="A162" r:id="rId160" display="Dragon de cuivre, adulte"/>
    <hyperlink ref="A163" r:id="rId161" display="Dragon de cuivre, ancien"/>
    <hyperlink ref="A164" r:id="rId162" display="Dragon de cuivre, dragonnet"/>
    <hyperlink ref="A165" r:id="rId163" display="Dragon de cuivre, jeune"/>
    <hyperlink ref="A166" r:id="rId164" display="Dragon de saphir, adulte"/>
    <hyperlink ref="A167" r:id="rId165" display="Dragon de topaze, adulte"/>
    <hyperlink ref="A168" r:id="rId166" display="Dragon d'ombre rouge, jeune"/>
    <hyperlink ref="A169" r:id="rId167" display="Dragon d'or, adulte"/>
    <hyperlink ref="A170" r:id="rId168" display="Dragon d'or, ancien"/>
    <hyperlink ref="A171" r:id="rId169" display="Dragon d'or, dragonnet"/>
    <hyperlink ref="A172" r:id="rId170" display="Dragon d'or, jeune"/>
    <hyperlink ref="A173" r:id="rId171" display="Dragon féérique"/>
    <hyperlink ref="A174" r:id="rId172" display="Dragon noir, adulte"/>
    <hyperlink ref="A175" r:id="rId173" display="Dragon noir, ancien"/>
    <hyperlink ref="A176" r:id="rId174" display="Dragon noir, dragonnet"/>
    <hyperlink ref="A177" r:id="rId175" display="Dragon noir, jeune"/>
    <hyperlink ref="A178" r:id="rId176" display="Dragon pierre de lune, adulte"/>
    <hyperlink ref="A179" r:id="rId177" display="Dragon rouge, adulte"/>
    <hyperlink ref="A180" r:id="rId178" display="Dragon rouge, ancien"/>
    <hyperlink ref="A181" r:id="rId179" display="Dragon rouge, dragonnet"/>
    <hyperlink ref="A182" r:id="rId180" display="Dragon rouge, jeune"/>
    <hyperlink ref="A183" r:id="rId181" display="Dragon vert, adulte"/>
    <hyperlink ref="A184" r:id="rId182" display="Dragon vert, ancien"/>
    <hyperlink ref="A185" r:id="rId183" display="Dragon vert, dragonnet"/>
    <hyperlink ref="A186" r:id="rId184" display="Dragon Vert, jeune"/>
    <hyperlink ref="A187" r:id="rId185" display="Dragon-tortue"/>
    <hyperlink ref="A188" r:id="rId186" display="Drake gardien"/>
    <hyperlink ref="A189" r:id="rId187" display="Dretch"/>
    <hyperlink ref="A190" r:id="rId188" display="Drider"/>
    <hyperlink ref="A191" r:id="rId189" display="Drow"/>
    <hyperlink ref="A192" r:id="rId190" display="Drow, capitaine de maison "/>
    <hyperlink ref="A193" r:id="rId191" display="Drow, guerrier d'élite"/>
    <hyperlink ref="A194" r:id="rId192" display="Drow, inquisitrice"/>
    <hyperlink ref="A195" r:id="rId193" display="Drow, mage"/>
    <hyperlink ref="A196" r:id="rId194" display="Drow, prêtresse de Lolth"/>
    <hyperlink ref="A197" r:id="rId195" display="Druide"/>
    <hyperlink ref="A198" r:id="rId196" display="Dryade"/>
    <hyperlink ref="A199" r:id="rId197" display="Duergar"/>
    <hyperlink ref="A200" r:id="rId198" display="Duergar, despote"/>
    <hyperlink ref="A201" r:id="rId199" display="Duergar, garde de pierre"/>
    <hyperlink ref="A202" r:id="rId200" display="Duergar, kavalrachni "/>
    <hyperlink ref="A203" r:id="rId201" display="Duergar, mentaliste"/>
    <hyperlink ref="A204" r:id="rId202" display="Duergar, seigneur de guerre"/>
    <hyperlink ref="A205" r:id="rId203" display="Duodrone"/>
    <hyperlink ref="A206" r:id="rId204" display="Éclaireur"/>
    <hyperlink ref="A207" r:id="rId205" display="Éfrit"/>
    <hyperlink ref="A208" r:id="rId206" display="Eidolon"/>
    <hyperlink ref="A209" r:id="rId207" display="Élan"/>
    <hyperlink ref="A210" r:id="rId208" display="Élan géant"/>
    <hyperlink ref="A211" r:id="rId209" display="Élémentaire de feu"/>
    <hyperlink ref="A212" r:id="rId210" display="Élémentaire de la terre"/>
    <hyperlink ref="A213" r:id="rId211" display="Élémentaire de l'air"/>
    <hyperlink ref="A214" r:id="rId212" display="Élémentaire de l'eau"/>
    <hyperlink ref="A215" r:id="rId213" display="Éléphant"/>
    <hyperlink ref="A216" r:id="rId214" display="Empyréen"/>
    <hyperlink ref="A217" r:id="rId215" display="Enchanteur"/>
    <hyperlink ref="A218" r:id="rId216" display="Enlaceur"/>
    <hyperlink ref="A219" r:id="rId217" display="Épaulard"/>
    <hyperlink ref="A220" r:id="rId218" display="Épée volante"/>
    <hyperlink ref="A221" r:id="rId219" display="Épineux"/>
    <hyperlink ref="A222" r:id="rId220" display="Épouvantail"/>
    <hyperlink ref="A223" r:id="rId221" display="Érinye"/>
    <hyperlink ref="A224" r:id="rId222" display="Espion"/>
    <hyperlink ref="A226" r:id="rId223" display="Esprit follet"/>
    <hyperlink ref="A227" r:id="rId224" display="Ettercap"/>
    <hyperlink ref="A228" r:id="rId225" display="Ettin"/>
    <hyperlink ref="A229" r:id="rId226" display="Évocateur"/>
    <hyperlink ref="A230" r:id="rId227" display="Expert en arts martiaux"/>
    <hyperlink ref="A231" r:id="rId228" display="Expert en arts martiaux"/>
    <hyperlink ref="A232" r:id="rId229" display="Fanatique"/>
    <hyperlink ref="A233" r:id="rId230" display="Fantôme"/>
    <hyperlink ref="A234" r:id="rId231" display="Faucon"/>
    <hyperlink ref="A235" r:id="rId232" display="Faucon de sang"/>
    <hyperlink ref="A236" r:id="rId233" display="Feu follet"/>
    <hyperlink ref="A237" r:id="rId234" display="Flagelleur mental"/>
    <hyperlink ref="A238" r:id="rId235" display="Flind"/>
    <hyperlink ref="A239" r:id="rId236" display="Flumph"/>
    <hyperlink ref="A240" r:id="rId237" display="Fomorien"/>
    <hyperlink ref="A241" r:id="rId238" display="Froghémoth"/>
    <hyperlink ref="A242" r:id="rId239" display="Galeb Duhr"/>
    <hyperlink ref="A243" r:id="rId240" display="Garde"/>
    <hyperlink ref="A245" r:id="rId241" display="Gardien animé"/>
    <hyperlink ref="A246" r:id="rId242" display="Gargouille"/>
    <hyperlink ref="A247" r:id="rId243" display="Garou-Chacal"/>
    <hyperlink ref="A248" r:id="rId244" display="Gauth"/>
    <hyperlink ref="A249" r:id="rId245" display="Gazer"/>
    <hyperlink ref="A250" r:id="rId246" display="Géant des collines"/>
    <hyperlink ref="A251" r:id="rId247" display="Géant des nuages"/>
    <hyperlink ref="A252" r:id="rId248" display="Géant des nuages, tout-sourire"/>
    <hyperlink ref="A253" r:id="rId249" display="Géant des pierres"/>
    <hyperlink ref="A254" r:id="rId250" display="Géant des pierres, marcherêve"/>
    <hyperlink ref="A255" r:id="rId251" display="Géant des tempêtes"/>
    <hyperlink ref="A256" r:id="rId252" display="Géant des tempêtes, quintessent"/>
    <hyperlink ref="A257" r:id="rId253" display="Géant du feu"/>
    <hyperlink ref="A258" r:id="rId254" display="Géant du feu, cuirassé"/>
    <hyperlink ref="A259" r:id="rId255" display="Géant du givre"/>
    <hyperlink ref="A260" r:id="rId256" display="Géant du givre, éternel"/>
    <hyperlink ref="A261" r:id="rId257" display="Gelée ocre"/>
    <hyperlink ref="A262" r:id="rId258" display="Girallon"/>
    <hyperlink ref="A263" r:id="rId259" display="Githyanki, chevalier"/>
    <hyperlink ref="A264" r:id="rId260" display="Githyanki, guerrier"/>
    <hyperlink ref="A265" r:id="rId261" display="Githzerai, moine"/>
    <hyperlink ref="A266" r:id="rId262" display="Githzerai, zerth"/>
    <hyperlink ref="A267" r:id="rId263" display="Glabrezu"/>
    <hyperlink ref="A268" r:id="rId264" display="Gladiateur"/>
    <hyperlink ref="A269" r:id="rId265" display="Gnoll"/>
    <hyperlink ref="A270" r:id="rId266" display="Gnoll, chasseur"/>
    <hyperlink ref="A271" r:id="rId267" display="Gnoll, croc de Yeenoghu"/>
    <hyperlink ref="A272" r:id="rId268" display="Gnoll, décrépit"/>
    <hyperlink ref="A273" r:id="rId269" display="Gnoll, rongeur de chair"/>
    <hyperlink ref="A274" r:id="rId270" display="Gnoll, seigneur de meute"/>
    <hyperlink ref="A275" r:id="rId271" display="Gnome des profondeurs (svirfnebelin)"/>
    <hyperlink ref="A276" r:id="rId272" display="Gobelin"/>
    <hyperlink ref="A277" r:id="rId273" display="Gobelin, chef"/>
    <hyperlink ref="A278" r:id="rId274" display="Gobelours"/>
    <hyperlink ref="A279" r:id="rId275" display="Gobelours, chef"/>
    <hyperlink ref="A280" r:id="rId276" display="Golem de chair"/>
    <hyperlink ref="A281" r:id="rId277" display="Golem de fer"/>
    <hyperlink ref="A282" r:id="rId278" display="Golem de pierre"/>
    <hyperlink ref="A283" r:id="rId279" display="Golemn d'argile"/>
    <hyperlink ref="A284" r:id="rId280" display="Gorgone"/>
    <hyperlink ref="A285" r:id="rId281" display="Goristro"/>
    <hyperlink ref="A286" r:id="rId282" display="Gosier de Grolantor"/>
    <hyperlink ref="A287" r:id="rId283" display="Goule"/>
    <hyperlink ref="A288" r:id="rId284" display="Grand singe"/>
    <hyperlink ref="A289" r:id="rId285" display="Graz'zt"/>
    <hyperlink ref="A290" r:id="rId286" display="Grell"/>
    <hyperlink ref="A291" r:id="rId287" display="Grenouille"/>
    <hyperlink ref="A292" r:id="rId288" display="Grenouille géante"/>
    <hyperlink ref="A293" r:id="rId289" display="Grick"/>
    <hyperlink ref="A294" r:id="rId290" display="Grick dominant"/>
    <hyperlink ref="A295" r:id="rId291" display="Griffe rampante"/>
    <hyperlink ref="A296" r:id="rId292" display="Griffon"/>
    <hyperlink ref="A297" r:id="rId293" display="Grung"/>
    <hyperlink ref="A298" r:id="rId294" display="Grung, guerrier d'élite"/>
    <hyperlink ref="A299" r:id="rId295" display="Grung, sauvage"/>
    <hyperlink ref="A300" r:id="rId296" display="Guenaude annis"/>
    <hyperlink ref="A301" r:id="rId297" display="Guenaude frige"/>
    <hyperlink ref="A302" r:id="rId298" display="Guenaude marine"/>
    <hyperlink ref="A303" r:id="rId299" display="Guenaude nocturne"/>
    <hyperlink ref="A304" r:id="rId300" display="Guenaude verte"/>
    <hyperlink ref="A305" r:id="rId301" display="Guêpe géante"/>
    <hyperlink ref="A306" r:id="rId302" display="Guerrier tribal"/>
    <hyperlink ref="A307" r:id="rId303" display="Gynosphinx"/>
    <hyperlink ref="A308" r:id="rId304" display="Harpie"/>
    <hyperlink ref="A309" r:id="rId305" display="Hezrou"/>
    <hyperlink ref="A310" r:id="rId306" display="Hippocampe"/>
    <hyperlink ref="A311" r:id="rId307" display="Hippocampe géant"/>
    <hyperlink ref="A312" r:id="rId308" display="Hippogriffe"/>
    <hyperlink ref="A313" r:id="rId309" display="Hobgobelin"/>
    <hyperlink ref="A314" r:id="rId310" display="Hobgobelin, capitaine"/>
    <hyperlink ref="A315" r:id="rId311" display="Hobgobelin, ombre de fer"/>
    <hyperlink ref="A316" r:id="rId312" display="Hobgobelin, ravageur"/>
    <hyperlink ref="A317" r:id="rId313" display="Hobgobelin, seigneur de guerre"/>
    <hyperlink ref="A318" r:id="rId314" display="Homme-lézard"/>
    <hyperlink ref="A319" r:id="rId315" display="Homme-lézard, chaman"/>
    <hyperlink ref="A320" r:id="rId316" display="Homme-poison"/>
    <hyperlink ref="A321" r:id="rId317" display="Homoncule"/>
    <hyperlink ref="A322" r:id="rId318" display="Horreur casquée"/>
    <hyperlink ref="A323" r:id="rId319" display="Horreur crochue"/>
    <hyperlink ref="A325" r:id="rId320" display="Hydre"/>
    <hyperlink ref="A326" r:id="rId321" display="Hyène"/>
    <hyperlink ref="A327" r:id="rId322" display="Hyène géante"/>
    <hyperlink ref="A328" r:id="rId323" display="Illusionniste"/>
    <hyperlink ref="A329" r:id="rId324" display="Invocateur"/>
    <hyperlink ref="A330" r:id="rId325" display="Kenku"/>
    <hyperlink ref="A331" r:id="rId326" display="Ki-rin"/>
    <hyperlink ref="A332" r:id="rId327" display="Kobold"/>
    <hyperlink ref="A333" r:id="rId328" display="Kobold ailé"/>
    <hyperlink ref="A334" r:id="rId329" display="Kobold, bouclier de dragon"/>
    <hyperlink ref="A335" r:id="rId330" display="Kobold, ensorceleur des écailles"/>
    <hyperlink ref="A336" r:id="rId331" display="Kobold, inventeur"/>
    <hyperlink ref="A337" r:id="rId332" display="Korred"/>
    <hyperlink ref="A338" r:id="rId333" display="Kraken"/>
    <hyperlink ref="A339" r:id="rId334" display="Kuo-Toa"/>
    <hyperlink ref="A340" r:id="rId335" display="Kuo-Toa, archiprêtre"/>
    <hyperlink ref="A341" r:id="rId336" display="Kuo-Toa, fouet"/>
    <hyperlink ref="A342" r:id="rId337" display="Lamie"/>
    <hyperlink ref="A343" r:id="rId338" display="Lémure"/>
    <hyperlink ref="A344" r:id="rId339" display="Leucrotta"/>
    <hyperlink ref="A345" r:id="rId340" display="Lézard"/>
    <hyperlink ref="A346" r:id="rId341" display="Lézard géant"/>
    <hyperlink ref="A347" r:id="rId342" display="Liche"/>
    <hyperlink ref="A348" r:id="rId343" display="Licorne"/>
    <hyperlink ref="A349" r:id="rId344" display="Lierreux"/>
    <hyperlink ref="A350" r:id="rId345" display="Lion"/>
    <hyperlink ref="A351" r:id="rId346" display="Loup"/>
    <hyperlink ref="A352" r:id="rId347" display="Loup arctique"/>
    <hyperlink ref="A353" r:id="rId348" display="Loup sanguinaire"/>
    <hyperlink ref="A354" r:id="rId349" display="Loup-garou"/>
    <hyperlink ref="A355" r:id="rId350" display="Mage"/>
    <hyperlink ref="A357" r:id="rId351" display="Magmatique"/>
    <hyperlink ref="A358" r:id="rId352" display="Maître voleur"/>
    <hyperlink ref="A359" r:id="rId353" display="Malfrat"/>
    <hyperlink ref="A360" r:id="rId354" display="Mammouth"/>
    <hyperlink ref="A361" r:id="rId355" display="Mâne"/>
    <hyperlink ref="A362" r:id="rId356" display="Mante obscure"/>
    <hyperlink ref="A363" r:id="rId357" display="Manteleur"/>
    <hyperlink ref="A364" r:id="rId358" display="Manticore"/>
    <hyperlink ref="A365" r:id="rId359" display="Maride"/>
    <hyperlink ref="A366" r:id="rId360" display="Marilith"/>
    <hyperlink ref="A367" r:id="rId361" display="Mastodonte des ombres"/>
    <hyperlink ref="A368" r:id="rId362" display="Méduse"/>
    <hyperlink ref="A369" r:id="rId363" display="Méphite boueux"/>
    <hyperlink ref="A370" r:id="rId364" display="Méphite fumant"/>
    <hyperlink ref="A371" r:id="rId365" display="Méphite gelé"/>
    <hyperlink ref="A372" r:id="rId366" display="Méphite magmatique"/>
    <hyperlink ref="A373" r:id="rId367" display="Méphite poussiéreux"/>
    <hyperlink ref="A374" r:id="rId368" display="Méphite vaporeux"/>
    <hyperlink ref="A375" r:id="rId369" display="Merrow"/>
    <hyperlink ref="A376" r:id="rId370" display="Mezzoloth"/>
    <hyperlink ref="A377" r:id="rId371" display="Mille-pattes géant"/>
    <hyperlink ref="A378" r:id="rId372" display="Mimique"/>
    <hyperlink ref="A379" r:id="rId373" display="Minotaure"/>
    <hyperlink ref="A380" r:id="rId374" display="Moisissure violette"/>
    <hyperlink ref="A381" r:id="rId375" display="Moloch"/>
    <hyperlink ref="A382" r:id="rId376" display="Molosse"/>
    <hyperlink ref="A383" r:id="rId377" display="Molosse des ombres"/>
    <hyperlink ref="A384" r:id="rId378" display="Momie"/>
    <hyperlink ref="A385" r:id="rId379" display="Monodrone"/>
    <hyperlink ref="A386" r:id="rId380" display="Morkoth"/>
    <hyperlink ref="A388" r:id="rId381" display="Mule"/>
    <hyperlink ref="A389" r:id="rId382" display="Myconide, adulte"/>
    <hyperlink ref="A390" r:id="rId383" display="Myconide, pousse"/>
    <hyperlink ref="A391" r:id="rId384" display="Myconide, souverain"/>
    <hyperlink ref="A392" r:id="rId385" display="Naga corrupteur"/>
    <hyperlink ref="A393" r:id="rId386" display="Naga gardien"/>
    <hyperlink ref="A394" r:id="rId387" display="Naga osseux"/>
    <hyperlink ref="A395" r:id="rId388" display="Nalfeshnie"/>
    <hyperlink ref="A396" r:id="rId389" display="Narzugon"/>
    <hyperlink ref="A397" r:id="rId390" display="Nécromant"/>
    <hyperlink ref="A398" r:id="rId391" display="Nécrophage"/>
    <hyperlink ref="A399" r:id="rId392" display="Néogi"/>
    <hyperlink ref="A400" r:id="rId393" display="Néogi, larve"/>
    <hyperlink ref="A401" r:id="rId394" display="Néogi, maître"/>
    <hyperlink ref="A402" r:id="rId395" display="Néothélide"/>
    <hyperlink ref="A404" r:id="rId396" display="Nielleux"/>
    <hyperlink ref="A405" r:id="rId397" display="Nilbog"/>
    <hyperlink ref="A406" r:id="rId398" display="Noble"/>
    <hyperlink ref="A407" r:id="rId399" display="Nothic"/>
    <hyperlink ref="A408" r:id="rId400" display="Nuée de chauves-souris"/>
    <hyperlink ref="A409" r:id="rId401" display="Nuée de corbeaux"/>
    <hyperlink ref="A410" r:id="rId402" display="Nuée de piranhas"/>
    <hyperlink ref="A411" r:id="rId403" display="Nuée de rats"/>
    <hyperlink ref="A412" r:id="rId404" display="Nuée de rats-crâne"/>
    <hyperlink ref="A413" r:id="rId405" display="Nuée de serpents venimeux"/>
    <hyperlink ref="A414" r:id="rId406" display="Nuée de vers putrides"/>
    <hyperlink ref="A415" r:id="rId407" display="Nuée d'insectes"/>
    <hyperlink ref="A416" r:id="rId408" display="Nycaloth"/>
    <hyperlink ref="A417" r:id="rId409" display="Occultiste d'archifée"/>
    <hyperlink ref="A418" r:id="rId410" display="Occultiste d'Archifée"/>
    <hyperlink ref="A419" r:id="rId411" display="Occultiste de fiélon"/>
    <hyperlink ref="A420" r:id="rId412" display="Occultiste de Fiélon"/>
    <hyperlink ref="A421" r:id="rId413" display="Occultiste de grand ancien"/>
    <hyperlink ref="A422" r:id="rId414" display="Occultiste de Grand Ancien"/>
    <hyperlink ref="A423" r:id="rId415" display="Ogre"/>
    <hyperlink ref="A424" r:id="rId416" display="Ombre"/>
    <hyperlink ref="A425" r:id="rId417" display="Oni"/>
    <hyperlink ref="A426" r:id="rId418" display="Orc"/>
    <hyperlink ref="A427" r:id="rId419" display="Orc, chef de guerre"/>
    <hyperlink ref="A428" r:id="rId420" display="Orc, croc rouge de Shargaas"/>
    <hyperlink ref="A429" r:id="rId421" display="Orc, griffe de Luthic"/>
    <hyperlink ref="A430" r:id="rId422" display="Orc, lame d'Ilneval"/>
    <hyperlink ref="A431" r:id="rId423" display="Orc, main de Yurtrus"/>
    <hyperlink ref="A432" r:id="rId424" display="Orc, oeil de Gruumsh"/>
    <hyperlink ref="A433" r:id="rId425" display="Orcus"/>
    <hyperlink ref="A434" r:id="rId426" display="Orog"/>
    <hyperlink ref="A435" r:id="rId427" display="Otyugh"/>
    <hyperlink ref="A436" r:id="rId428" display="Ours brun"/>
    <hyperlink ref="A437" r:id="rId429" display="Ours noir"/>
    <hyperlink ref="A438" r:id="rId430" display="Ours polaire"/>
    <hyperlink ref="A439" r:id="rId431" display="Ours-garou"/>
    <hyperlink ref="A440" r:id="rId432" display="Ours-Hibou"/>
    <hyperlink ref="A441" r:id="rId433" display="Oxydeur"/>
    <hyperlink ref="A442" r:id="rId434" display="Panthère"/>
    <hyperlink ref="A443" r:id="rId435" display="Pégase"/>
    <hyperlink ref="A445" r:id="rId436" display="Pentadrone"/>
    <hyperlink ref="A446" r:id="rId437" display="Perceur"/>
    <hyperlink ref="A447" r:id="rId438" display="Péryton"/>
    <hyperlink ref="A448" r:id="rId439" display="Piégeur"/>
    <hyperlink ref="A449" r:id="rId440" display="Pieuvre"/>
    <hyperlink ref="A450" r:id="rId441" display="Pieuvre géante"/>
    <hyperlink ref="A451" r:id="rId442" display="Piranha"/>
    <hyperlink ref="A452" r:id="rId443" display="Pixie"/>
    <hyperlink ref="A453" r:id="rId444" display="Planétar"/>
    <hyperlink ref="A454" r:id="rId445" display="Plésiosaure"/>
    <hyperlink ref="A455" r:id="rId446" display="Poney"/>
    <hyperlink ref="A456" r:id="rId447" display="Pouding noir"/>
    <hyperlink ref="A457" r:id="rId448" display="Prestelet"/>
    <hyperlink ref="A458" r:id="rId449" display="Prêtre"/>
    <hyperlink ref="A459" r:id="rId450" display="Prêtre de guerre"/>
    <hyperlink ref="A460" r:id="rId451" display="Prêtre de guerre"/>
    <hyperlink ref="A461" r:id="rId452" display="Prêtre du Kraken"/>
    <hyperlink ref="A462" r:id="rId453" display="Prêtre du kraken"/>
    <hyperlink ref="A463" r:id="rId454" display="Pseudodragon"/>
    <hyperlink ref="A464" r:id="rId455" display="Ptéranodon"/>
    <hyperlink ref="A465" r:id="rId456" display="Quadrone"/>
    <hyperlink ref="A466" r:id="rId457" display="Quaggoth"/>
    <hyperlink ref="A467" r:id="rId458" display="Quaggoth, serviteur des spores"/>
    <hyperlink ref="A468" r:id="rId459" display="Quasit"/>
    <hyperlink ref="A469" r:id="rId460" display="Quetzalcoatlus"/>
    <hyperlink ref="A470" r:id="rId461" display="Rakshasa"/>
    <hyperlink ref="A471" r:id="rId462" display="Rat"/>
    <hyperlink ref="A472" r:id="rId463" display="Rat géant"/>
    <hyperlink ref="A473" r:id="rId464" display="Rat-crâne"/>
    <hyperlink ref="A474" r:id="rId465" display="Rat-Garou"/>
    <hyperlink ref="A475" r:id="rId466" display="Rejeton de Kyuss"/>
    <hyperlink ref="A476" r:id="rId467" display="Rejeton des mers"/>
    <hyperlink ref="A477" r:id="rId468" display="Rejetons des abîmes"/>
    <hyperlink ref="A478" r:id="rId469" display="Remorhaz"/>
    <hyperlink ref="A479" r:id="rId470" display="Remorhaz, jeune"/>
    <hyperlink ref="A480" r:id="rId471" display="Requin de récif"/>
    <hyperlink ref="A481" r:id="rId472" display="Requin géant"/>
    <hyperlink ref="A482" r:id="rId473" display="Requin-chasseur"/>
    <hyperlink ref="A483" r:id="rId474" display="Résinieux"/>
    <hyperlink ref="A484" r:id="rId475" display="Revenant"/>
    <hyperlink ref="A485" r:id="rId476" display="Rhinocéros"/>
    <hyperlink ref="A486" r:id="rId477" display="Roc"/>
    <hyperlink ref="A487" r:id="rId478" display="Roi/reine lézard"/>
    <hyperlink ref="A488" r:id="rId479" display="Rothé"/>
    <hyperlink ref="A489" r:id="rId480" display="Rothé des profondeurs"/>
    <hyperlink ref="A490" r:id="rId481" display="Roturier"/>
    <hyperlink ref="A491" r:id="rId482" display="Sahuagin"/>
    <hyperlink ref="A492" r:id="rId483" display="Sahuagin, baron"/>
    <hyperlink ref="A493" r:id="rId484" display="Sahuagin, prêtresse"/>
    <hyperlink ref="A494" r:id="rId485" display="Salamandre"/>
    <hyperlink ref="A495" r:id="rId486" display="Sanglier"/>
    <hyperlink ref="A496" r:id="rId487" display="Sanglier géant"/>
    <hyperlink ref="A497" r:id="rId488" display="Sanglier-garou"/>
    <hyperlink ref="A498" r:id="rId489" display="Satyre"/>
    <hyperlink ref="A499" r:id="rId490" display="Sauteur géant"/>
    <hyperlink ref="A500" r:id="rId491" display="Scarabée de feu géant"/>
    <hyperlink ref="A501" r:id="rId492" display="Scorpion"/>
    <hyperlink ref="A502" r:id="rId493" display="Scorpion géant"/>
    <hyperlink ref="A503" r:id="rId494" display="Seigneur de guerre"/>
    <hyperlink ref="A504" r:id="rId495" display="Seigneur de guerre"/>
    <hyperlink ref="A505" r:id="rId496" display="Seigneur momie"/>
    <hyperlink ref="A506" r:id="rId497" display="Sentinelle de l'eau"/>
    <hyperlink ref="A507" r:id="rId498" display="Serpent constricteur"/>
    <hyperlink ref="A508" r:id="rId499" display="Serpent constricteur géant"/>
    <hyperlink ref="A509" r:id="rId500" display="Serpent de feu"/>
    <hyperlink ref="A510" r:id="rId501" display="Serpent venimeux"/>
    <hyperlink ref="A511" r:id="rId502" display="Serpent venimeux géant"/>
    <hyperlink ref="A512" r:id="rId503" display="Serpent volant"/>
    <hyperlink ref="A513" r:id="rId504" display="Shoosuva"/>
    <hyperlink ref="A514" r:id="rId505" display="Sibriex"/>
    <hyperlink ref="A516" r:id="rId506" display="Singe géant"/>
    <hyperlink ref="A517" r:id="rId507" display="Slaad bleu"/>
    <hyperlink ref="A518" r:id="rId508" display="Slaad funeste"/>
    <hyperlink ref="A519" r:id="rId509" display="Slaad gris"/>
    <hyperlink ref="A520" r:id="rId510" display="Slaad rouge"/>
    <hyperlink ref="A521" r:id="rId511" display="Slaad vert"/>
    <hyperlink ref="A522" r:id="rId512" display="Slaad, tétard"/>
    <hyperlink ref="A523" r:id="rId513" display="Solar"/>
    <hyperlink ref="A524" r:id="rId514" display="Sombrelin"/>
    <hyperlink ref="A525" r:id="rId515" display="Sombrelin, ainé"/>
    <hyperlink ref="A526" r:id="rId516" display="Spectateur"/>
    <hyperlink ref="A527" r:id="rId517" display="Spectre"/>
    <hyperlink ref="A528" r:id="rId518" display="Spore gazeuse"/>
    <hyperlink ref="A529" r:id="rId519" display="Squelette"/>
    <hyperlink ref="A530" r:id="rId520" display="Squelette de cheval de guerre"/>
    <hyperlink ref="A531" r:id="rId521" display="Squelette de minotaure"/>
    <hyperlink ref="A532" r:id="rId522" display="Strige"/>
    <hyperlink ref="A533" r:id="rId523" display="Succube"/>
    <hyperlink ref="A534" r:id="rId524" display="Sylvanien"/>
    <hyperlink ref="A535" r:id="rId525" display="Tanarukk"/>
    <hyperlink ref="A536" r:id="rId526" display="Tapis étouffant"/>
    <hyperlink ref="A537" r:id="rId527" display="Tarasque"/>
    <hyperlink ref="A539" r:id="rId528" display="Témoin spirituel"/>
    <hyperlink ref="A540" r:id="rId529" display="Tertre errant"/>
    <hyperlink ref="A542" r:id="rId530" display="Thri-Kreen"/>
    <hyperlink ref="A543" r:id="rId531" display="Tigre"/>
    <hyperlink ref="A544" r:id="rId532" display="Tigre à dents de sabre"/>
    <hyperlink ref="A545" r:id="rId533" display="Tigre-garou"/>
    <hyperlink ref="A546" r:id="rId534" display="Tlincalli"/>
    <hyperlink ref="A547" r:id="rId535" display="Torve"/>
    <hyperlink ref="A548" r:id="rId536" display="Transmutateur"/>
    <hyperlink ref="A549" r:id="rId537" display="Traqueur gluant"/>
    <hyperlink ref="A550" r:id="rId538" display="Traqueur invisible"/>
    <hyperlink ref="A551" r:id="rId539" display="Tricératops"/>
    <hyperlink ref="A552" r:id="rId540" display="Tridrone"/>
    <hyperlink ref="A553" r:id="rId541" display="Triton du feu, guerrier"/>
    <hyperlink ref="A554" r:id="rId542" display="Triton du feu, occultiste d'Imix"/>
    <hyperlink ref="A555" r:id="rId543" display="Troglodyte"/>
    <hyperlink ref="A556" r:id="rId544" display="Troll"/>
    <hyperlink ref="A557" r:id="rId545" display="Tyramort"/>
    <hyperlink ref="A558" r:id="rId546" display="Tyrannoeil"/>
    <hyperlink ref="A559" r:id="rId547" display="Tyrannosaure"/>
    <hyperlink ref="A560" r:id="rId548" display="Ulitharid"/>
    <hyperlink ref="A561" r:id="rId549" display="Ultroloth"/>
    <hyperlink ref="A562" location="'REF Monstres'!A1" display="Vampire"/>
    <hyperlink ref="A563" r:id="rId550" display="Vampirien"/>
    <hyperlink ref="A564" r:id="rId551" display="Vargouille"/>
    <hyperlink ref="A565" r:id="rId552" display="Vase grise"/>
    <hyperlink ref="A566" r:id="rId553" display="Vautour"/>
    <hyperlink ref="A567" r:id="rId554" display="Vautour géant"/>
    <hyperlink ref="A568" r:id="rId555" display="Végépygmée"/>
    <hyperlink ref="A569" r:id="rId556" display="Végépygmée, chef"/>
    <hyperlink ref="A570" r:id="rId557" display="Vélociraptor"/>
    <hyperlink ref="A571" r:id="rId558" display="Ver pourpre"/>
    <hyperlink ref="A572" r:id="rId559" display="Vétéran"/>
    <hyperlink ref="A573" r:id="rId560" display="Vissepince"/>
    <hyperlink ref="A574" r:id="rId561" display="Vrock"/>
    <hyperlink ref="A575" r:id="rId562" display="Wiverne"/>
    <hyperlink ref="A576" r:id="rId563" display="Worg"/>
    <hyperlink ref="A577" r:id="rId564" display="Xorn"/>
    <hyperlink ref="A578" r:id="rId565" display="Xvart"/>
    <hyperlink ref="A579" r:id="rId566" display="Xvart, occultiste de Raxivort"/>
    <hyperlink ref="A580" r:id="rId567" display="Yéti"/>
    <hyperlink ref="A581" r:id="rId568" display="Yéti, abominable"/>
    <hyperlink ref="A582" r:id="rId569" display="Yochlol"/>
    <hyperlink ref="A583" r:id="rId570" display="Yuan-ti, abomination"/>
    <hyperlink ref="A584" r:id="rId571" display="Yuan-ti, anathème"/>
    <hyperlink ref="A585" r:id="rId572" display="Yuan-ti, annonciateur de cauchemars"/>
    <hyperlink ref="A586" r:id="rId573" display="Yuan-ti, chuchoteur de consciences"/>
    <hyperlink ref="A587" r:id="rId574" display="Yuan-ti, garde des couvées"/>
    <hyperlink ref="A588" r:id="rId575" display="Yuan-ti, maître des fosses"/>
    <hyperlink ref="A589" r:id="rId576" display="Yuan-ti, malison"/>
    <hyperlink ref="A590" r:id="rId577" display="Yuan-ti, sang-pur"/>
    <hyperlink ref="A591" r:id="rId578" display="Zariel"/>
    <hyperlink ref="A592" r:id="rId579" display="Zombi"/>
    <hyperlink ref="A593" r:id="rId580" display="Zombi ogre"/>
    <hyperlink ref="A594" r:id="rId581" display="Zombi tyrannoeil"/>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LibreOffice_project/0366609b1de41a39e1896ae41e33c673f2a73802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2026-02-18T14:06:30Z</dcterms:created>
  <dc:creator/>
  <dc:description/>
  <dc:language>fr-FR</dc:language>
  <cp:lastModifiedBy/>
  <dcterms:modified xsi:type="dcterms:W3CDTF">2026-02-18T14:07:15Z</dcterms:modified>
  <cp:revision>1</cp:revision>
  <dc:subject/>
  <dc:title/>
</cp:coreProperties>
</file>